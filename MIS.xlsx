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istar\lr_management\"/>
    </mc:Choice>
  </mc:AlternateContent>
  <xr:revisionPtr revIDLastSave="0" documentId="8_{6FBFB953-E2B3-4C7A-9E0D-AAFCD25EA0F5}" xr6:coauthVersionLast="47" xr6:coauthVersionMax="47" xr10:uidLastSave="{00000000-0000-0000-0000-000000000000}"/>
  <bookViews>
    <workbookView xWindow="-110" yWindow="-110" windowWidth="19420" windowHeight="11500" xr2:uid="{23407BFF-0BC0-442B-A4E0-F6A8A3C01A45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52" i="1" l="1"/>
  <c r="W152" i="1"/>
  <c r="U152" i="1"/>
  <c r="K152" i="1" s="1"/>
  <c r="T152" i="1"/>
  <c r="P152" i="1"/>
  <c r="J152" i="1"/>
  <c r="A152" i="1"/>
  <c r="Z151" i="1"/>
  <c r="W151" i="1"/>
  <c r="U151" i="1"/>
  <c r="K151" i="1" s="1"/>
  <c r="T151" i="1"/>
  <c r="P151" i="1"/>
  <c r="J151" i="1"/>
  <c r="A151" i="1"/>
  <c r="W150" i="1"/>
  <c r="Z150" i="1" s="1"/>
  <c r="U150" i="1"/>
  <c r="K150" i="1" s="1"/>
  <c r="T150" i="1"/>
  <c r="P150" i="1"/>
  <c r="J150" i="1"/>
  <c r="A150" i="1"/>
  <c r="W149" i="1"/>
  <c r="Z149" i="1" s="1"/>
  <c r="U149" i="1"/>
  <c r="K149" i="1" s="1"/>
  <c r="T149" i="1"/>
  <c r="P149" i="1"/>
  <c r="J149" i="1"/>
  <c r="A149" i="1"/>
  <c r="W148" i="1"/>
  <c r="Z148" i="1" s="1"/>
  <c r="U148" i="1"/>
  <c r="K148" i="1" s="1"/>
  <c r="T148" i="1"/>
  <c r="P148" i="1"/>
  <c r="J148" i="1"/>
  <c r="A148" i="1"/>
  <c r="Z147" i="1"/>
  <c r="W147" i="1"/>
  <c r="U147" i="1"/>
  <c r="K147" i="1" s="1"/>
  <c r="T147" i="1"/>
  <c r="P147" i="1"/>
  <c r="J147" i="1"/>
  <c r="A147" i="1"/>
  <c r="Z146" i="1"/>
  <c r="W146" i="1"/>
  <c r="U146" i="1"/>
  <c r="K146" i="1" s="1"/>
  <c r="T146" i="1"/>
  <c r="P146" i="1"/>
  <c r="J146" i="1"/>
  <c r="A146" i="1"/>
  <c r="W145" i="1"/>
  <c r="Z145" i="1" s="1"/>
  <c r="U145" i="1"/>
  <c r="K145" i="1" s="1"/>
  <c r="T145" i="1"/>
  <c r="P145" i="1"/>
  <c r="J145" i="1"/>
  <c r="A145" i="1"/>
  <c r="Z144" i="1"/>
  <c r="W144" i="1"/>
  <c r="U144" i="1"/>
  <c r="K144" i="1" s="1"/>
  <c r="T144" i="1"/>
  <c r="P144" i="1"/>
  <c r="J144" i="1"/>
  <c r="A144" i="1"/>
  <c r="Z143" i="1"/>
  <c r="W143" i="1"/>
  <c r="U143" i="1"/>
  <c r="K143" i="1" s="1"/>
  <c r="T143" i="1"/>
  <c r="P143" i="1"/>
  <c r="J143" i="1"/>
  <c r="A143" i="1"/>
  <c r="W142" i="1"/>
  <c r="Z142" i="1" s="1"/>
  <c r="U142" i="1"/>
  <c r="K142" i="1" s="1"/>
  <c r="T142" i="1"/>
  <c r="P142" i="1"/>
  <c r="J142" i="1"/>
  <c r="A142" i="1"/>
  <c r="Z141" i="1"/>
  <c r="W141" i="1"/>
  <c r="U141" i="1"/>
  <c r="K141" i="1" s="1"/>
  <c r="T141" i="1"/>
  <c r="P141" i="1"/>
  <c r="J141" i="1"/>
  <c r="A141" i="1"/>
  <c r="Z140" i="1"/>
  <c r="W140" i="1"/>
  <c r="U140" i="1"/>
  <c r="K140" i="1" s="1"/>
  <c r="T140" i="1"/>
  <c r="P140" i="1"/>
  <c r="J140" i="1"/>
  <c r="A140" i="1"/>
  <c r="W139" i="1"/>
  <c r="Z139" i="1" s="1"/>
  <c r="U139" i="1"/>
  <c r="K139" i="1" s="1"/>
  <c r="T139" i="1"/>
  <c r="P139" i="1"/>
  <c r="J139" i="1"/>
  <c r="A139" i="1"/>
  <c r="Z138" i="1"/>
  <c r="W138" i="1"/>
  <c r="U138" i="1"/>
  <c r="K138" i="1" s="1"/>
  <c r="T138" i="1"/>
  <c r="P138" i="1"/>
  <c r="J138" i="1"/>
  <c r="A138" i="1"/>
  <c r="Z137" i="1"/>
  <c r="W137" i="1"/>
  <c r="U137" i="1"/>
  <c r="K137" i="1" s="1"/>
  <c r="T137" i="1"/>
  <c r="P137" i="1"/>
  <c r="J137" i="1"/>
  <c r="A137" i="1"/>
  <c r="W136" i="1"/>
  <c r="Z136" i="1" s="1"/>
  <c r="U136" i="1"/>
  <c r="K136" i="1" s="1"/>
  <c r="T136" i="1"/>
  <c r="P136" i="1"/>
  <c r="J136" i="1"/>
  <c r="A136" i="1"/>
  <c r="Z135" i="1"/>
  <c r="W135" i="1"/>
  <c r="U135" i="1"/>
  <c r="K135" i="1" s="1"/>
  <c r="T135" i="1"/>
  <c r="P135" i="1"/>
  <c r="J135" i="1"/>
  <c r="A135" i="1"/>
  <c r="Z134" i="1"/>
  <c r="W134" i="1"/>
  <c r="U134" i="1"/>
  <c r="K134" i="1" s="1"/>
  <c r="T134" i="1"/>
  <c r="P134" i="1"/>
  <c r="J134" i="1"/>
  <c r="A134" i="1"/>
  <c r="W133" i="1"/>
  <c r="Z133" i="1" s="1"/>
  <c r="U133" i="1"/>
  <c r="K133" i="1" s="1"/>
  <c r="T133" i="1"/>
  <c r="P133" i="1"/>
  <c r="J133" i="1"/>
  <c r="A133" i="1"/>
  <c r="Z132" i="1"/>
  <c r="W132" i="1"/>
  <c r="U132" i="1"/>
  <c r="K132" i="1" s="1"/>
  <c r="T132" i="1"/>
  <c r="P132" i="1"/>
  <c r="J132" i="1"/>
  <c r="A132" i="1"/>
  <c r="Z131" i="1"/>
  <c r="W131" i="1"/>
  <c r="U131" i="1"/>
  <c r="K131" i="1" s="1"/>
  <c r="T131" i="1"/>
  <c r="P131" i="1"/>
  <c r="J131" i="1"/>
  <c r="A131" i="1"/>
  <c r="W130" i="1"/>
  <c r="Z130" i="1" s="1"/>
  <c r="U130" i="1"/>
  <c r="K130" i="1" s="1"/>
  <c r="T130" i="1"/>
  <c r="P130" i="1"/>
  <c r="J130" i="1"/>
  <c r="A130" i="1"/>
  <c r="Z129" i="1"/>
  <c r="W129" i="1"/>
  <c r="U129" i="1"/>
  <c r="K129" i="1" s="1"/>
  <c r="T129" i="1"/>
  <c r="P129" i="1"/>
  <c r="J129" i="1"/>
  <c r="A129" i="1"/>
  <c r="Z128" i="1"/>
  <c r="W128" i="1"/>
  <c r="U128" i="1"/>
  <c r="K128" i="1" s="1"/>
  <c r="T128" i="1"/>
  <c r="P128" i="1"/>
  <c r="J128" i="1"/>
  <c r="A128" i="1"/>
  <c r="W127" i="1"/>
  <c r="Z127" i="1" s="1"/>
  <c r="U127" i="1"/>
  <c r="K127" i="1" s="1"/>
  <c r="T127" i="1"/>
  <c r="P127" i="1"/>
  <c r="J127" i="1"/>
  <c r="A127" i="1"/>
  <c r="Z126" i="1"/>
  <c r="W126" i="1"/>
  <c r="U126" i="1"/>
  <c r="K126" i="1" s="1"/>
  <c r="T126" i="1"/>
  <c r="P126" i="1"/>
  <c r="J126" i="1"/>
  <c r="A126" i="1"/>
  <c r="Z125" i="1"/>
  <c r="W125" i="1"/>
  <c r="U125" i="1"/>
  <c r="K125" i="1" s="1"/>
  <c r="T125" i="1"/>
  <c r="P125" i="1"/>
  <c r="J125" i="1"/>
  <c r="A125" i="1"/>
  <c r="W124" i="1"/>
  <c r="Z124" i="1" s="1"/>
  <c r="U124" i="1"/>
  <c r="K124" i="1" s="1"/>
  <c r="T124" i="1"/>
  <c r="P124" i="1"/>
  <c r="J124" i="1"/>
  <c r="A124" i="1"/>
  <c r="Z123" i="1"/>
  <c r="W123" i="1"/>
  <c r="U123" i="1"/>
  <c r="K123" i="1" s="1"/>
  <c r="T123" i="1"/>
  <c r="P123" i="1"/>
  <c r="J123" i="1"/>
  <c r="A123" i="1"/>
  <c r="Z122" i="1"/>
  <c r="W122" i="1"/>
  <c r="U122" i="1"/>
  <c r="K122" i="1" s="1"/>
  <c r="T122" i="1"/>
  <c r="P122" i="1"/>
  <c r="J122" i="1"/>
  <c r="A122" i="1"/>
  <c r="W121" i="1"/>
  <c r="Z121" i="1" s="1"/>
  <c r="U121" i="1"/>
  <c r="K121" i="1" s="1"/>
  <c r="T121" i="1"/>
  <c r="P121" i="1"/>
  <c r="J121" i="1"/>
  <c r="A121" i="1"/>
  <c r="Z120" i="1"/>
  <c r="W120" i="1"/>
  <c r="U120" i="1"/>
  <c r="K120" i="1" s="1"/>
  <c r="T120" i="1"/>
  <c r="P120" i="1"/>
  <c r="J120" i="1"/>
  <c r="A120" i="1"/>
  <c r="Z119" i="1"/>
  <c r="W119" i="1"/>
  <c r="U119" i="1"/>
  <c r="K119" i="1" s="1"/>
  <c r="T119" i="1"/>
  <c r="P119" i="1"/>
  <c r="J119" i="1"/>
  <c r="A119" i="1"/>
  <c r="W118" i="1"/>
  <c r="Z118" i="1" s="1"/>
  <c r="U118" i="1"/>
  <c r="K118" i="1" s="1"/>
  <c r="T118" i="1"/>
  <c r="P118" i="1"/>
  <c r="J118" i="1"/>
  <c r="A118" i="1"/>
  <c r="Z117" i="1"/>
  <c r="W117" i="1"/>
  <c r="U117" i="1"/>
  <c r="K117" i="1" s="1"/>
  <c r="T117" i="1"/>
  <c r="P117" i="1"/>
  <c r="J117" i="1"/>
  <c r="A117" i="1"/>
  <c r="Z116" i="1"/>
  <c r="W116" i="1"/>
  <c r="U116" i="1"/>
  <c r="K116" i="1" s="1"/>
  <c r="T116" i="1"/>
  <c r="P116" i="1"/>
  <c r="J116" i="1"/>
  <c r="A116" i="1"/>
  <c r="W115" i="1"/>
  <c r="Z115" i="1" s="1"/>
  <c r="U115" i="1"/>
  <c r="K115" i="1" s="1"/>
  <c r="T115" i="1"/>
  <c r="P115" i="1"/>
  <c r="J115" i="1"/>
  <c r="A115" i="1"/>
  <c r="Z114" i="1"/>
  <c r="W114" i="1"/>
  <c r="U114" i="1"/>
  <c r="K114" i="1" s="1"/>
  <c r="T114" i="1"/>
  <c r="P114" i="1"/>
  <c r="J114" i="1"/>
  <c r="A114" i="1"/>
  <c r="Z113" i="1"/>
  <c r="W113" i="1"/>
  <c r="U113" i="1"/>
  <c r="K113" i="1" s="1"/>
  <c r="T113" i="1"/>
  <c r="P113" i="1"/>
  <c r="J113" i="1"/>
  <c r="A113" i="1"/>
  <c r="W112" i="1"/>
  <c r="Z112" i="1" s="1"/>
  <c r="U112" i="1"/>
  <c r="K112" i="1" s="1"/>
  <c r="T112" i="1"/>
  <c r="P112" i="1"/>
  <c r="J112" i="1"/>
  <c r="A112" i="1"/>
  <c r="Z111" i="1"/>
  <c r="W111" i="1"/>
  <c r="U111" i="1"/>
  <c r="K111" i="1" s="1"/>
  <c r="T111" i="1"/>
  <c r="P111" i="1"/>
  <c r="J111" i="1"/>
  <c r="A111" i="1"/>
  <c r="Z110" i="1"/>
  <c r="W110" i="1"/>
  <c r="U110" i="1"/>
  <c r="K110" i="1" s="1"/>
  <c r="T110" i="1"/>
  <c r="P110" i="1"/>
  <c r="J110" i="1"/>
  <c r="A110" i="1"/>
  <c r="W109" i="1"/>
  <c r="Z109" i="1" s="1"/>
  <c r="U109" i="1"/>
  <c r="K109" i="1" s="1"/>
  <c r="T109" i="1"/>
  <c r="P109" i="1"/>
  <c r="J109" i="1"/>
  <c r="A109" i="1"/>
  <c r="Z108" i="1"/>
  <c r="W108" i="1"/>
  <c r="U108" i="1"/>
  <c r="K108" i="1" s="1"/>
  <c r="T108" i="1"/>
  <c r="P108" i="1"/>
  <c r="J108" i="1"/>
  <c r="A108" i="1"/>
  <c r="Z107" i="1"/>
  <c r="W107" i="1"/>
  <c r="U107" i="1"/>
  <c r="K107" i="1" s="1"/>
  <c r="T107" i="1"/>
  <c r="P107" i="1"/>
  <c r="J107" i="1"/>
  <c r="A107" i="1"/>
  <c r="W106" i="1"/>
  <c r="Z106" i="1" s="1"/>
  <c r="U106" i="1"/>
  <c r="K106" i="1" s="1"/>
  <c r="T106" i="1"/>
  <c r="P106" i="1"/>
  <c r="J106" i="1"/>
  <c r="A106" i="1"/>
  <c r="Z105" i="1"/>
  <c r="W105" i="1"/>
  <c r="U105" i="1"/>
  <c r="K105" i="1" s="1"/>
  <c r="T105" i="1"/>
  <c r="P105" i="1"/>
  <c r="J105" i="1"/>
  <c r="A105" i="1"/>
  <c r="Z104" i="1"/>
  <c r="W104" i="1"/>
  <c r="U104" i="1"/>
  <c r="K104" i="1" s="1"/>
  <c r="T104" i="1"/>
  <c r="P104" i="1"/>
  <c r="J104" i="1"/>
  <c r="A104" i="1"/>
  <c r="W103" i="1"/>
  <c r="Z103" i="1" s="1"/>
  <c r="U103" i="1"/>
  <c r="K103" i="1" s="1"/>
  <c r="T103" i="1"/>
  <c r="P103" i="1"/>
  <c r="J103" i="1"/>
  <c r="A103" i="1"/>
  <c r="Z102" i="1"/>
  <c r="W102" i="1"/>
  <c r="U102" i="1"/>
  <c r="K102" i="1" s="1"/>
  <c r="T102" i="1"/>
  <c r="P102" i="1"/>
  <c r="J102" i="1"/>
  <c r="A102" i="1"/>
  <c r="Z101" i="1"/>
  <c r="W101" i="1"/>
  <c r="U101" i="1"/>
  <c r="K101" i="1" s="1"/>
  <c r="T101" i="1"/>
  <c r="P101" i="1"/>
  <c r="J101" i="1"/>
  <c r="A101" i="1"/>
  <c r="W100" i="1"/>
  <c r="Z100" i="1" s="1"/>
  <c r="U100" i="1"/>
  <c r="K100" i="1" s="1"/>
  <c r="T100" i="1"/>
  <c r="P100" i="1"/>
  <c r="J100" i="1"/>
  <c r="A100" i="1"/>
  <c r="Z99" i="1"/>
  <c r="W99" i="1"/>
  <c r="U99" i="1"/>
  <c r="K99" i="1" s="1"/>
  <c r="T99" i="1"/>
  <c r="P99" i="1"/>
  <c r="J99" i="1"/>
  <c r="A99" i="1"/>
  <c r="Z98" i="1"/>
  <c r="W98" i="1"/>
  <c r="U98" i="1"/>
  <c r="K98" i="1" s="1"/>
  <c r="T98" i="1"/>
  <c r="P98" i="1"/>
  <c r="J98" i="1"/>
  <c r="A98" i="1"/>
  <c r="W97" i="1"/>
  <c r="Z97" i="1" s="1"/>
  <c r="U97" i="1"/>
  <c r="K97" i="1" s="1"/>
  <c r="T97" i="1"/>
  <c r="P97" i="1"/>
  <c r="J97" i="1"/>
  <c r="A97" i="1"/>
  <c r="Z96" i="1"/>
  <c r="W96" i="1"/>
  <c r="U96" i="1"/>
  <c r="K96" i="1" s="1"/>
  <c r="T96" i="1"/>
  <c r="P96" i="1"/>
  <c r="J96" i="1"/>
  <c r="A96" i="1"/>
  <c r="Z95" i="1"/>
  <c r="W95" i="1"/>
  <c r="U95" i="1"/>
  <c r="K95" i="1" s="1"/>
  <c r="T95" i="1"/>
  <c r="P95" i="1"/>
  <c r="J95" i="1"/>
  <c r="A95" i="1"/>
  <c r="W94" i="1"/>
  <c r="Z94" i="1" s="1"/>
  <c r="U94" i="1"/>
  <c r="K94" i="1" s="1"/>
  <c r="T94" i="1"/>
  <c r="P94" i="1"/>
  <c r="J94" i="1"/>
  <c r="A94" i="1"/>
  <c r="Z93" i="1"/>
  <c r="W93" i="1"/>
  <c r="U93" i="1"/>
  <c r="K93" i="1" s="1"/>
  <c r="T93" i="1"/>
  <c r="P93" i="1"/>
  <c r="J93" i="1"/>
  <c r="A93" i="1"/>
  <c r="Z92" i="1"/>
  <c r="W92" i="1"/>
  <c r="U92" i="1"/>
  <c r="K92" i="1" s="1"/>
  <c r="T92" i="1"/>
  <c r="P92" i="1"/>
  <c r="J92" i="1"/>
  <c r="A92" i="1"/>
  <c r="W91" i="1"/>
  <c r="Z91" i="1" s="1"/>
  <c r="U91" i="1"/>
  <c r="K91" i="1" s="1"/>
  <c r="T91" i="1"/>
  <c r="P91" i="1"/>
  <c r="J91" i="1"/>
  <c r="A91" i="1"/>
  <c r="Z90" i="1"/>
  <c r="W90" i="1"/>
  <c r="U90" i="1"/>
  <c r="K90" i="1" s="1"/>
  <c r="T90" i="1"/>
  <c r="P90" i="1"/>
  <c r="J90" i="1"/>
  <c r="A90" i="1"/>
  <c r="Z89" i="1"/>
  <c r="W89" i="1"/>
  <c r="U89" i="1"/>
  <c r="K89" i="1" s="1"/>
  <c r="T89" i="1"/>
  <c r="P89" i="1"/>
  <c r="J89" i="1"/>
  <c r="A89" i="1"/>
  <c r="W88" i="1"/>
  <c r="Z88" i="1" s="1"/>
  <c r="U88" i="1"/>
  <c r="K88" i="1" s="1"/>
  <c r="T88" i="1"/>
  <c r="P88" i="1"/>
  <c r="J88" i="1"/>
  <c r="A88" i="1"/>
  <c r="Z87" i="1"/>
  <c r="W87" i="1"/>
  <c r="U87" i="1"/>
  <c r="K87" i="1" s="1"/>
  <c r="T87" i="1"/>
  <c r="P87" i="1"/>
  <c r="J87" i="1"/>
  <c r="A87" i="1"/>
  <c r="Z86" i="1"/>
  <c r="W86" i="1"/>
  <c r="U86" i="1"/>
  <c r="K86" i="1" s="1"/>
  <c r="T86" i="1"/>
  <c r="P86" i="1"/>
  <c r="J86" i="1"/>
  <c r="A86" i="1"/>
  <c r="W85" i="1"/>
  <c r="Z85" i="1" s="1"/>
  <c r="U85" i="1"/>
  <c r="K85" i="1" s="1"/>
  <c r="T85" i="1"/>
  <c r="P85" i="1"/>
  <c r="J85" i="1"/>
  <c r="A85" i="1"/>
  <c r="Z84" i="1"/>
  <c r="W84" i="1"/>
  <c r="U84" i="1"/>
  <c r="K84" i="1" s="1"/>
  <c r="T84" i="1"/>
  <c r="P84" i="1"/>
  <c r="J84" i="1"/>
  <c r="A84" i="1"/>
  <c r="Z83" i="1"/>
  <c r="W83" i="1"/>
  <c r="U83" i="1"/>
  <c r="K83" i="1" s="1"/>
  <c r="T83" i="1"/>
  <c r="P83" i="1"/>
  <c r="J83" i="1"/>
  <c r="A83" i="1"/>
  <c r="W82" i="1"/>
  <c r="Z82" i="1" s="1"/>
  <c r="U82" i="1"/>
  <c r="K82" i="1" s="1"/>
  <c r="T82" i="1"/>
  <c r="P82" i="1"/>
  <c r="J82" i="1"/>
  <c r="A82" i="1"/>
  <c r="Z81" i="1"/>
  <c r="W81" i="1"/>
  <c r="P81" i="1"/>
  <c r="K81" i="1"/>
  <c r="J81" i="1"/>
  <c r="A81" i="1"/>
  <c r="W80" i="1"/>
  <c r="Z80" i="1" s="1"/>
  <c r="P80" i="1"/>
  <c r="K80" i="1"/>
  <c r="J80" i="1"/>
  <c r="A80" i="1"/>
  <c r="Z79" i="1"/>
  <c r="W79" i="1"/>
  <c r="P79" i="1"/>
  <c r="K79" i="1"/>
  <c r="J79" i="1"/>
  <c r="A79" i="1"/>
  <c r="W78" i="1"/>
  <c r="Z78" i="1" s="1"/>
  <c r="U78" i="1"/>
  <c r="K78" i="1" s="1"/>
  <c r="T78" i="1"/>
  <c r="P78" i="1"/>
  <c r="J78" i="1"/>
  <c r="A78" i="1"/>
  <c r="W77" i="1"/>
  <c r="Z77" i="1" s="1"/>
  <c r="P77" i="1"/>
  <c r="K77" i="1"/>
  <c r="J77" i="1"/>
  <c r="A77" i="1"/>
  <c r="W76" i="1"/>
  <c r="Z76" i="1" s="1"/>
  <c r="P76" i="1"/>
  <c r="K76" i="1"/>
  <c r="J76" i="1"/>
  <c r="A76" i="1"/>
  <c r="W75" i="1"/>
  <c r="Z75" i="1" s="1"/>
  <c r="P75" i="1"/>
  <c r="K75" i="1"/>
  <c r="J75" i="1"/>
  <c r="A75" i="1"/>
  <c r="W74" i="1"/>
  <c r="Z74" i="1" s="1"/>
  <c r="P74" i="1"/>
  <c r="K74" i="1"/>
  <c r="J74" i="1"/>
  <c r="A74" i="1"/>
  <c r="W73" i="1"/>
  <c r="Z73" i="1" s="1"/>
  <c r="P73" i="1"/>
  <c r="K73" i="1"/>
  <c r="J73" i="1"/>
  <c r="A73" i="1"/>
  <c r="W72" i="1"/>
  <c r="Z72" i="1" s="1"/>
  <c r="P72" i="1"/>
  <c r="K72" i="1"/>
  <c r="J72" i="1"/>
  <c r="A72" i="1"/>
  <c r="W71" i="1"/>
  <c r="Z71" i="1" s="1"/>
  <c r="U71" i="1"/>
  <c r="K71" i="1" s="1"/>
  <c r="T71" i="1"/>
  <c r="P71" i="1"/>
  <c r="J71" i="1"/>
  <c r="A71" i="1"/>
  <c r="W70" i="1"/>
  <c r="Z70" i="1" s="1"/>
  <c r="P70" i="1"/>
  <c r="K70" i="1"/>
  <c r="J70" i="1"/>
  <c r="A70" i="1"/>
  <c r="Z69" i="1"/>
  <c r="W69" i="1"/>
  <c r="P69" i="1"/>
  <c r="K69" i="1"/>
  <c r="J69" i="1"/>
  <c r="A69" i="1"/>
  <c r="W68" i="1"/>
  <c r="Z68" i="1" s="1"/>
  <c r="P68" i="1"/>
  <c r="K68" i="1"/>
  <c r="J68" i="1"/>
  <c r="A68" i="1"/>
  <c r="Z67" i="1"/>
  <c r="W67" i="1"/>
  <c r="P67" i="1"/>
  <c r="K67" i="1"/>
  <c r="J67" i="1"/>
  <c r="A67" i="1"/>
  <c r="W66" i="1"/>
  <c r="Z66" i="1" s="1"/>
  <c r="P66" i="1"/>
  <c r="K66" i="1"/>
  <c r="J66" i="1"/>
  <c r="A66" i="1"/>
  <c r="Z65" i="1"/>
  <c r="W65" i="1"/>
  <c r="P65" i="1"/>
  <c r="K65" i="1"/>
  <c r="J65" i="1"/>
  <c r="A65" i="1"/>
  <c r="W64" i="1"/>
  <c r="Z64" i="1" s="1"/>
  <c r="P64" i="1"/>
  <c r="K64" i="1"/>
  <c r="J64" i="1"/>
  <c r="A64" i="1"/>
  <c r="Z63" i="1"/>
  <c r="W63" i="1"/>
  <c r="P63" i="1"/>
  <c r="K63" i="1"/>
  <c r="J63" i="1"/>
  <c r="A63" i="1"/>
  <c r="W62" i="1"/>
  <c r="Z62" i="1" s="1"/>
  <c r="P62" i="1"/>
  <c r="K62" i="1"/>
  <c r="J62" i="1"/>
  <c r="A62" i="1"/>
  <c r="Z61" i="1"/>
  <c r="W61" i="1"/>
  <c r="P61" i="1"/>
  <c r="K61" i="1"/>
  <c r="J61" i="1"/>
  <c r="A61" i="1"/>
  <c r="W60" i="1"/>
  <c r="Z60" i="1" s="1"/>
  <c r="P60" i="1"/>
  <c r="K60" i="1"/>
  <c r="J60" i="1"/>
  <c r="A60" i="1"/>
  <c r="Z59" i="1"/>
  <c r="W59" i="1"/>
  <c r="P59" i="1"/>
  <c r="K59" i="1"/>
  <c r="J59" i="1"/>
  <c r="A59" i="1"/>
  <c r="W58" i="1"/>
  <c r="Z58" i="1" s="1"/>
  <c r="P58" i="1"/>
  <c r="K58" i="1"/>
  <c r="J58" i="1"/>
  <c r="A58" i="1"/>
  <c r="Z57" i="1"/>
  <c r="W57" i="1"/>
  <c r="P57" i="1"/>
  <c r="K57" i="1"/>
  <c r="J57" i="1"/>
  <c r="A57" i="1"/>
  <c r="W56" i="1"/>
  <c r="Z56" i="1" s="1"/>
  <c r="P56" i="1"/>
  <c r="K56" i="1"/>
  <c r="J56" i="1"/>
  <c r="A56" i="1"/>
  <c r="Z55" i="1"/>
  <c r="W55" i="1"/>
  <c r="P55" i="1"/>
  <c r="K55" i="1"/>
  <c r="J55" i="1"/>
  <c r="A55" i="1"/>
  <c r="W54" i="1"/>
  <c r="Z54" i="1" s="1"/>
  <c r="U54" i="1"/>
  <c r="K54" i="1" s="1"/>
  <c r="T54" i="1"/>
  <c r="P54" i="1"/>
  <c r="J54" i="1"/>
  <c r="A54" i="1"/>
  <c r="W53" i="1"/>
  <c r="Z53" i="1" s="1"/>
  <c r="P53" i="1"/>
  <c r="K53" i="1"/>
  <c r="J53" i="1"/>
  <c r="A53" i="1"/>
  <c r="W52" i="1"/>
  <c r="Z52" i="1" s="1"/>
  <c r="P52" i="1"/>
  <c r="K52" i="1"/>
  <c r="J52" i="1"/>
  <c r="A52" i="1"/>
  <c r="W51" i="1"/>
  <c r="Z51" i="1" s="1"/>
  <c r="P51" i="1"/>
  <c r="K51" i="1"/>
  <c r="J51" i="1"/>
  <c r="A51" i="1"/>
  <c r="W50" i="1"/>
  <c r="Z50" i="1" s="1"/>
  <c r="P50" i="1"/>
  <c r="K50" i="1"/>
  <c r="J50" i="1"/>
  <c r="A50" i="1"/>
  <c r="W49" i="1"/>
  <c r="Z49" i="1" s="1"/>
  <c r="P49" i="1"/>
  <c r="K49" i="1"/>
  <c r="J49" i="1"/>
  <c r="A49" i="1"/>
  <c r="W48" i="1"/>
  <c r="Z48" i="1" s="1"/>
  <c r="P48" i="1"/>
  <c r="K48" i="1"/>
  <c r="J48" i="1"/>
  <c r="A48" i="1"/>
  <c r="W47" i="1"/>
  <c r="Z47" i="1" s="1"/>
  <c r="P47" i="1"/>
  <c r="K47" i="1"/>
  <c r="J47" i="1"/>
  <c r="A47" i="1"/>
  <c r="W46" i="1"/>
  <c r="Z46" i="1" s="1"/>
  <c r="P46" i="1"/>
  <c r="K46" i="1"/>
  <c r="J46" i="1"/>
  <c r="A46" i="1"/>
  <c r="W45" i="1"/>
  <c r="Z45" i="1" s="1"/>
  <c r="P45" i="1"/>
  <c r="K45" i="1"/>
  <c r="J45" i="1"/>
  <c r="A45" i="1"/>
  <c r="W44" i="1"/>
  <c r="Z44" i="1" s="1"/>
  <c r="P44" i="1"/>
  <c r="K44" i="1"/>
  <c r="J44" i="1"/>
  <c r="A44" i="1"/>
  <c r="W43" i="1"/>
  <c r="Z43" i="1" s="1"/>
  <c r="P43" i="1"/>
  <c r="K43" i="1"/>
  <c r="J43" i="1"/>
  <c r="A43" i="1"/>
  <c r="W42" i="1"/>
  <c r="Z42" i="1" s="1"/>
  <c r="P42" i="1"/>
  <c r="K42" i="1"/>
  <c r="J42" i="1"/>
  <c r="A42" i="1"/>
  <c r="W41" i="1"/>
  <c r="Z41" i="1" s="1"/>
  <c r="P41" i="1"/>
  <c r="K41" i="1"/>
  <c r="J41" i="1"/>
  <c r="A41" i="1"/>
  <c r="W40" i="1"/>
  <c r="Z40" i="1" s="1"/>
  <c r="P40" i="1"/>
  <c r="K40" i="1"/>
  <c r="J40" i="1"/>
  <c r="A40" i="1"/>
  <c r="W39" i="1"/>
  <c r="Z39" i="1" s="1"/>
  <c r="P39" i="1"/>
  <c r="K39" i="1"/>
  <c r="J39" i="1"/>
  <c r="A39" i="1"/>
  <c r="W38" i="1"/>
  <c r="Z38" i="1" s="1"/>
  <c r="P38" i="1"/>
  <c r="K38" i="1"/>
  <c r="J38" i="1"/>
  <c r="A38" i="1"/>
  <c r="W37" i="1"/>
  <c r="Z37" i="1" s="1"/>
  <c r="U37" i="1"/>
  <c r="K37" i="1" s="1"/>
  <c r="T37" i="1"/>
  <c r="P37" i="1"/>
  <c r="J37" i="1"/>
  <c r="A37" i="1"/>
  <c r="W36" i="1"/>
  <c r="Z36" i="1" s="1"/>
  <c r="P36" i="1"/>
  <c r="K36" i="1"/>
  <c r="J36" i="1"/>
  <c r="A36" i="1"/>
  <c r="W35" i="1"/>
  <c r="Z35" i="1" s="1"/>
  <c r="P35" i="1"/>
  <c r="K35" i="1"/>
  <c r="J35" i="1"/>
  <c r="A35" i="1"/>
  <c r="W34" i="1"/>
  <c r="Z34" i="1" s="1"/>
  <c r="P34" i="1"/>
  <c r="K34" i="1"/>
  <c r="J34" i="1"/>
  <c r="A34" i="1"/>
  <c r="W33" i="1"/>
  <c r="Z33" i="1" s="1"/>
  <c r="P33" i="1"/>
  <c r="K33" i="1"/>
  <c r="J33" i="1"/>
  <c r="A33" i="1"/>
  <c r="W32" i="1"/>
  <c r="Z32" i="1" s="1"/>
  <c r="P32" i="1"/>
  <c r="K32" i="1"/>
  <c r="J32" i="1"/>
  <c r="A32" i="1"/>
  <c r="W31" i="1"/>
  <c r="Z31" i="1" s="1"/>
  <c r="P31" i="1"/>
  <c r="K31" i="1"/>
  <c r="J31" i="1"/>
  <c r="A31" i="1"/>
  <c r="W30" i="1"/>
  <c r="Z30" i="1" s="1"/>
  <c r="P30" i="1"/>
  <c r="K30" i="1"/>
  <c r="J30" i="1"/>
  <c r="A30" i="1"/>
  <c r="W29" i="1"/>
  <c r="Z29" i="1" s="1"/>
  <c r="P29" i="1"/>
  <c r="K29" i="1"/>
  <c r="J29" i="1"/>
  <c r="A29" i="1"/>
  <c r="W28" i="1"/>
  <c r="Z28" i="1" s="1"/>
  <c r="P28" i="1"/>
  <c r="K28" i="1"/>
  <c r="J28" i="1"/>
  <c r="A28" i="1"/>
  <c r="W27" i="1"/>
  <c r="Z27" i="1" s="1"/>
  <c r="U27" i="1"/>
  <c r="T27" i="1"/>
  <c r="P27" i="1"/>
  <c r="K27" i="1"/>
  <c r="J27" i="1"/>
  <c r="A27" i="1"/>
  <c r="Z26" i="1"/>
  <c r="W26" i="1"/>
  <c r="U26" i="1"/>
  <c r="T26" i="1"/>
  <c r="P26" i="1"/>
  <c r="K26" i="1"/>
  <c r="J26" i="1"/>
  <c r="A26" i="1"/>
  <c r="W25" i="1"/>
  <c r="Z25" i="1" s="1"/>
  <c r="P25" i="1"/>
  <c r="K25" i="1"/>
  <c r="J25" i="1"/>
  <c r="A25" i="1"/>
  <c r="W24" i="1"/>
  <c r="Z24" i="1" s="1"/>
  <c r="U24" i="1"/>
  <c r="K24" i="1" s="1"/>
  <c r="T24" i="1"/>
  <c r="P24" i="1"/>
  <c r="J24" i="1"/>
  <c r="A24" i="1"/>
  <c r="W23" i="1"/>
  <c r="Z23" i="1" s="1"/>
  <c r="P23" i="1"/>
  <c r="K23" i="1"/>
  <c r="J23" i="1"/>
  <c r="A23" i="1"/>
  <c r="W22" i="1"/>
  <c r="Z22" i="1" s="1"/>
  <c r="P22" i="1"/>
  <c r="K22" i="1"/>
  <c r="J22" i="1"/>
  <c r="A22" i="1"/>
  <c r="W21" i="1"/>
  <c r="Z21" i="1" s="1"/>
  <c r="P21" i="1"/>
  <c r="K21" i="1"/>
  <c r="J21" i="1"/>
  <c r="A21" i="1"/>
  <c r="W20" i="1"/>
  <c r="Z20" i="1" s="1"/>
  <c r="P20" i="1"/>
  <c r="K20" i="1"/>
  <c r="J20" i="1"/>
  <c r="A20" i="1"/>
  <c r="W19" i="1"/>
  <c r="Z19" i="1" s="1"/>
  <c r="P19" i="1"/>
  <c r="K19" i="1"/>
  <c r="J19" i="1"/>
  <c r="A19" i="1"/>
  <c r="W18" i="1"/>
  <c r="Z18" i="1" s="1"/>
  <c r="U18" i="1"/>
  <c r="T18" i="1"/>
  <c r="P18" i="1"/>
  <c r="K18" i="1"/>
  <c r="J18" i="1"/>
  <c r="A18" i="1"/>
  <c r="Z17" i="1"/>
  <c r="W17" i="1"/>
  <c r="P17" i="1"/>
  <c r="K17" i="1"/>
  <c r="J17" i="1"/>
  <c r="A17" i="1"/>
  <c r="W16" i="1"/>
  <c r="Z16" i="1" s="1"/>
  <c r="P16" i="1"/>
  <c r="K16" i="1"/>
  <c r="J16" i="1"/>
  <c r="A16" i="1"/>
  <c r="Z15" i="1"/>
  <c r="W15" i="1"/>
  <c r="P15" i="1"/>
  <c r="K15" i="1"/>
  <c r="J15" i="1"/>
  <c r="A15" i="1"/>
  <c r="W14" i="1"/>
  <c r="Z14" i="1" s="1"/>
  <c r="P14" i="1"/>
  <c r="K14" i="1"/>
  <c r="J14" i="1"/>
  <c r="A14" i="1"/>
  <c r="Z13" i="1"/>
  <c r="W13" i="1"/>
  <c r="P13" i="1"/>
  <c r="K13" i="1"/>
  <c r="J13" i="1"/>
  <c r="A13" i="1"/>
  <c r="W12" i="1"/>
  <c r="Z12" i="1" s="1"/>
  <c r="P12" i="1"/>
  <c r="K12" i="1"/>
  <c r="J12" i="1"/>
  <c r="A12" i="1"/>
  <c r="Z11" i="1"/>
  <c r="W11" i="1"/>
  <c r="P11" i="1"/>
  <c r="K11" i="1"/>
  <c r="J11" i="1"/>
  <c r="A11" i="1"/>
  <c r="W10" i="1"/>
  <c r="Z10" i="1" s="1"/>
  <c r="P10" i="1"/>
  <c r="K10" i="1"/>
  <c r="J10" i="1"/>
  <c r="A10" i="1"/>
  <c r="Z9" i="1"/>
  <c r="W9" i="1"/>
  <c r="P9" i="1"/>
  <c r="K9" i="1"/>
  <c r="J9" i="1"/>
  <c r="A9" i="1"/>
  <c r="W8" i="1"/>
  <c r="Z8" i="1" s="1"/>
  <c r="P8" i="1"/>
  <c r="K8" i="1"/>
  <c r="J8" i="1"/>
  <c r="A8" i="1"/>
  <c r="Z7" i="1"/>
  <c r="W7" i="1"/>
  <c r="P7" i="1"/>
  <c r="K7" i="1"/>
  <c r="J7" i="1"/>
  <c r="A7" i="1"/>
  <c r="W6" i="1"/>
  <c r="Z6" i="1" s="1"/>
  <c r="P6" i="1"/>
  <c r="K6" i="1"/>
  <c r="J6" i="1"/>
  <c r="A6" i="1"/>
  <c r="Z5" i="1"/>
  <c r="W5" i="1"/>
  <c r="P5" i="1"/>
  <c r="K5" i="1"/>
  <c r="J5" i="1"/>
  <c r="A5" i="1"/>
  <c r="W4" i="1"/>
  <c r="Z4" i="1" s="1"/>
  <c r="P4" i="1"/>
  <c r="K4" i="1"/>
  <c r="J4" i="1"/>
  <c r="A4" i="1"/>
  <c r="Z3" i="1"/>
  <c r="W3" i="1"/>
  <c r="P3" i="1"/>
  <c r="K3" i="1"/>
  <c r="J3" i="1"/>
  <c r="A3" i="1"/>
  <c r="W2" i="1"/>
  <c r="Z2" i="1" s="1"/>
  <c r="P2" i="1"/>
  <c r="K2" i="1"/>
  <c r="J2" i="1"/>
  <c r="A2" i="1"/>
</calcChain>
</file>

<file path=xl/sharedStrings.xml><?xml version="1.0" encoding="utf-8"?>
<sst xmlns="http://schemas.openxmlformats.org/spreadsheetml/2006/main" count="2031" uniqueCount="346">
  <si>
    <t>NO</t>
  </si>
  <si>
    <t>Month</t>
  </si>
  <si>
    <t>Transpotor name</t>
  </si>
  <si>
    <t>PAN</t>
  </si>
  <si>
    <t>TDS DeclN</t>
  </si>
  <si>
    <t>Vehicle No.</t>
  </si>
  <si>
    <t xml:space="preserve">Vehicle Type </t>
  </si>
  <si>
    <t>LR No</t>
  </si>
  <si>
    <t>LR Date</t>
  </si>
  <si>
    <t>Ageing</t>
  </si>
  <si>
    <t>POD Soft Copy Recd Date</t>
  </si>
  <si>
    <t>Origin to Destination</t>
  </si>
  <si>
    <t>Total 
Trasport Charges</t>
  </si>
  <si>
    <t>Transport Advance Paid</t>
  </si>
  <si>
    <t>Advance Paid Date</t>
  </si>
  <si>
    <t>TransportBalance Payment</t>
  </si>
  <si>
    <t>Balance Paid Date</t>
  </si>
  <si>
    <t>Customer Name (Billing From Vistar)</t>
  </si>
  <si>
    <t>Vistar Billing Amount</t>
  </si>
  <si>
    <t>Vistar Bill No</t>
  </si>
  <si>
    <t>Vistar Bill Date</t>
  </si>
  <si>
    <t>Mathadi 
Charges</t>
  </si>
  <si>
    <t>Vistar 
Margin</t>
  </si>
  <si>
    <t>Trip Lead by</t>
  </si>
  <si>
    <t xml:space="preserve"> ADVANCE PAID BY 
</t>
  </si>
  <si>
    <t>Margin</t>
  </si>
  <si>
    <t>Aging</t>
  </si>
  <si>
    <t>1) Apr-26</t>
  </si>
  <si>
    <t>Ajay Express</t>
  </si>
  <si>
    <t>YES</t>
  </si>
  <si>
    <t>Pending</t>
  </si>
  <si>
    <t>mh20gc3689</t>
  </si>
  <si>
    <t>7MT</t>
  </si>
  <si>
    <t>G168 To  Hosur</t>
  </si>
  <si>
    <t>Sanjeev Auto</t>
  </si>
  <si>
    <t>VL/MH/26-27/0018</t>
  </si>
  <si>
    <t>Nil</t>
  </si>
  <si>
    <t xml:space="preserve">Deepak </t>
  </si>
  <si>
    <t>VISTAR</t>
  </si>
  <si>
    <t>New matoshree Roadlines</t>
  </si>
  <si>
    <t>MH16DP1794</t>
  </si>
  <si>
    <t>1200KG</t>
  </si>
  <si>
    <t> g168 To  hosur</t>
  </si>
  <si>
    <t>VL/MH/26-27/0015</t>
  </si>
  <si>
    <t>mh20gc2618</t>
  </si>
  <si>
    <t xml:space="preserve"> Virbhadra transport</t>
  </si>
  <si>
    <t>MH20EL9004</t>
  </si>
  <si>
    <t>Sanjeev Auto To Sanjeev Auto Hosur</t>
  </si>
  <si>
    <t>VL/MH/26-27/0014</t>
  </si>
  <si>
    <t>Sai Transport company</t>
  </si>
  <si>
    <t>MH16CD3533</t>
  </si>
  <si>
    <t>Sanjeev Auto G168 To Sanjeev Auto Hosur  </t>
  </si>
  <si>
    <t>mh22an5979</t>
  </si>
  <si>
    <t>mh12yb6002</t>
  </si>
  <si>
    <t>VL/MH/26-27/0016</t>
  </si>
  <si>
    <t>mh57b8689</t>
  </si>
  <si>
    <t>VL/MH/26-27/0019</t>
  </si>
  <si>
    <t>MH20GC3689</t>
  </si>
  <si>
    <t>Sanjeev Auto To Sanjeev Auto  Hosur</t>
  </si>
  <si>
    <t>mh16cc7471</t>
  </si>
  <si>
    <t>mh16dp1794</t>
  </si>
  <si>
    <t>VL/MH/26-27/0017</t>
  </si>
  <si>
    <t>mh16dp0782</t>
  </si>
  <si>
    <t>MH20GZ2997</t>
  </si>
  <si>
    <t>VLPLW-26-27-0001</t>
  </si>
  <si>
    <t>G168 to Sanjeev Auto Hosur</t>
  </si>
  <si>
    <t>VLPLW-26-27-0002</t>
  </si>
  <si>
    <t>VL/MH/26-27/0020</t>
  </si>
  <si>
    <t>VLPLW-26-27-0003</t>
  </si>
  <si>
    <t>VL/MH/26-27/0013</t>
  </si>
  <si>
    <t>mh16cd9721</t>
  </si>
  <si>
    <t xml:space="preserve">VLPLW-26-27-0004 </t>
  </si>
  <si>
    <t>mh16dp1795</t>
  </si>
  <si>
    <t>VLPLW-26-27-0005</t>
  </si>
  <si>
    <t>mh20gz5689</t>
  </si>
  <si>
    <t xml:space="preserve">VLPLW-26-27-0006 </t>
  </si>
  <si>
    <t>VL/MH/26-27/0190</t>
  </si>
  <si>
    <t>mh57b5014</t>
  </si>
  <si>
    <t>VLPLW-26-27-0007</t>
  </si>
  <si>
    <t>VL/MH/26-27/0175</t>
  </si>
  <si>
    <t>mh20gc7061</t>
  </si>
  <si>
    <t>VLPLW-26-27-0008 </t>
  </si>
  <si>
    <t xml:space="preserve"> mh20gz2997</t>
  </si>
  <si>
    <t>7mt</t>
  </si>
  <si>
    <t xml:space="preserve">VLPLW-26-27-0009 </t>
  </si>
  <si>
    <t>MH20DT0208</t>
  </si>
  <si>
    <t xml:space="preserve">VLPLW-26-27-0010 </t>
  </si>
  <si>
    <t>VLPLW-26-27-0011 </t>
  </si>
  <si>
    <t>VL/MH/26-27/0102</t>
  </si>
  <si>
    <t>MH20GZ1256</t>
  </si>
  <si>
    <t>VLPLW-26-27-0012</t>
  </si>
  <si>
    <t>g168 To  Hosur</t>
  </si>
  <si>
    <t>MH20GZ0755</t>
  </si>
  <si>
    <t xml:space="preserve">VLPLW-26-27-0013  </t>
  </si>
  <si>
    <t>MH57B8669</t>
  </si>
  <si>
    <t>VLPLW-26-27-0014 </t>
  </si>
  <si>
    <t>mh20gc0338</t>
  </si>
  <si>
    <t>VLPLW-26-27-0015 </t>
  </si>
  <si>
    <t>VL/MH/26-27/0176</t>
  </si>
  <si>
    <t>MH20GC9689</t>
  </si>
  <si>
    <t>VLPLW-26-27-0016 </t>
  </si>
  <si>
    <t>VL/MH/26-27/0191</t>
  </si>
  <si>
    <t>mh20el9598</t>
  </si>
  <si>
    <t>VLPLW-26-27-0017</t>
  </si>
  <si>
    <t>VLPLW-26-27-0018</t>
  </si>
  <si>
    <t>MH57B0337</t>
  </si>
  <si>
    <t xml:space="preserve">VLPLW-26-27-0027 </t>
  </si>
  <si>
    <t>Waluj To HOSUR</t>
  </si>
  <si>
    <t>VL/MH/26-27/0177</t>
  </si>
  <si>
    <t>mh20gz0039</t>
  </si>
  <si>
    <t xml:space="preserve">VLPLW-26-27-0039 </t>
  </si>
  <si>
    <t>VL/MH/26-27/0178</t>
  </si>
  <si>
    <t xml:space="preserve">VLPLW 26-27-0044 </t>
  </si>
  <si>
    <t>mh20gz4689</t>
  </si>
  <si>
    <t>VLPLW 26-27-0045</t>
  </si>
  <si>
    <t>VL/MH/26-27/0193</t>
  </si>
  <si>
    <t>mh20gc0047</t>
  </si>
  <si>
    <t>VLPLW-26-27-0047 </t>
  </si>
  <si>
    <t xml:space="preserve">VLPLW-26-27 0060 </t>
  </si>
  <si>
    <t>MH20GZ5014</t>
  </si>
  <si>
    <t>VLPLW-26-27 0061</t>
  </si>
  <si>
    <t>MH20EL9598</t>
  </si>
  <si>
    <t>VLPL2627 0062</t>
  </si>
  <si>
    <t> Sanjeev Auto To Sanjeev Auto  Hosur</t>
  </si>
  <si>
    <t>VL/MH/26-27/0195</t>
  </si>
  <si>
    <t>MH16DP0782</t>
  </si>
  <si>
    <t xml:space="preserve">VLPLW2627 0081 </t>
  </si>
  <si>
    <t>VL/MH/26-27/0179</t>
  </si>
  <si>
    <t>MH20GC7052</t>
  </si>
  <si>
    <t>VLPLW2627 0082 </t>
  </si>
  <si>
    <t xml:space="preserve">VLPLw2627 0095 </t>
  </si>
  <si>
    <t>mh38x2521</t>
  </si>
  <si>
    <t xml:space="preserve">VLPLW2627 0105 </t>
  </si>
  <si>
    <t>VL/MH/26-27/0181</t>
  </si>
  <si>
    <t>MH20Gz4689</t>
  </si>
  <si>
    <t xml:space="preserve">VLPLW-26-27-0106 </t>
  </si>
  <si>
    <t>G168 To  Hosur</t>
  </si>
  <si>
    <t>mh16cd9872</t>
  </si>
  <si>
    <t xml:space="preserve">VLPLW2627 0107 </t>
  </si>
  <si>
    <t>VL/MH/26-27/0180</t>
  </si>
  <si>
    <t>mh20gc3648</t>
  </si>
  <si>
    <t xml:space="preserve">VLPLW2627 0140 </t>
  </si>
  <si>
    <t>Waluj To hosur</t>
  </si>
  <si>
    <t>mh16cd7337</t>
  </si>
  <si>
    <t>VLPLW2627 0141</t>
  </si>
  <si>
    <t xml:space="preserve">VLPLw2627 0142 </t>
  </si>
  <si>
    <t>VL/MH/26-27/0197</t>
  </si>
  <si>
    <t>VLPLW-26-27-0143</t>
  </si>
  <si>
    <t>VL/MH/26-27/0103</t>
  </si>
  <si>
    <t>mh20gz7688</t>
  </si>
  <si>
    <t>VLPLW-26-27-0157</t>
  </si>
  <si>
    <t>VL/MH/26-27/0174</t>
  </si>
  <si>
    <t>mh20gz2997</t>
  </si>
  <si>
    <t>VLPLW2627 0158</t>
  </si>
  <si>
    <t xml:space="preserve">VLPLW2627 0182 </t>
  </si>
  <si>
    <t>mh20gc9561</t>
  </si>
  <si>
    <t xml:space="preserve">VLPLW2627 0183 </t>
  </si>
  <si>
    <t>MH20GC3648</t>
  </si>
  <si>
    <t>VLPLW-26-27 0184</t>
  </si>
  <si>
    <t>G168 To Hosur</t>
  </si>
  <si>
    <t>MH20GZ5689</t>
  </si>
  <si>
    <t>VLPLW2627 0185</t>
  </si>
  <si>
    <t>VL/MH/26-27/0198</t>
  </si>
  <si>
    <t>MH57B2689</t>
  </si>
  <si>
    <t xml:space="preserve">VLPLW 26-27 0200 </t>
  </si>
  <si>
    <t>MH16CC7471</t>
  </si>
  <si>
    <t>VLPLW2627 0201</t>
  </si>
  <si>
    <t>VL/MH/26-27/0182</t>
  </si>
  <si>
    <t>MH16CD3443</t>
  </si>
  <si>
    <t>VLPLW2627 0202</t>
  </si>
  <si>
    <t>MH16CD9872</t>
  </si>
  <si>
    <t>VLPLW26-27 0221</t>
  </si>
  <si>
    <t>Waluj To Hosur</t>
  </si>
  <si>
    <t>VL/MH/26-27/0183</t>
  </si>
  <si>
    <t>MH16DP4083</t>
  </si>
  <si>
    <t>VLPLW26-27 0222</t>
  </si>
  <si>
    <t>VL/MH/26-27/0184</t>
  </si>
  <si>
    <t>VLPLW2627/232 </t>
  </si>
  <si>
    <t>MH16DP1795</t>
  </si>
  <si>
    <t xml:space="preserve">VLPLW2627/233  </t>
  </si>
  <si>
    <t>MH20GC2381</t>
  </si>
  <si>
    <t>VLPLW2627/237</t>
  </si>
  <si>
    <t>VL/MH/26-27/0200</t>
  </si>
  <si>
    <t xml:space="preserve">VLPLW2627/268  </t>
  </si>
  <si>
    <t>mh20gc7154</t>
  </si>
  <si>
    <t>VLPLW2627/269</t>
  </si>
  <si>
    <t>mh20gc4463</t>
  </si>
  <si>
    <t>VLPLW2627/270</t>
  </si>
  <si>
    <t>mh12yq6620</t>
  </si>
  <si>
    <t>VLPLW2627/271</t>
  </si>
  <si>
    <t>mh20gc6155</t>
  </si>
  <si>
    <t>VLPLW2627/281</t>
  </si>
  <si>
    <t>VL/MH/26-27/0185</t>
  </si>
  <si>
    <t>mh40cm2305</t>
  </si>
  <si>
    <t>VLPLW2627/282</t>
  </si>
  <si>
    <t>VLPLW2627/283</t>
  </si>
  <si>
    <t>Waluj  To  hosur</t>
  </si>
  <si>
    <t>VLPLW2627/313</t>
  </si>
  <si>
    <t>VL/MH/26-27/0104</t>
  </si>
  <si>
    <t>VLPLW2627/314</t>
  </si>
  <si>
    <t>MH16CD4302</t>
  </si>
  <si>
    <t>VLPLW2627/315</t>
  </si>
  <si>
    <t>VL/MH/26-27/0186</t>
  </si>
  <si>
    <t>mh20ct0208</t>
  </si>
  <si>
    <t>VLPLW2627/316</t>
  </si>
  <si>
    <t>VL/MH/26-27/0201</t>
  </si>
  <si>
    <t>VLPLW2627/331</t>
  </si>
  <si>
    <t>KA52C5188</t>
  </si>
  <si>
    <t>VLPLW2627/333</t>
  </si>
  <si>
    <t>Ajay Express</t>
  </si>
  <si>
    <t>mh20gc9689</t>
  </si>
  <si>
    <t>VLPLW2627/334</t>
  </si>
  <si>
    <t>VLPLW2627/335</t>
  </si>
  <si>
    <t>2) May-26</t>
  </si>
  <si>
    <t>10mt</t>
  </si>
  <si>
    <t xml:space="preserve">VLPLW2627/354  </t>
  </si>
  <si>
    <t>hosur to g168</t>
  </si>
  <si>
    <t>MH20GY1689</t>
  </si>
  <si>
    <t>VLPLW2627/358</t>
  </si>
  <si>
    <t>VL/MH/26-27/0202</t>
  </si>
  <si>
    <t>MH57B7688</t>
  </si>
  <si>
    <t>VLPLW2627/393</t>
  </si>
  <si>
    <t>Waluj  To  HOSUR</t>
  </si>
  <si>
    <t>mh20gc7689</t>
  </si>
  <si>
    <t>VLPLW2627/394</t>
  </si>
  <si>
    <t>G168 To Hosur</t>
  </si>
  <si>
    <t>Jay transport</t>
  </si>
  <si>
    <t>mh20gc4472</t>
  </si>
  <si>
    <t>VLPLW2627/395</t>
  </si>
  <si>
    <t>Waluj To hosur </t>
  </si>
  <si>
    <t>Sandeep</t>
  </si>
  <si>
    <t>mh20gc8659</t>
  </si>
  <si>
    <t>VLPLW2627/396</t>
  </si>
  <si>
    <t>mh16cd0782</t>
  </si>
  <si>
    <t>VLPLW2627/426</t>
  </si>
  <si>
    <t>VLPLW2627/427</t>
  </si>
  <si>
    <t>VLPLW2627/428</t>
  </si>
  <si>
    <t>VLPLW2627/457</t>
  </si>
  <si>
    <t>MH20GZ2883</t>
  </si>
  <si>
    <t>1MT</t>
  </si>
  <si>
    <t>VLPLW2627/458</t>
  </si>
  <si>
    <t>mh20gz2584</t>
  </si>
  <si>
    <t>VLPLW2627/459</t>
  </si>
  <si>
    <t>mh16cd8201</t>
  </si>
  <si>
    <t>VLPLW2627/518</t>
  </si>
  <si>
    <t>MH12YQ5143</t>
  </si>
  <si>
    <t>VLPLW2627/519</t>
  </si>
  <si>
    <t>Waluj To narsapura</t>
  </si>
  <si>
    <t>MH16CC7088</t>
  </si>
  <si>
    <t>VLPLW2627/544</t>
  </si>
  <si>
    <t>KA05AQ6258</t>
  </si>
  <si>
    <t>VLPLW2627/545</t>
  </si>
  <si>
    <t>mh20GC7061</t>
  </si>
  <si>
    <t>VLPLW2627/548</t>
  </si>
  <si>
    <t>VLPLW2627/546</t>
  </si>
  <si>
    <t>mh16cc9497</t>
  </si>
  <si>
    <t>3.5MT</t>
  </si>
  <si>
    <t>VLPLW2627/547</t>
  </si>
  <si>
    <t>mh16cd5221</t>
  </si>
  <si>
    <t>VLPLW2627/549</t>
  </si>
  <si>
    <t>VLPLW2627/571</t>
  </si>
  <si>
    <t>VLPLW2627/572</t>
  </si>
  <si>
    <t>VLPLW2627/616</t>
  </si>
  <si>
    <t>VLPLW2627/617</t>
  </si>
  <si>
    <t>mh20gz0501</t>
  </si>
  <si>
    <t>VLPLW2627/644</t>
  </si>
  <si>
    <t xml:space="preserve">VLPLW2627/645  </t>
  </si>
  <si>
    <t>MH20GC3732</t>
  </si>
  <si>
    <t>VLPLW2627/646</t>
  </si>
  <si>
    <t>MH23AU7571</t>
  </si>
  <si>
    <t>VLPLW2627/647</t>
  </si>
  <si>
    <t>mh16dp4278</t>
  </si>
  <si>
    <t>VLPLW2627/697</t>
  </si>
  <si>
    <t>mh16dp4140</t>
  </si>
  <si>
    <t>VLPLW2627/698</t>
  </si>
  <si>
    <t>mh16cc66685</t>
  </si>
  <si>
    <t xml:space="preserve">VLPLW2627/699  </t>
  </si>
  <si>
    <t>mh57b0337</t>
  </si>
  <si>
    <t xml:space="preserve">VLPLW2627/700  </t>
  </si>
  <si>
    <t>VLPLW2627/703</t>
  </si>
  <si>
    <t xml:space="preserve">VLPLW2627/711  </t>
  </si>
  <si>
    <t>VLPLW2627/712</t>
  </si>
  <si>
    <t>VLPLW2627/713</t>
  </si>
  <si>
    <t>mh07aj1458</t>
  </si>
  <si>
    <t>VLPLW2627/715</t>
  </si>
  <si>
    <t>mh20gc3234</t>
  </si>
  <si>
    <t xml:space="preserve">VLPLW2627/719  </t>
  </si>
  <si>
    <t xml:space="preserve">VLPLW2627/744  </t>
  </si>
  <si>
    <t>mh20gc7688</t>
  </si>
  <si>
    <t>VLPLW2627/747</t>
  </si>
  <si>
    <t>mh20gh9911</t>
  </si>
  <si>
    <t xml:space="preserve">VLPLW2627/748  </t>
  </si>
  <si>
    <t>VLPLW2627/749</t>
  </si>
  <si>
    <t xml:space="preserve">VLPLW2627/746  </t>
  </si>
  <si>
    <t xml:space="preserve">VLPLW2627/768  </t>
  </si>
  <si>
    <t>VLPLW2627/769</t>
  </si>
  <si>
    <t>Waluj  To HOSUR</t>
  </si>
  <si>
    <t xml:space="preserve">VLPLW2627/877  </t>
  </si>
  <si>
    <t xml:space="preserve">VLPLW2627/866  </t>
  </si>
  <si>
    <t>mh57b2689</t>
  </si>
  <si>
    <t>VLPLW2627/867</t>
  </si>
  <si>
    <t>mh20gz5014</t>
  </si>
  <si>
    <t xml:space="preserve">VLPLW2627/878  </t>
  </si>
  <si>
    <t>mh20gc4721</t>
  </si>
  <si>
    <t>VLPLW2627/879</t>
  </si>
  <si>
    <t>mh16dp9721</t>
  </si>
  <si>
    <t>VLPLW2627/880</t>
  </si>
  <si>
    <t>g168 to hosur</t>
  </si>
  <si>
    <t>VLPLW2627/881</t>
  </si>
  <si>
    <t>mh20gc5014</t>
  </si>
  <si>
    <t>VLPLW2627/884</t>
  </si>
  <si>
    <t>mh57b7688</t>
  </si>
  <si>
    <t>VLPLW2627/885</t>
  </si>
  <si>
    <t>mh20gc8475</t>
  </si>
  <si>
    <t>1 MT</t>
  </si>
  <si>
    <t xml:space="preserve">VLPLW2627/886  </t>
  </si>
  <si>
    <t>WALUJ To GURGAON</t>
  </si>
  <si>
    <t>VLPLW2627/887</t>
  </si>
  <si>
    <t>mh20gy1689</t>
  </si>
  <si>
    <t xml:space="preserve">VLPLW2627/888  </t>
  </si>
  <si>
    <t>mh16cc6309</t>
  </si>
  <si>
    <t>VLPLW2627/889</t>
  </si>
  <si>
    <t>mh47bl0593</t>
  </si>
  <si>
    <t xml:space="preserve">VLPLW2627/891  </t>
  </si>
  <si>
    <t>MH20GC0631</t>
  </si>
  <si>
    <t>VLPLW2627/892</t>
  </si>
  <si>
    <t>mh16cd7364</t>
  </si>
  <si>
    <t xml:space="preserve">VLPLW2627/916  </t>
  </si>
  <si>
    <t>VLPLW2627/917</t>
  </si>
  <si>
    <t>VLPLW2627/919</t>
  </si>
  <si>
    <t>VLPLW2627/920</t>
  </si>
  <si>
    <t>VLPLW2627/937</t>
  </si>
  <si>
    <t>MH20GC3234</t>
  </si>
  <si>
    <t>VLPLW2627/994</t>
  </si>
  <si>
    <t>Waluj To hosu</t>
  </si>
  <si>
    <t>VLPLW2627/997</t>
  </si>
  <si>
    <t>MH20GC2618</t>
  </si>
  <si>
    <t>VLPLW2627/992</t>
  </si>
  <si>
    <t>VLPLW2627/993</t>
  </si>
  <si>
    <t>MH16CC6685</t>
  </si>
  <si>
    <t>VLPLW2627/995</t>
  </si>
  <si>
    <t>VLPLW2627/996</t>
  </si>
  <si>
    <t>mh16cc7088</t>
  </si>
  <si>
    <t>VLPLW2627/998</t>
  </si>
  <si>
    <t>mh16cd7301</t>
  </si>
  <si>
    <t>VLPLW2627/999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</si>
</sst>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pdot"/>
    </font>
    <font>
      <b/>
      <sz val="10"/>
      <name val="Aptos"/>
      <family val="2"/>
    </font>
    <font>
      <sz val="11"/>
      <color theme="1"/>
      <name val="Apdot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20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vertical="top"/>
    </xf>
    <xf numFmtId="0" fontId="4" fillId="3" borderId="1" xfId="0" applyFont="1" applyFill="1" applyBorder="1"/>
    <xf numFmtId="14" fontId="4" fillId="0" borderId="1" xfId="0" applyNumberFormat="1" applyFont="1" applyBorder="1"/>
    <xf numFmtId="14" fontId="0" fillId="0" borderId="1" xfId="0" applyNumberFormat="1" applyBorder="1"/>
    <xf numFmtId="164" fontId="4" fillId="0" borderId="1" xfId="1" applyNumberFormat="1" applyFont="1" applyBorder="1"/>
    <xf numFmtId="0" fontId="4" fillId="4" borderId="1" xfId="0" applyFont="1" applyFill="1" applyBorder="1"/>
  </cellXfs>
  <cellStyles count="2">
    <cellStyle name="Comma" xfId="1" builtinId="3"/>
    <cellStyle name="Normal" xfId="0" builtinId="0"/>
  </cellStyles>
  <dxfs count="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.#Transport Business Tracker 2026-2027.xlsx 1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 Aurangabad"/>
      <sheetName val="MIS Sanjeev Auto"/>
      <sheetName val="MIS Reliable"/>
      <sheetName val="MIS Eaton"/>
      <sheetName val="POD Pending Report"/>
    </sheetNames>
    <sheetDataSet>
      <sheetData sheetId="0" refreshError="1"/>
      <sheetData sheetId="1" refreshError="1">
        <row r="1">
          <cell r="H1" t="str">
            <v>LR No</v>
          </cell>
          <cell r="I1" t="str">
            <v>LR Date</v>
          </cell>
          <cell r="J1" t="str">
            <v>Ageing</v>
          </cell>
          <cell r="K1" t="str">
            <v>POD Soft Copy Recd Date</v>
          </cell>
          <cell r="L1" t="str">
            <v>Origin to Destination</v>
          </cell>
          <cell r="M1" t="str">
            <v>Total 
Trasport Charges</v>
          </cell>
          <cell r="N1" t="str">
            <v>Transport Advance Paid</v>
          </cell>
          <cell r="O1" t="str">
            <v>Advance Paid Date</v>
          </cell>
          <cell r="P1" t="str">
            <v>TransportBalance Payment</v>
          </cell>
          <cell r="Q1" t="str">
            <v>Balance Paid Date</v>
          </cell>
          <cell r="R1" t="str">
            <v>Customer Name (Billing From Vistar)</v>
          </cell>
          <cell r="S1" t="str">
            <v>Vistar Billing Amount</v>
          </cell>
          <cell r="T1" t="str">
            <v>Vistar Bill No</v>
          </cell>
          <cell r="U1" t="str">
            <v>Vistar Bill Date</v>
          </cell>
        </row>
        <row r="2">
          <cell r="H2">
            <v>16884</v>
          </cell>
          <cell r="I2">
            <v>46113</v>
          </cell>
          <cell r="J2">
            <v>65</v>
          </cell>
          <cell r="K2">
            <v>46129</v>
          </cell>
          <cell r="L2" t="str">
            <v>G168 To  Hosur</v>
          </cell>
          <cell r="M2">
            <v>39000</v>
          </cell>
          <cell r="N2">
            <v>34000</v>
          </cell>
          <cell r="O2">
            <v>46113</v>
          </cell>
          <cell r="P2">
            <v>5000</v>
          </cell>
          <cell r="Q2">
            <v>46141</v>
          </cell>
          <cell r="R2" t="str">
            <v>Sanjeev Auto</v>
          </cell>
          <cell r="S2">
            <v>46000</v>
          </cell>
          <cell r="T2" t="str">
            <v>VL/MH/26-27/0018</v>
          </cell>
          <cell r="U2">
            <v>46129</v>
          </cell>
        </row>
        <row r="3">
          <cell r="H3">
            <v>16889</v>
          </cell>
          <cell r="I3">
            <v>46116</v>
          </cell>
          <cell r="J3">
            <v>62</v>
          </cell>
          <cell r="K3">
            <v>46129</v>
          </cell>
          <cell r="L3" t="str">
            <v> g168 To  hosur</v>
          </cell>
          <cell r="M3">
            <v>19000</v>
          </cell>
          <cell r="N3">
            <v>17000</v>
          </cell>
          <cell r="O3">
            <v>46116</v>
          </cell>
          <cell r="P3">
            <v>2000</v>
          </cell>
          <cell r="Q3">
            <v>46141</v>
          </cell>
          <cell r="R3" t="str">
            <v>Sanjeev Auto</v>
          </cell>
          <cell r="S3">
            <v>22000</v>
          </cell>
          <cell r="T3" t="str">
            <v>VL/MH/26-27/0015</v>
          </cell>
          <cell r="U3">
            <v>46129</v>
          </cell>
        </row>
        <row r="4">
          <cell r="H4">
            <v>16890</v>
          </cell>
          <cell r="I4">
            <v>46116</v>
          </cell>
          <cell r="J4">
            <v>62</v>
          </cell>
          <cell r="K4">
            <v>46129</v>
          </cell>
          <cell r="L4" t="str">
            <v> g168 To  hosur</v>
          </cell>
          <cell r="M4">
            <v>19000</v>
          </cell>
          <cell r="N4">
            <v>17000</v>
          </cell>
          <cell r="O4">
            <v>46116</v>
          </cell>
          <cell r="P4">
            <v>2000</v>
          </cell>
          <cell r="Q4">
            <v>46141</v>
          </cell>
          <cell r="R4" t="str">
            <v>Sanjeev Auto</v>
          </cell>
          <cell r="S4">
            <v>22000</v>
          </cell>
          <cell r="T4" t="str">
            <v>VL/MH/26-27/0015</v>
          </cell>
          <cell r="U4">
            <v>46129</v>
          </cell>
        </row>
        <row r="5">
          <cell r="H5">
            <v>16891</v>
          </cell>
          <cell r="I5">
            <v>46114</v>
          </cell>
          <cell r="J5">
            <v>64</v>
          </cell>
          <cell r="K5">
            <v>46129</v>
          </cell>
          <cell r="L5" t="str">
            <v>Sanjeev Auto To Sanjeev Auto Hosur</v>
          </cell>
          <cell r="M5">
            <v>27500</v>
          </cell>
          <cell r="N5">
            <v>24500</v>
          </cell>
          <cell r="O5">
            <v>46116</v>
          </cell>
          <cell r="P5">
            <v>3000</v>
          </cell>
          <cell r="Q5">
            <v>46141</v>
          </cell>
          <cell r="R5" t="str">
            <v>Sanjeev Auto</v>
          </cell>
          <cell r="S5">
            <v>32000</v>
          </cell>
          <cell r="T5" t="str">
            <v>VL/MH/26-27/0014</v>
          </cell>
          <cell r="U5">
            <v>46129</v>
          </cell>
        </row>
        <row r="6">
          <cell r="H6">
            <v>16892</v>
          </cell>
          <cell r="I6">
            <v>46116</v>
          </cell>
          <cell r="J6">
            <v>62</v>
          </cell>
          <cell r="K6">
            <v>46129</v>
          </cell>
          <cell r="L6" t="str">
            <v>Sanjeev Auto G168 To Sanjeev Auto Hosur  </v>
          </cell>
          <cell r="M6">
            <v>39000</v>
          </cell>
          <cell r="N6">
            <v>34000</v>
          </cell>
          <cell r="O6">
            <v>46116</v>
          </cell>
          <cell r="P6">
            <v>5000</v>
          </cell>
          <cell r="Q6">
            <v>46141</v>
          </cell>
          <cell r="R6" t="str">
            <v>Sanjeev Auto</v>
          </cell>
          <cell r="S6">
            <v>46000</v>
          </cell>
          <cell r="T6" t="str">
            <v>VL/MH/26-27/0018</v>
          </cell>
          <cell r="U6">
            <v>46129</v>
          </cell>
        </row>
        <row r="7">
          <cell r="H7">
            <v>16893</v>
          </cell>
          <cell r="I7">
            <v>46116</v>
          </cell>
          <cell r="J7">
            <v>62</v>
          </cell>
          <cell r="K7">
            <v>46129</v>
          </cell>
          <cell r="L7" t="str">
            <v> g168 To  hosur</v>
          </cell>
          <cell r="M7">
            <v>19000</v>
          </cell>
          <cell r="N7">
            <v>17000</v>
          </cell>
          <cell r="O7">
            <v>46118</v>
          </cell>
          <cell r="P7">
            <v>2000</v>
          </cell>
          <cell r="Q7">
            <v>46141</v>
          </cell>
          <cell r="R7" t="str">
            <v>Sanjeev Auto</v>
          </cell>
          <cell r="S7">
            <v>22000</v>
          </cell>
          <cell r="T7" t="str">
            <v>VL/MH/26-27/0015</v>
          </cell>
          <cell r="U7">
            <v>46129</v>
          </cell>
        </row>
        <row r="8">
          <cell r="H8">
            <v>16894</v>
          </cell>
          <cell r="I8">
            <v>46117</v>
          </cell>
          <cell r="J8">
            <v>61</v>
          </cell>
          <cell r="K8">
            <v>46129</v>
          </cell>
          <cell r="L8" t="str">
            <v> g168 To  hosur</v>
          </cell>
          <cell r="M8">
            <v>19000</v>
          </cell>
          <cell r="N8">
            <v>17000</v>
          </cell>
          <cell r="O8">
            <v>46118</v>
          </cell>
          <cell r="P8">
            <v>2000</v>
          </cell>
          <cell r="Q8">
            <v>46141</v>
          </cell>
          <cell r="R8" t="str">
            <v>Sanjeev Auto</v>
          </cell>
          <cell r="S8">
            <v>22000</v>
          </cell>
          <cell r="T8" t="str">
            <v>VL/MH/26-27/0016</v>
          </cell>
          <cell r="U8">
            <v>46129</v>
          </cell>
        </row>
        <row r="9">
          <cell r="H9">
            <v>16895</v>
          </cell>
          <cell r="I9">
            <v>46116</v>
          </cell>
          <cell r="J9">
            <v>62</v>
          </cell>
          <cell r="K9">
            <v>46129</v>
          </cell>
          <cell r="L9" t="str">
            <v>G168 To  Hosur</v>
          </cell>
          <cell r="M9">
            <v>39000</v>
          </cell>
          <cell r="N9">
            <v>34000</v>
          </cell>
          <cell r="O9">
            <v>46118</v>
          </cell>
          <cell r="P9">
            <v>5000</v>
          </cell>
          <cell r="Q9">
            <v>46141</v>
          </cell>
          <cell r="R9" t="str">
            <v>Sanjeev Auto</v>
          </cell>
          <cell r="S9">
            <v>46000</v>
          </cell>
          <cell r="T9" t="str">
            <v>VL/MH/26-27/0019</v>
          </cell>
          <cell r="U9">
            <v>46129</v>
          </cell>
        </row>
        <row r="10">
          <cell r="H10">
            <v>16896</v>
          </cell>
          <cell r="I10">
            <v>46114</v>
          </cell>
          <cell r="J10">
            <v>64</v>
          </cell>
          <cell r="K10">
            <v>46129</v>
          </cell>
          <cell r="L10" t="str">
            <v>Sanjeev Auto To Sanjeev Auto  Hosur</v>
          </cell>
          <cell r="M10">
            <v>27500</v>
          </cell>
          <cell r="N10">
            <v>24500</v>
          </cell>
          <cell r="O10">
            <v>46118</v>
          </cell>
          <cell r="P10">
            <v>3000</v>
          </cell>
          <cell r="Q10">
            <v>46141</v>
          </cell>
          <cell r="R10" t="str">
            <v>Sanjeev Auto</v>
          </cell>
          <cell r="S10">
            <v>32000</v>
          </cell>
          <cell r="T10" t="str">
            <v>VL/MH/26-27/0014</v>
          </cell>
          <cell r="U10">
            <v>46129</v>
          </cell>
        </row>
        <row r="11">
          <cell r="H11">
            <v>16897</v>
          </cell>
          <cell r="I11">
            <v>46118</v>
          </cell>
          <cell r="J11">
            <v>60</v>
          </cell>
          <cell r="K11">
            <v>46129</v>
          </cell>
          <cell r="L11" t="str">
            <v> g168 To  hosur</v>
          </cell>
          <cell r="M11">
            <v>19000</v>
          </cell>
          <cell r="N11">
            <v>17000</v>
          </cell>
          <cell r="O11">
            <v>46120</v>
          </cell>
          <cell r="P11">
            <v>2000</v>
          </cell>
          <cell r="Q11">
            <v>46141</v>
          </cell>
          <cell r="R11" t="str">
            <v>Sanjeev Auto</v>
          </cell>
          <cell r="S11">
            <v>22000</v>
          </cell>
          <cell r="T11" t="str">
            <v>VL/MH/26-27/0016</v>
          </cell>
          <cell r="U11">
            <v>46129</v>
          </cell>
        </row>
        <row r="12">
          <cell r="H12">
            <v>16898</v>
          </cell>
          <cell r="I12">
            <v>46118</v>
          </cell>
          <cell r="J12">
            <v>60</v>
          </cell>
          <cell r="K12">
            <v>46129</v>
          </cell>
          <cell r="L12" t="str">
            <v> g168 To  hosur</v>
          </cell>
          <cell r="M12">
            <v>19000</v>
          </cell>
          <cell r="N12">
            <v>17000</v>
          </cell>
          <cell r="O12">
            <v>46120</v>
          </cell>
          <cell r="P12">
            <v>2000</v>
          </cell>
          <cell r="Q12">
            <v>46141</v>
          </cell>
          <cell r="R12" t="str">
            <v>Sanjeev Auto</v>
          </cell>
          <cell r="S12">
            <v>22000</v>
          </cell>
          <cell r="T12" t="str">
            <v>VL/MH/26-27/0016</v>
          </cell>
          <cell r="U12">
            <v>46129</v>
          </cell>
        </row>
        <row r="13">
          <cell r="H13">
            <v>16899</v>
          </cell>
          <cell r="I13">
            <v>46119</v>
          </cell>
          <cell r="J13">
            <v>59</v>
          </cell>
          <cell r="K13">
            <v>46129</v>
          </cell>
          <cell r="L13" t="str">
            <v> g168 To  hosur</v>
          </cell>
          <cell r="M13">
            <v>19000</v>
          </cell>
          <cell r="N13">
            <v>17000</v>
          </cell>
          <cell r="O13">
            <v>46120</v>
          </cell>
          <cell r="P13">
            <v>2000</v>
          </cell>
          <cell r="Q13">
            <v>46141</v>
          </cell>
          <cell r="R13" t="str">
            <v>Sanjeev Auto</v>
          </cell>
          <cell r="S13">
            <v>22000</v>
          </cell>
          <cell r="T13" t="str">
            <v>VL/MH/26-27/0017</v>
          </cell>
          <cell r="U13">
            <v>46129</v>
          </cell>
        </row>
        <row r="14">
          <cell r="H14">
            <v>16900</v>
          </cell>
          <cell r="I14">
            <v>46119</v>
          </cell>
          <cell r="J14">
            <v>59</v>
          </cell>
          <cell r="K14">
            <v>46129</v>
          </cell>
          <cell r="L14" t="str">
            <v> g168 To  hosur</v>
          </cell>
          <cell r="M14">
            <v>19000</v>
          </cell>
          <cell r="N14">
            <v>17000</v>
          </cell>
          <cell r="O14">
            <v>46120</v>
          </cell>
          <cell r="P14">
            <v>2000</v>
          </cell>
          <cell r="Q14">
            <v>46141</v>
          </cell>
          <cell r="R14" t="str">
            <v>Sanjeev Auto</v>
          </cell>
          <cell r="S14">
            <v>22000</v>
          </cell>
          <cell r="T14" t="str">
            <v>VL/MH/26-27/0017</v>
          </cell>
          <cell r="U14">
            <v>46129</v>
          </cell>
        </row>
        <row r="15">
          <cell r="H15" t="str">
            <v>VLPLW-26-27-0001</v>
          </cell>
          <cell r="I15">
            <v>46119</v>
          </cell>
          <cell r="J15">
            <v>59</v>
          </cell>
          <cell r="K15">
            <v>46129</v>
          </cell>
          <cell r="L15" t="str">
            <v>G168 to Sanjeev Auto Hosur</v>
          </cell>
          <cell r="M15">
            <v>39000</v>
          </cell>
          <cell r="N15">
            <v>34000</v>
          </cell>
          <cell r="O15">
            <v>46121</v>
          </cell>
          <cell r="P15">
            <v>5000</v>
          </cell>
          <cell r="Q15">
            <v>46141</v>
          </cell>
          <cell r="R15" t="str">
            <v>Sanjeev Auto</v>
          </cell>
          <cell r="S15">
            <v>46000</v>
          </cell>
          <cell r="T15" t="str">
            <v>VL/MH/26-27/0019</v>
          </cell>
          <cell r="U15">
            <v>46129</v>
          </cell>
        </row>
        <row r="16">
          <cell r="H16" t="str">
            <v>VLPLW-26-27-0002</v>
          </cell>
          <cell r="I16">
            <v>46119</v>
          </cell>
          <cell r="J16">
            <v>59</v>
          </cell>
          <cell r="K16">
            <v>46129</v>
          </cell>
          <cell r="L16" t="str">
            <v>G168 to Sanjeev Auto Hosur</v>
          </cell>
          <cell r="M16">
            <v>39000</v>
          </cell>
          <cell r="N16">
            <v>34000</v>
          </cell>
          <cell r="O16">
            <v>46121</v>
          </cell>
          <cell r="P16">
            <v>5000</v>
          </cell>
          <cell r="Q16">
            <v>46141</v>
          </cell>
          <cell r="R16" t="str">
            <v>Sanjeev Auto</v>
          </cell>
          <cell r="S16">
            <v>46000</v>
          </cell>
          <cell r="T16" t="str">
            <v>VL/MH/26-27/0020</v>
          </cell>
          <cell r="U16">
            <v>46129</v>
          </cell>
        </row>
        <row r="17">
          <cell r="H17" t="str">
            <v>VLPLW-26-27-0003</v>
          </cell>
          <cell r="I17">
            <v>46120</v>
          </cell>
          <cell r="J17">
            <v>58</v>
          </cell>
          <cell r="K17">
            <v>46129</v>
          </cell>
          <cell r="L17" t="str">
            <v>G168 to Sanjeev Auto Hosur</v>
          </cell>
          <cell r="M17">
            <v>27500</v>
          </cell>
          <cell r="N17">
            <v>24500</v>
          </cell>
          <cell r="O17">
            <v>46121</v>
          </cell>
          <cell r="P17">
            <v>3000</v>
          </cell>
          <cell r="Q17">
            <v>46141</v>
          </cell>
          <cell r="R17" t="str">
            <v>Sanjeev Auto</v>
          </cell>
          <cell r="S17">
            <v>32000</v>
          </cell>
          <cell r="T17" t="str">
            <v>VL/MH/26-27/0013</v>
          </cell>
          <cell r="U17">
            <v>46129</v>
          </cell>
        </row>
        <row r="18">
          <cell r="H18" t="str">
            <v xml:space="preserve">VLPLW-26-27-0004 </v>
          </cell>
          <cell r="I18">
            <v>46120</v>
          </cell>
          <cell r="J18">
            <v>58</v>
          </cell>
          <cell r="K18" t="str">
            <v>Pending</v>
          </cell>
          <cell r="L18" t="str">
            <v> g168 To  hosur</v>
          </cell>
          <cell r="M18">
            <v>19000</v>
          </cell>
          <cell r="N18">
            <v>17000</v>
          </cell>
          <cell r="O18">
            <v>46122</v>
          </cell>
          <cell r="P18">
            <v>2000</v>
          </cell>
          <cell r="Q18" t="str">
            <v>Pending</v>
          </cell>
          <cell r="R18" t="str">
            <v>Sanjeev Auto</v>
          </cell>
          <cell r="S18">
            <v>22000</v>
          </cell>
          <cell r="T18" t="str">
            <v>Pending</v>
          </cell>
          <cell r="U18" t="str">
            <v>Pending</v>
          </cell>
        </row>
        <row r="19">
          <cell r="H19" t="str">
            <v>VLPLW-26-27-0005</v>
          </cell>
          <cell r="I19">
            <v>46120</v>
          </cell>
          <cell r="J19">
            <v>58</v>
          </cell>
          <cell r="K19">
            <v>46129</v>
          </cell>
          <cell r="L19" t="str">
            <v> g168 To  hosur</v>
          </cell>
          <cell r="M19">
            <v>19000</v>
          </cell>
          <cell r="N19">
            <v>17000</v>
          </cell>
          <cell r="O19">
            <v>46122</v>
          </cell>
          <cell r="P19">
            <v>2000</v>
          </cell>
          <cell r="Q19">
            <v>46141</v>
          </cell>
          <cell r="R19" t="str">
            <v>Sanjeev Auto</v>
          </cell>
          <cell r="S19">
            <v>22000</v>
          </cell>
          <cell r="T19" t="str">
            <v>VL/MH/26-27/0017</v>
          </cell>
          <cell r="U19">
            <v>46129</v>
          </cell>
        </row>
        <row r="20">
          <cell r="H20" t="str">
            <v xml:space="preserve">VLPLW-26-27-0006 </v>
          </cell>
          <cell r="I20">
            <v>46121</v>
          </cell>
          <cell r="J20">
            <v>57</v>
          </cell>
          <cell r="K20">
            <v>46162</v>
          </cell>
          <cell r="L20" t="str">
            <v>G168 To  Hosur</v>
          </cell>
          <cell r="M20">
            <v>39000</v>
          </cell>
          <cell r="N20">
            <v>34000</v>
          </cell>
          <cell r="O20">
            <v>46122</v>
          </cell>
          <cell r="P20">
            <v>5000</v>
          </cell>
          <cell r="Q20" t="str">
            <v>Pending</v>
          </cell>
          <cell r="R20" t="str">
            <v>Sanjeev Auto</v>
          </cell>
          <cell r="S20">
            <v>46000</v>
          </cell>
          <cell r="T20" t="str">
            <v>VL/MH/26-27/0190</v>
          </cell>
          <cell r="U20">
            <v>46162</v>
          </cell>
        </row>
        <row r="21">
          <cell r="H21" t="str">
            <v>VLPLW-26-27-0007</v>
          </cell>
          <cell r="I21">
            <v>46121</v>
          </cell>
          <cell r="J21">
            <v>57</v>
          </cell>
          <cell r="K21">
            <v>46162</v>
          </cell>
          <cell r="L21" t="str">
            <v> g168 To  hosur</v>
          </cell>
          <cell r="M21">
            <v>19000</v>
          </cell>
          <cell r="N21">
            <v>17000</v>
          </cell>
          <cell r="O21">
            <v>46122</v>
          </cell>
          <cell r="P21">
            <v>2000</v>
          </cell>
          <cell r="Q21" t="str">
            <v>Pending</v>
          </cell>
          <cell r="R21" t="str">
            <v>Sanjeev Auto</v>
          </cell>
          <cell r="S21">
            <v>22000</v>
          </cell>
          <cell r="T21" t="str">
            <v>VL/MH/26-27/0175</v>
          </cell>
          <cell r="U21">
            <v>46162</v>
          </cell>
        </row>
        <row r="22">
          <cell r="H22" t="str">
            <v>VLPLW-26-27-0008 </v>
          </cell>
          <cell r="I22">
            <v>46121</v>
          </cell>
          <cell r="J22">
            <v>57</v>
          </cell>
          <cell r="K22">
            <v>46162</v>
          </cell>
          <cell r="L22" t="str">
            <v> g168 To  hosur</v>
          </cell>
          <cell r="M22">
            <v>19000</v>
          </cell>
          <cell r="N22">
            <v>17000</v>
          </cell>
          <cell r="O22">
            <v>46122</v>
          </cell>
          <cell r="P22">
            <v>2000</v>
          </cell>
          <cell r="Q22" t="str">
            <v>Pending</v>
          </cell>
          <cell r="R22" t="str">
            <v>Sanjeev Auto</v>
          </cell>
          <cell r="S22">
            <v>22000</v>
          </cell>
          <cell r="T22" t="str">
            <v>VL/MH/26-27/0175</v>
          </cell>
          <cell r="U22">
            <v>46162</v>
          </cell>
        </row>
        <row r="23">
          <cell r="H23" t="str">
            <v xml:space="preserve">VLPLW-26-27-0009 </v>
          </cell>
          <cell r="I23">
            <v>46121</v>
          </cell>
          <cell r="J23">
            <v>57</v>
          </cell>
          <cell r="K23">
            <v>46129</v>
          </cell>
          <cell r="L23" t="str">
            <v> g168 To  hosur</v>
          </cell>
          <cell r="M23">
            <v>27500</v>
          </cell>
          <cell r="N23">
            <v>24500</v>
          </cell>
          <cell r="O23">
            <v>46122</v>
          </cell>
          <cell r="P23">
            <v>3000</v>
          </cell>
          <cell r="Q23">
            <v>46141</v>
          </cell>
          <cell r="R23" t="str">
            <v>Sanjeev Auto</v>
          </cell>
          <cell r="S23">
            <v>32000</v>
          </cell>
          <cell r="T23" t="str">
            <v>VL/MH/26-27/0013</v>
          </cell>
          <cell r="U23">
            <v>46129</v>
          </cell>
        </row>
        <row r="24">
          <cell r="H24" t="str">
            <v xml:space="preserve">VLPLW-26-27-0010 </v>
          </cell>
          <cell r="I24">
            <v>46122</v>
          </cell>
          <cell r="J24">
            <v>56</v>
          </cell>
          <cell r="K24" t="str">
            <v>Pending</v>
          </cell>
          <cell r="L24" t="str">
            <v> g168 To  hosur</v>
          </cell>
          <cell r="M24">
            <v>39000</v>
          </cell>
          <cell r="N24">
            <v>34000</v>
          </cell>
          <cell r="O24">
            <v>46122</v>
          </cell>
          <cell r="P24">
            <v>5000</v>
          </cell>
          <cell r="Q24" t="str">
            <v>Pending</v>
          </cell>
          <cell r="R24" t="str">
            <v>Sanjeev Auto</v>
          </cell>
          <cell r="S24">
            <v>46000</v>
          </cell>
          <cell r="T24" t="str">
            <v>Pending</v>
          </cell>
          <cell r="U24" t="str">
            <v>Pending</v>
          </cell>
        </row>
        <row r="25">
          <cell r="H25" t="str">
            <v>VLPLW-26-27-0011 </v>
          </cell>
          <cell r="I25">
            <v>46122</v>
          </cell>
          <cell r="J25">
            <v>56</v>
          </cell>
          <cell r="K25">
            <v>46148</v>
          </cell>
          <cell r="L25" t="str">
            <v> g168 To  hosur</v>
          </cell>
          <cell r="M25">
            <v>27500</v>
          </cell>
          <cell r="N25">
            <v>24500</v>
          </cell>
          <cell r="O25">
            <v>46123</v>
          </cell>
          <cell r="P25">
            <v>3000</v>
          </cell>
          <cell r="Q25" t="str">
            <v>Pending</v>
          </cell>
          <cell r="R25" t="str">
            <v>Sanjeev Auto</v>
          </cell>
          <cell r="S25">
            <v>32000</v>
          </cell>
          <cell r="T25" t="str">
            <v>VL/MH/26-27/0102</v>
          </cell>
          <cell r="U25">
            <v>46148</v>
          </cell>
        </row>
        <row r="26">
          <cell r="H26" t="str">
            <v>VLPLW-26-27-0012</v>
          </cell>
          <cell r="I26">
            <v>46122</v>
          </cell>
          <cell r="J26">
            <v>56</v>
          </cell>
          <cell r="K26" t="str">
            <v>Pending</v>
          </cell>
          <cell r="L26" t="str">
            <v>g168 To  Hosur</v>
          </cell>
          <cell r="M26">
            <v>19000</v>
          </cell>
          <cell r="N26">
            <v>17000</v>
          </cell>
          <cell r="O26">
            <v>46123</v>
          </cell>
          <cell r="P26">
            <v>2000</v>
          </cell>
          <cell r="Q26" t="str">
            <v>Pending</v>
          </cell>
          <cell r="R26" t="str">
            <v>Sanjeev Auto</v>
          </cell>
          <cell r="S26">
            <v>22000</v>
          </cell>
          <cell r="T26" t="str">
            <v>Pending</v>
          </cell>
          <cell r="U26" t="str">
            <v>Pending</v>
          </cell>
        </row>
        <row r="27">
          <cell r="H27" t="str">
            <v xml:space="preserve">VLPLW-26-27-0013  </v>
          </cell>
          <cell r="I27">
            <v>46122</v>
          </cell>
          <cell r="J27">
            <v>56</v>
          </cell>
          <cell r="K27" t="str">
            <v>Pending</v>
          </cell>
          <cell r="L27" t="str">
            <v>g168 To  Hosur</v>
          </cell>
          <cell r="M27">
            <v>19000</v>
          </cell>
          <cell r="N27">
            <v>17000</v>
          </cell>
          <cell r="O27">
            <v>46123</v>
          </cell>
          <cell r="P27">
            <v>2000</v>
          </cell>
          <cell r="Q27" t="str">
            <v>Pending</v>
          </cell>
          <cell r="R27" t="str">
            <v>Sanjeev Auto</v>
          </cell>
          <cell r="S27">
            <v>22000</v>
          </cell>
          <cell r="T27" t="str">
            <v>Pending</v>
          </cell>
          <cell r="U27" t="str">
            <v>Pending</v>
          </cell>
        </row>
        <row r="28">
          <cell r="H28" t="str">
            <v>VLPLW-26-27-0014 </v>
          </cell>
          <cell r="I28">
            <v>46123</v>
          </cell>
          <cell r="J28">
            <v>55</v>
          </cell>
          <cell r="K28">
            <v>46162</v>
          </cell>
          <cell r="L28" t="str">
            <v> g168 To  hosur</v>
          </cell>
          <cell r="M28">
            <v>39000</v>
          </cell>
          <cell r="N28">
            <v>34000</v>
          </cell>
          <cell r="O28">
            <v>46123</v>
          </cell>
          <cell r="P28">
            <v>5000</v>
          </cell>
          <cell r="Q28" t="str">
            <v>Pending</v>
          </cell>
          <cell r="R28" t="str">
            <v>Sanjeev Auto</v>
          </cell>
          <cell r="S28">
            <v>46000</v>
          </cell>
          <cell r="T28" t="str">
            <v>VL/MH/26-27/0190</v>
          </cell>
          <cell r="U28">
            <v>46162</v>
          </cell>
        </row>
        <row r="29">
          <cell r="H29" t="str">
            <v>VLPLW-26-27-0015 </v>
          </cell>
          <cell r="I29">
            <v>46123</v>
          </cell>
          <cell r="J29">
            <v>55</v>
          </cell>
          <cell r="K29">
            <v>46162</v>
          </cell>
          <cell r="L29" t="str">
            <v>g168 To  Hosur</v>
          </cell>
          <cell r="M29">
            <v>19000</v>
          </cell>
          <cell r="N29">
            <v>17000</v>
          </cell>
          <cell r="O29">
            <v>46125</v>
          </cell>
          <cell r="P29">
            <v>2000</v>
          </cell>
          <cell r="Q29" t="str">
            <v>Pending</v>
          </cell>
          <cell r="R29" t="str">
            <v>Sanjeev Auto</v>
          </cell>
          <cell r="S29">
            <v>22000</v>
          </cell>
          <cell r="T29" t="str">
            <v>VL/MH/26-27/0176</v>
          </cell>
          <cell r="U29">
            <v>46162</v>
          </cell>
        </row>
        <row r="30">
          <cell r="H30" t="str">
            <v>VLPLW-26-27-0016 </v>
          </cell>
          <cell r="I30">
            <v>46124</v>
          </cell>
          <cell r="J30">
            <v>54</v>
          </cell>
          <cell r="K30">
            <v>46162</v>
          </cell>
          <cell r="L30" t="str">
            <v> g168 To  hosur</v>
          </cell>
          <cell r="M30">
            <v>39000</v>
          </cell>
          <cell r="N30">
            <v>34000</v>
          </cell>
          <cell r="O30">
            <v>46125</v>
          </cell>
          <cell r="P30">
            <v>5000</v>
          </cell>
          <cell r="Q30" t="str">
            <v>Pending</v>
          </cell>
          <cell r="R30" t="str">
            <v>Sanjeev Auto</v>
          </cell>
          <cell r="S30">
            <v>46000</v>
          </cell>
          <cell r="T30" t="str">
            <v>VL/MH/26-27/0191</v>
          </cell>
          <cell r="U30">
            <v>46162</v>
          </cell>
        </row>
        <row r="31">
          <cell r="H31" t="str">
            <v>VLPLW-26-27-0017</v>
          </cell>
          <cell r="I31">
            <v>46123</v>
          </cell>
          <cell r="J31">
            <v>55</v>
          </cell>
          <cell r="K31">
            <v>46148</v>
          </cell>
          <cell r="L31" t="str">
            <v> g168 To  hosur</v>
          </cell>
          <cell r="M31">
            <v>27500</v>
          </cell>
          <cell r="N31">
            <v>24500</v>
          </cell>
          <cell r="O31">
            <v>46125</v>
          </cell>
          <cell r="P31">
            <v>3000</v>
          </cell>
          <cell r="Q31" t="str">
            <v>Pending</v>
          </cell>
          <cell r="R31" t="str">
            <v>Sanjeev Auto</v>
          </cell>
          <cell r="S31">
            <v>32000</v>
          </cell>
          <cell r="T31" t="str">
            <v>VL/MH/26-27/0102</v>
          </cell>
          <cell r="U31">
            <v>46148</v>
          </cell>
        </row>
        <row r="32">
          <cell r="H32" t="str">
            <v>VLPLW-26-27-0018</v>
          </cell>
          <cell r="I32">
            <v>46125</v>
          </cell>
          <cell r="J32">
            <v>53</v>
          </cell>
          <cell r="K32">
            <v>46162</v>
          </cell>
          <cell r="L32" t="str">
            <v>g168 To  Hosur</v>
          </cell>
          <cell r="M32">
            <v>19000</v>
          </cell>
          <cell r="N32">
            <v>17000</v>
          </cell>
          <cell r="O32">
            <v>46125</v>
          </cell>
          <cell r="P32">
            <v>2000</v>
          </cell>
          <cell r="Q32" t="str">
            <v>Pending</v>
          </cell>
          <cell r="R32" t="str">
            <v>Sanjeev Auto</v>
          </cell>
          <cell r="S32">
            <v>22000</v>
          </cell>
          <cell r="T32" t="str">
            <v>VL/MH/26-27/0176</v>
          </cell>
          <cell r="U32">
            <v>46162</v>
          </cell>
        </row>
        <row r="33">
          <cell r="H33" t="str">
            <v xml:space="preserve">VLPLW-26-27-0027 </v>
          </cell>
          <cell r="I33">
            <v>46125</v>
          </cell>
          <cell r="J33">
            <v>53</v>
          </cell>
          <cell r="K33">
            <v>46162</v>
          </cell>
          <cell r="L33" t="str">
            <v>Waluj To HOSUR</v>
          </cell>
          <cell r="M33">
            <v>19000</v>
          </cell>
          <cell r="N33">
            <v>17000</v>
          </cell>
          <cell r="O33">
            <v>46127</v>
          </cell>
          <cell r="P33">
            <v>2000</v>
          </cell>
          <cell r="Q33" t="str">
            <v>Pending</v>
          </cell>
          <cell r="R33" t="str">
            <v>Sanjeev Auto</v>
          </cell>
          <cell r="S33">
            <v>22000</v>
          </cell>
          <cell r="T33" t="str">
            <v>VL/MH/26-27/0177</v>
          </cell>
          <cell r="U33">
            <v>46162</v>
          </cell>
        </row>
        <row r="34">
          <cell r="H34" t="str">
            <v xml:space="preserve">VLPLW-26-27-0039 </v>
          </cell>
          <cell r="I34">
            <v>46127</v>
          </cell>
          <cell r="J34">
            <v>51</v>
          </cell>
          <cell r="K34">
            <v>46162</v>
          </cell>
          <cell r="L34" t="str">
            <v>Waluj To HOSUR</v>
          </cell>
          <cell r="M34">
            <v>19000</v>
          </cell>
          <cell r="N34">
            <v>17000</v>
          </cell>
          <cell r="O34">
            <v>46127</v>
          </cell>
          <cell r="P34">
            <v>2000</v>
          </cell>
          <cell r="Q34" t="str">
            <v>Pending</v>
          </cell>
          <cell r="R34" t="str">
            <v>Sanjeev Auto</v>
          </cell>
          <cell r="S34">
            <v>22000</v>
          </cell>
          <cell r="T34" t="str">
            <v>VL/MH/26-27/0178</v>
          </cell>
          <cell r="U34">
            <v>46162</v>
          </cell>
        </row>
        <row r="35">
          <cell r="H35" t="str">
            <v xml:space="preserve">VLPLW 26-27-0044 </v>
          </cell>
          <cell r="I35">
            <v>46126</v>
          </cell>
          <cell r="J35">
            <v>52</v>
          </cell>
          <cell r="K35">
            <v>46162</v>
          </cell>
          <cell r="L35" t="str">
            <v> g168 To  hosur</v>
          </cell>
          <cell r="M35">
            <v>39000</v>
          </cell>
          <cell r="N35">
            <v>34000</v>
          </cell>
          <cell r="O35">
            <v>46127</v>
          </cell>
          <cell r="P35">
            <v>5000</v>
          </cell>
          <cell r="Q35" t="str">
            <v>Pending</v>
          </cell>
          <cell r="R35" t="str">
            <v>Sanjeev Auto</v>
          </cell>
          <cell r="S35">
            <v>46000</v>
          </cell>
          <cell r="T35" t="str">
            <v>VL/MH/26-27/0191</v>
          </cell>
          <cell r="U35">
            <v>46162</v>
          </cell>
        </row>
        <row r="36">
          <cell r="H36" t="str">
            <v>VLPLW 26-27-0045</v>
          </cell>
          <cell r="I36">
            <v>46127</v>
          </cell>
          <cell r="J36">
            <v>51</v>
          </cell>
          <cell r="K36">
            <v>46162</v>
          </cell>
          <cell r="L36" t="str">
            <v> g168 To  hosur</v>
          </cell>
          <cell r="M36">
            <v>39000</v>
          </cell>
          <cell r="N36">
            <v>34000</v>
          </cell>
          <cell r="O36">
            <v>46127</v>
          </cell>
          <cell r="P36">
            <v>5000</v>
          </cell>
          <cell r="Q36" t="str">
            <v>Pending</v>
          </cell>
          <cell r="R36" t="str">
            <v>Sanjeev Auto</v>
          </cell>
          <cell r="S36">
            <v>46000</v>
          </cell>
          <cell r="T36" t="str">
            <v>VL/MH/26-27/0193</v>
          </cell>
          <cell r="U36">
            <v>46162</v>
          </cell>
        </row>
        <row r="37">
          <cell r="H37" t="str">
            <v>VLPLW-26-27-0047 </v>
          </cell>
          <cell r="I37">
            <v>46126</v>
          </cell>
          <cell r="J37">
            <v>52</v>
          </cell>
          <cell r="K37" t="str">
            <v>Pending</v>
          </cell>
          <cell r="L37" t="str">
            <v> g168 To  hosur</v>
          </cell>
          <cell r="M37">
            <v>27500</v>
          </cell>
          <cell r="N37">
            <v>24500</v>
          </cell>
          <cell r="O37">
            <v>46127</v>
          </cell>
          <cell r="P37">
            <v>3000</v>
          </cell>
          <cell r="Q37" t="str">
            <v>Pending</v>
          </cell>
          <cell r="R37" t="str">
            <v>Sanjeev Auto</v>
          </cell>
          <cell r="S37">
            <v>32000</v>
          </cell>
          <cell r="T37" t="str">
            <v>Pending</v>
          </cell>
          <cell r="U37" t="str">
            <v>Pending</v>
          </cell>
        </row>
        <row r="38">
          <cell r="H38" t="str">
            <v xml:space="preserve">VLPLW-26-27 0060 </v>
          </cell>
          <cell r="I38">
            <v>46127</v>
          </cell>
          <cell r="J38">
            <v>51</v>
          </cell>
          <cell r="K38">
            <v>46162</v>
          </cell>
          <cell r="L38" t="str">
            <v>Waluj To HOSUR</v>
          </cell>
          <cell r="M38">
            <v>19000</v>
          </cell>
          <cell r="N38">
            <v>17000</v>
          </cell>
          <cell r="O38">
            <v>46128</v>
          </cell>
          <cell r="P38">
            <v>2000</v>
          </cell>
          <cell r="Q38" t="str">
            <v>Pending</v>
          </cell>
          <cell r="R38" t="str">
            <v>Sanjeev Auto</v>
          </cell>
          <cell r="S38">
            <v>22000</v>
          </cell>
          <cell r="T38" t="str">
            <v>VL/MH/26-27/0178</v>
          </cell>
          <cell r="U38">
            <v>46162</v>
          </cell>
        </row>
        <row r="39">
          <cell r="H39" t="str">
            <v>VLPLW-26-27 0061</v>
          </cell>
          <cell r="I39">
            <v>46127</v>
          </cell>
          <cell r="J39">
            <v>51</v>
          </cell>
          <cell r="K39">
            <v>46162</v>
          </cell>
          <cell r="L39" t="str">
            <v>Waluj To HOSUR</v>
          </cell>
          <cell r="M39">
            <v>19000</v>
          </cell>
          <cell r="N39">
            <v>17000</v>
          </cell>
          <cell r="O39">
            <v>46128</v>
          </cell>
          <cell r="P39">
            <v>2000</v>
          </cell>
          <cell r="Q39" t="str">
            <v>Pending</v>
          </cell>
          <cell r="R39" t="str">
            <v>Sanjeev Auto</v>
          </cell>
          <cell r="S39">
            <v>22000</v>
          </cell>
          <cell r="T39" t="str">
            <v>VL/MH/26-27/0177</v>
          </cell>
          <cell r="U39">
            <v>46162</v>
          </cell>
        </row>
        <row r="40">
          <cell r="H40" t="str">
            <v>VLPL2627 0062</v>
          </cell>
          <cell r="I40">
            <v>46128</v>
          </cell>
          <cell r="J40">
            <v>50</v>
          </cell>
          <cell r="K40">
            <v>46162</v>
          </cell>
          <cell r="L40" t="str">
            <v> Sanjeev Auto To Sanjeev Auto  Hosur</v>
          </cell>
          <cell r="M40">
            <v>39000</v>
          </cell>
          <cell r="N40">
            <v>34000</v>
          </cell>
          <cell r="O40">
            <v>46128</v>
          </cell>
          <cell r="P40">
            <v>5000</v>
          </cell>
          <cell r="Q40" t="str">
            <v>Pending</v>
          </cell>
          <cell r="R40" t="str">
            <v>Sanjeev Auto</v>
          </cell>
          <cell r="S40">
            <v>46000</v>
          </cell>
          <cell r="T40" t="str">
            <v>VL/MH/26-27/0195</v>
          </cell>
          <cell r="U40">
            <v>46162</v>
          </cell>
        </row>
        <row r="41">
          <cell r="H41" t="str">
            <v xml:space="preserve">VLPLW2627 0081 </v>
          </cell>
          <cell r="I41">
            <v>46128</v>
          </cell>
          <cell r="J41">
            <v>50</v>
          </cell>
          <cell r="K41">
            <v>46162</v>
          </cell>
          <cell r="L41" t="str">
            <v>Waluj To HOSUR</v>
          </cell>
          <cell r="M41">
            <v>19000</v>
          </cell>
          <cell r="N41">
            <v>17000</v>
          </cell>
          <cell r="O41">
            <v>46129</v>
          </cell>
          <cell r="P41">
            <v>2000</v>
          </cell>
          <cell r="Q41" t="str">
            <v>Pending</v>
          </cell>
          <cell r="R41" t="str">
            <v>Sanjeev Auto</v>
          </cell>
          <cell r="S41">
            <v>22000</v>
          </cell>
          <cell r="T41" t="str">
            <v>VL/MH/26-27/0179</v>
          </cell>
          <cell r="U41">
            <v>46162</v>
          </cell>
        </row>
        <row r="42">
          <cell r="H42" t="str">
            <v>VLPLW2627 0082 </v>
          </cell>
          <cell r="I42">
            <v>46128</v>
          </cell>
          <cell r="J42">
            <v>50</v>
          </cell>
          <cell r="K42">
            <v>46162</v>
          </cell>
          <cell r="L42" t="str">
            <v>Waluj To HOSUR</v>
          </cell>
          <cell r="M42">
            <v>19000</v>
          </cell>
          <cell r="N42">
            <v>17000</v>
          </cell>
          <cell r="O42">
            <v>46129</v>
          </cell>
          <cell r="P42">
            <v>2000</v>
          </cell>
          <cell r="Q42" t="str">
            <v>Pending</v>
          </cell>
          <cell r="R42" t="str">
            <v>Sanjeev Auto</v>
          </cell>
          <cell r="S42">
            <v>22000</v>
          </cell>
          <cell r="T42" t="str">
            <v>VL/MH/26-27/0179</v>
          </cell>
          <cell r="U42">
            <v>46162</v>
          </cell>
        </row>
        <row r="43">
          <cell r="H43" t="str">
            <v xml:space="preserve">VLPLw2627 0095 </v>
          </cell>
          <cell r="I43">
            <v>46129</v>
          </cell>
          <cell r="J43">
            <v>49</v>
          </cell>
          <cell r="K43">
            <v>46162</v>
          </cell>
          <cell r="L43" t="str">
            <v> g168 To  hosur</v>
          </cell>
          <cell r="M43">
            <v>39000</v>
          </cell>
          <cell r="N43">
            <v>34000</v>
          </cell>
          <cell r="O43">
            <v>46130</v>
          </cell>
          <cell r="P43">
            <v>5000</v>
          </cell>
          <cell r="Q43" t="str">
            <v>Pending</v>
          </cell>
          <cell r="R43" t="str">
            <v>Sanjeev Auto</v>
          </cell>
          <cell r="S43">
            <v>46000</v>
          </cell>
          <cell r="T43" t="str">
            <v>VL/MH/26-27/0195</v>
          </cell>
          <cell r="U43">
            <v>46162</v>
          </cell>
        </row>
        <row r="44">
          <cell r="H44" t="str">
            <v xml:space="preserve">VLPLW2627 0105 </v>
          </cell>
          <cell r="I44">
            <v>46130</v>
          </cell>
          <cell r="J44">
            <v>48</v>
          </cell>
          <cell r="K44">
            <v>46162</v>
          </cell>
          <cell r="L44" t="str">
            <v>Waluj To HOSUR</v>
          </cell>
          <cell r="M44">
            <v>19000</v>
          </cell>
          <cell r="N44">
            <v>17000</v>
          </cell>
          <cell r="O44">
            <v>46130</v>
          </cell>
          <cell r="P44">
            <v>2000</v>
          </cell>
          <cell r="Q44" t="str">
            <v>Pending</v>
          </cell>
          <cell r="R44" t="str">
            <v>Sanjeev Auto</v>
          </cell>
          <cell r="S44">
            <v>22000</v>
          </cell>
          <cell r="T44" t="str">
            <v>VL/MH/26-27/0181</v>
          </cell>
          <cell r="U44">
            <v>46162</v>
          </cell>
        </row>
        <row r="45">
          <cell r="H45" t="str">
            <v xml:space="preserve">VLPLW-26-27-0106 </v>
          </cell>
          <cell r="I45">
            <v>46129</v>
          </cell>
          <cell r="J45">
            <v>49</v>
          </cell>
          <cell r="K45">
            <v>46148</v>
          </cell>
          <cell r="L45" t="str">
            <v>G168 To  Hosur</v>
          </cell>
          <cell r="M45">
            <v>27500</v>
          </cell>
          <cell r="N45">
            <v>24500</v>
          </cell>
          <cell r="O45">
            <v>46130</v>
          </cell>
          <cell r="P45">
            <v>3000</v>
          </cell>
          <cell r="Q45" t="str">
            <v>Pending</v>
          </cell>
          <cell r="R45" t="str">
            <v>Sanjeev Auto</v>
          </cell>
          <cell r="S45">
            <v>32000</v>
          </cell>
          <cell r="T45" t="str">
            <v>VL/MH/26-27/0102</v>
          </cell>
          <cell r="U45">
            <v>46148</v>
          </cell>
        </row>
        <row r="46">
          <cell r="H46" t="str">
            <v xml:space="preserve">VLPLW2627 0107 </v>
          </cell>
          <cell r="I46">
            <v>46128</v>
          </cell>
          <cell r="J46">
            <v>50</v>
          </cell>
          <cell r="K46">
            <v>46162</v>
          </cell>
          <cell r="L46" t="str">
            <v>Waluj To HOSUR</v>
          </cell>
          <cell r="M46">
            <v>19000</v>
          </cell>
          <cell r="N46">
            <v>17000</v>
          </cell>
          <cell r="O46">
            <v>46130</v>
          </cell>
          <cell r="P46">
            <v>2000</v>
          </cell>
          <cell r="Q46" t="str">
            <v>Pending</v>
          </cell>
          <cell r="R46" t="str">
            <v>Sanjeev Auto</v>
          </cell>
          <cell r="S46">
            <v>22000</v>
          </cell>
          <cell r="T46" t="str">
            <v>VL/MH/26-27/0180</v>
          </cell>
          <cell r="U46">
            <v>46162</v>
          </cell>
        </row>
        <row r="47">
          <cell r="H47" t="str">
            <v xml:space="preserve">VLPLW2627 0140 </v>
          </cell>
          <cell r="I47">
            <v>46130</v>
          </cell>
          <cell r="J47">
            <v>48</v>
          </cell>
          <cell r="K47">
            <v>46162</v>
          </cell>
          <cell r="L47" t="str">
            <v>Waluj To hosur</v>
          </cell>
          <cell r="M47">
            <v>39000</v>
          </cell>
          <cell r="N47">
            <v>34000</v>
          </cell>
          <cell r="O47">
            <v>46132</v>
          </cell>
          <cell r="P47">
            <v>5000</v>
          </cell>
          <cell r="Q47" t="str">
            <v>Pending</v>
          </cell>
          <cell r="R47" t="str">
            <v>Sanjeev Auto</v>
          </cell>
          <cell r="S47">
            <v>46000</v>
          </cell>
          <cell r="T47" t="str">
            <v>VL/MH/26-27/0193</v>
          </cell>
          <cell r="U47">
            <v>46162</v>
          </cell>
        </row>
        <row r="48">
          <cell r="H48" t="str">
            <v>VLPLW2627 0141</v>
          </cell>
          <cell r="I48">
            <v>46130</v>
          </cell>
          <cell r="J48">
            <v>48</v>
          </cell>
          <cell r="K48">
            <v>46162</v>
          </cell>
          <cell r="L48" t="str">
            <v>Waluj To HOSUR</v>
          </cell>
          <cell r="M48">
            <v>19000</v>
          </cell>
          <cell r="N48">
            <v>17000</v>
          </cell>
          <cell r="O48">
            <v>46132</v>
          </cell>
          <cell r="P48">
            <v>2000</v>
          </cell>
          <cell r="Q48" t="str">
            <v>Pending</v>
          </cell>
          <cell r="R48" t="str">
            <v>Sanjeev Auto</v>
          </cell>
          <cell r="S48">
            <v>22000</v>
          </cell>
          <cell r="T48" t="str">
            <v>VL/MH/26-27/0180</v>
          </cell>
          <cell r="U48">
            <v>46162</v>
          </cell>
        </row>
        <row r="49">
          <cell r="H49" t="str">
            <v xml:space="preserve">VLPLw2627 0142 </v>
          </cell>
          <cell r="I49">
            <v>46131</v>
          </cell>
          <cell r="J49">
            <v>47</v>
          </cell>
          <cell r="K49">
            <v>46162</v>
          </cell>
          <cell r="L49" t="str">
            <v>G168 To  Hosur</v>
          </cell>
          <cell r="M49">
            <v>39000</v>
          </cell>
          <cell r="N49">
            <v>34000</v>
          </cell>
          <cell r="O49">
            <v>46132</v>
          </cell>
          <cell r="P49">
            <v>5000</v>
          </cell>
          <cell r="Q49" t="str">
            <v>Pending</v>
          </cell>
          <cell r="R49" t="str">
            <v>Sanjeev Auto</v>
          </cell>
          <cell r="S49">
            <v>46000</v>
          </cell>
          <cell r="T49" t="str">
            <v>VL/MH/26-27/0197</v>
          </cell>
          <cell r="U49">
            <v>46162</v>
          </cell>
        </row>
        <row r="50">
          <cell r="H50" t="str">
            <v>VLPLW-26-27-0143</v>
          </cell>
          <cell r="I50">
            <v>46130</v>
          </cell>
          <cell r="J50">
            <v>48</v>
          </cell>
          <cell r="K50">
            <v>46148</v>
          </cell>
          <cell r="L50" t="str">
            <v>G168 To  Hosur</v>
          </cell>
          <cell r="M50">
            <v>27500</v>
          </cell>
          <cell r="N50">
            <v>24500</v>
          </cell>
          <cell r="O50">
            <v>46132</v>
          </cell>
          <cell r="P50">
            <v>3000</v>
          </cell>
          <cell r="Q50" t="str">
            <v>Pending</v>
          </cell>
          <cell r="R50" t="str">
            <v>Sanjeev Auto</v>
          </cell>
          <cell r="S50">
            <v>32000</v>
          </cell>
          <cell r="T50" t="str">
            <v>VL/MH/26-27/0103</v>
          </cell>
          <cell r="U50">
            <v>46148</v>
          </cell>
        </row>
        <row r="51">
          <cell r="H51" t="str">
            <v>VLPLW-26-27-0157</v>
          </cell>
          <cell r="I51">
            <v>46132</v>
          </cell>
          <cell r="J51">
            <v>46</v>
          </cell>
          <cell r="K51">
            <v>46162</v>
          </cell>
          <cell r="L51" t="str">
            <v>Waluj To HOSUR</v>
          </cell>
          <cell r="M51">
            <v>19000</v>
          </cell>
          <cell r="N51">
            <v>17000</v>
          </cell>
          <cell r="O51">
            <v>46133</v>
          </cell>
          <cell r="P51">
            <v>2000</v>
          </cell>
          <cell r="Q51" t="str">
            <v>Pending</v>
          </cell>
          <cell r="R51" t="str">
            <v>Sanjeev Auto</v>
          </cell>
          <cell r="S51">
            <v>22000</v>
          </cell>
          <cell r="T51" t="str">
            <v>VL/MH/26-27/0174</v>
          </cell>
          <cell r="U51">
            <v>46162</v>
          </cell>
        </row>
        <row r="52">
          <cell r="H52" t="str">
            <v>VLPLW2627 0158</v>
          </cell>
          <cell r="I52">
            <v>46133</v>
          </cell>
          <cell r="J52">
            <v>45</v>
          </cell>
          <cell r="K52">
            <v>46162</v>
          </cell>
          <cell r="L52" t="str">
            <v>Waluj To HOSUR</v>
          </cell>
          <cell r="M52">
            <v>39000</v>
          </cell>
          <cell r="N52">
            <v>34000</v>
          </cell>
          <cell r="O52">
            <v>46133</v>
          </cell>
          <cell r="P52">
            <v>5000</v>
          </cell>
          <cell r="Q52" t="str">
            <v>Pending</v>
          </cell>
          <cell r="R52" t="str">
            <v>Sanjeev Auto</v>
          </cell>
          <cell r="S52">
            <v>46000</v>
          </cell>
          <cell r="T52" t="str">
            <v>VL/MH/26-27/0197</v>
          </cell>
          <cell r="U52">
            <v>46162</v>
          </cell>
        </row>
        <row r="53">
          <cell r="H53" t="str">
            <v xml:space="preserve">VLPLW2627 0182 </v>
          </cell>
          <cell r="I53">
            <v>46133</v>
          </cell>
          <cell r="J53">
            <v>45</v>
          </cell>
          <cell r="K53">
            <v>46162</v>
          </cell>
          <cell r="L53" t="str">
            <v>Waluj To HOSUR</v>
          </cell>
          <cell r="M53">
            <v>19000</v>
          </cell>
          <cell r="N53">
            <v>17000</v>
          </cell>
          <cell r="O53">
            <v>46134</v>
          </cell>
          <cell r="P53">
            <v>2000</v>
          </cell>
          <cell r="Q53" t="str">
            <v>Pending</v>
          </cell>
          <cell r="R53" t="str">
            <v>Sanjeev Auto</v>
          </cell>
          <cell r="S53">
            <v>22000</v>
          </cell>
          <cell r="T53" t="str">
            <v>VL/MH/26-27/0181</v>
          </cell>
          <cell r="U53">
            <v>46162</v>
          </cell>
        </row>
        <row r="54">
          <cell r="H54" t="str">
            <v xml:space="preserve">VLPLW2627 0183 </v>
          </cell>
          <cell r="I54">
            <v>46133</v>
          </cell>
          <cell r="J54">
            <v>45</v>
          </cell>
          <cell r="K54" t="str">
            <v>Pending</v>
          </cell>
          <cell r="L54" t="str">
            <v>Waluj To HOSUR</v>
          </cell>
          <cell r="M54">
            <v>19000</v>
          </cell>
          <cell r="N54">
            <v>17000</v>
          </cell>
          <cell r="O54">
            <v>46134</v>
          </cell>
          <cell r="P54">
            <v>2000</v>
          </cell>
          <cell r="Q54" t="str">
            <v>Pending</v>
          </cell>
          <cell r="R54" t="str">
            <v>Sanjeev Auto</v>
          </cell>
          <cell r="S54">
            <v>22000</v>
          </cell>
          <cell r="T54" t="str">
            <v>Pending</v>
          </cell>
          <cell r="U54" t="str">
            <v>Pending</v>
          </cell>
        </row>
        <row r="55">
          <cell r="H55" t="str">
            <v>VLPLW-26-27 0184</v>
          </cell>
          <cell r="I55">
            <v>46133</v>
          </cell>
          <cell r="J55">
            <v>45</v>
          </cell>
          <cell r="K55">
            <v>46148</v>
          </cell>
          <cell r="L55" t="str">
            <v>G168 To Hosur</v>
          </cell>
          <cell r="M55">
            <v>27500</v>
          </cell>
          <cell r="N55">
            <v>24500</v>
          </cell>
          <cell r="O55">
            <v>46134</v>
          </cell>
          <cell r="P55">
            <v>3000</v>
          </cell>
          <cell r="Q55" t="str">
            <v>Pending</v>
          </cell>
          <cell r="R55" t="str">
            <v>Sanjeev Auto</v>
          </cell>
          <cell r="S55">
            <v>32000</v>
          </cell>
          <cell r="T55" t="str">
            <v>VL/MH/26-27/0103</v>
          </cell>
          <cell r="U55">
            <v>46148</v>
          </cell>
        </row>
        <row r="56">
          <cell r="H56" t="str">
            <v>VLPLW2627 0185</v>
          </cell>
          <cell r="I56">
            <v>46134</v>
          </cell>
          <cell r="J56">
            <v>44</v>
          </cell>
          <cell r="K56">
            <v>46162</v>
          </cell>
          <cell r="L56" t="str">
            <v>G168 To  Hosur</v>
          </cell>
          <cell r="M56">
            <v>39000</v>
          </cell>
          <cell r="N56">
            <v>34000</v>
          </cell>
          <cell r="O56">
            <v>46134</v>
          </cell>
          <cell r="P56">
            <v>5000</v>
          </cell>
          <cell r="Q56" t="str">
            <v>Pending</v>
          </cell>
          <cell r="R56" t="str">
            <v>Sanjeev Auto</v>
          </cell>
          <cell r="S56">
            <v>46000</v>
          </cell>
          <cell r="T56" t="str">
            <v>VL/MH/26-27/0198</v>
          </cell>
          <cell r="U56">
            <v>46162</v>
          </cell>
        </row>
        <row r="57">
          <cell r="H57" t="str">
            <v xml:space="preserve">VLPLW 26-27 0200 </v>
          </cell>
          <cell r="I57">
            <v>46135</v>
          </cell>
          <cell r="J57">
            <v>43</v>
          </cell>
          <cell r="K57">
            <v>46162</v>
          </cell>
          <cell r="L57" t="str">
            <v>G168 To  Hosur</v>
          </cell>
          <cell r="M57">
            <v>39000</v>
          </cell>
          <cell r="N57">
            <v>34000</v>
          </cell>
          <cell r="O57">
            <v>46135</v>
          </cell>
          <cell r="P57">
            <v>5000</v>
          </cell>
          <cell r="Q57" t="str">
            <v>Pending</v>
          </cell>
          <cell r="R57" t="str">
            <v>Sanjeev Auto</v>
          </cell>
          <cell r="S57">
            <v>46000</v>
          </cell>
          <cell r="T57" t="str">
            <v>VL/MH/26-27/0198</v>
          </cell>
          <cell r="U57">
            <v>46162</v>
          </cell>
        </row>
        <row r="58">
          <cell r="H58" t="str">
            <v>VLPLW2627 0201</v>
          </cell>
          <cell r="I58">
            <v>46134</v>
          </cell>
          <cell r="J58">
            <v>44</v>
          </cell>
          <cell r="K58">
            <v>46162</v>
          </cell>
          <cell r="L58" t="str">
            <v>Waluj To HOSUR</v>
          </cell>
          <cell r="M58">
            <v>19000</v>
          </cell>
          <cell r="N58">
            <v>17000</v>
          </cell>
          <cell r="O58">
            <v>46135</v>
          </cell>
          <cell r="P58">
            <v>2000</v>
          </cell>
          <cell r="Q58" t="str">
            <v>Pending</v>
          </cell>
          <cell r="R58" t="str">
            <v>Sanjeev Auto</v>
          </cell>
          <cell r="S58">
            <v>22000</v>
          </cell>
          <cell r="T58" t="str">
            <v>VL/MH/26-27/0182</v>
          </cell>
          <cell r="U58">
            <v>46162</v>
          </cell>
        </row>
        <row r="59">
          <cell r="H59" t="str">
            <v>VLPLW2627 0202</v>
          </cell>
          <cell r="I59">
            <v>46134</v>
          </cell>
          <cell r="J59">
            <v>44</v>
          </cell>
          <cell r="K59">
            <v>46162</v>
          </cell>
          <cell r="L59" t="str">
            <v>Waluj To HOSUR</v>
          </cell>
          <cell r="M59">
            <v>19000</v>
          </cell>
          <cell r="N59">
            <v>17000</v>
          </cell>
          <cell r="O59">
            <v>46135</v>
          </cell>
          <cell r="P59">
            <v>2000</v>
          </cell>
          <cell r="Q59" t="str">
            <v>Pending</v>
          </cell>
          <cell r="R59" t="str">
            <v>Sanjeev Auto</v>
          </cell>
          <cell r="S59">
            <v>22000</v>
          </cell>
          <cell r="T59" t="str">
            <v>VL/MH/26-27/0181</v>
          </cell>
          <cell r="U59">
            <v>46162</v>
          </cell>
        </row>
        <row r="60">
          <cell r="H60" t="str">
            <v>VLPLW26-27 0221</v>
          </cell>
          <cell r="I60">
            <v>46135</v>
          </cell>
          <cell r="J60">
            <v>43</v>
          </cell>
          <cell r="K60">
            <v>46162</v>
          </cell>
          <cell r="L60" t="str">
            <v>Waluj To Hosur</v>
          </cell>
          <cell r="M60">
            <v>19000</v>
          </cell>
          <cell r="N60">
            <v>17000</v>
          </cell>
          <cell r="O60">
            <v>46136</v>
          </cell>
          <cell r="P60">
            <v>2000</v>
          </cell>
          <cell r="Q60" t="str">
            <v>Pending</v>
          </cell>
          <cell r="R60" t="str">
            <v>Sanjeev Auto</v>
          </cell>
          <cell r="S60">
            <v>22000</v>
          </cell>
          <cell r="T60" t="str">
            <v>VL/MH/26-27/0183</v>
          </cell>
          <cell r="U60">
            <v>46162</v>
          </cell>
        </row>
        <row r="61">
          <cell r="H61" t="str">
            <v>VLPLW26-27 0222</v>
          </cell>
          <cell r="I61">
            <v>46136</v>
          </cell>
          <cell r="J61">
            <v>42</v>
          </cell>
          <cell r="K61">
            <v>46162</v>
          </cell>
          <cell r="L61" t="str">
            <v>Waluj To Hosur</v>
          </cell>
          <cell r="M61">
            <v>19000</v>
          </cell>
          <cell r="N61">
            <v>17000</v>
          </cell>
          <cell r="O61">
            <v>46136</v>
          </cell>
          <cell r="P61">
            <v>2000</v>
          </cell>
          <cell r="Q61" t="str">
            <v>Pending</v>
          </cell>
          <cell r="R61" t="str">
            <v>Sanjeev Auto</v>
          </cell>
          <cell r="S61">
            <v>22000</v>
          </cell>
          <cell r="T61" t="str">
            <v>VL/MH/26-27/0184</v>
          </cell>
          <cell r="U61">
            <v>46162</v>
          </cell>
        </row>
        <row r="62">
          <cell r="H62" t="str">
            <v>VLPLW2627/232 </v>
          </cell>
          <cell r="I62">
            <v>46136</v>
          </cell>
          <cell r="J62">
            <v>42</v>
          </cell>
          <cell r="K62">
            <v>46162</v>
          </cell>
          <cell r="L62" t="str">
            <v>Waluj To Hosur</v>
          </cell>
          <cell r="M62">
            <v>19000</v>
          </cell>
          <cell r="N62">
            <v>17000</v>
          </cell>
          <cell r="O62">
            <v>46137</v>
          </cell>
          <cell r="P62">
            <v>2000</v>
          </cell>
          <cell r="Q62" t="str">
            <v>Pending</v>
          </cell>
          <cell r="R62" t="str">
            <v>Sanjeev Auto</v>
          </cell>
          <cell r="S62">
            <v>22000</v>
          </cell>
          <cell r="T62" t="str">
            <v>VL/MH/26-27/0183</v>
          </cell>
          <cell r="U62">
            <v>46162</v>
          </cell>
        </row>
        <row r="63">
          <cell r="H63" t="str">
            <v xml:space="preserve">VLPLW2627/233  </v>
          </cell>
          <cell r="I63">
            <v>46136</v>
          </cell>
          <cell r="J63">
            <v>42</v>
          </cell>
          <cell r="K63">
            <v>46162</v>
          </cell>
          <cell r="L63" t="str">
            <v>Waluj To Hosur</v>
          </cell>
          <cell r="M63">
            <v>19000</v>
          </cell>
          <cell r="N63">
            <v>17000</v>
          </cell>
          <cell r="O63">
            <v>46137</v>
          </cell>
          <cell r="P63">
            <v>2000</v>
          </cell>
          <cell r="Q63" t="str">
            <v>Pending</v>
          </cell>
          <cell r="R63" t="str">
            <v>Sanjeev Auto</v>
          </cell>
          <cell r="S63">
            <v>22000</v>
          </cell>
          <cell r="T63" t="str">
            <v>VL/MH/26-27/0183</v>
          </cell>
          <cell r="U63">
            <v>46162</v>
          </cell>
        </row>
        <row r="64">
          <cell r="H64" t="str">
            <v>VLPLW2627/237</v>
          </cell>
          <cell r="I64">
            <v>46136</v>
          </cell>
          <cell r="J64">
            <v>42</v>
          </cell>
          <cell r="K64">
            <v>46162</v>
          </cell>
          <cell r="L64" t="str">
            <v>Waluj To Hosur</v>
          </cell>
          <cell r="M64">
            <v>39000</v>
          </cell>
          <cell r="N64">
            <v>34000</v>
          </cell>
          <cell r="O64">
            <v>46137</v>
          </cell>
          <cell r="P64">
            <v>5000</v>
          </cell>
          <cell r="Q64" t="str">
            <v>Pending</v>
          </cell>
          <cell r="R64" t="str">
            <v>Sanjeev Auto</v>
          </cell>
          <cell r="S64">
            <v>46000</v>
          </cell>
          <cell r="T64" t="str">
            <v>VL/MH/26-27/0200</v>
          </cell>
          <cell r="U64">
            <v>46162</v>
          </cell>
        </row>
        <row r="65">
          <cell r="H65" t="str">
            <v xml:space="preserve">VLPLW2627/268  </v>
          </cell>
          <cell r="I65">
            <v>46136</v>
          </cell>
          <cell r="J65">
            <v>42</v>
          </cell>
          <cell r="K65">
            <v>46148</v>
          </cell>
          <cell r="L65" t="str">
            <v>G168 To Hosur</v>
          </cell>
          <cell r="M65">
            <v>27500</v>
          </cell>
          <cell r="N65">
            <v>24500</v>
          </cell>
          <cell r="O65">
            <v>46139</v>
          </cell>
          <cell r="P65">
            <v>3000</v>
          </cell>
          <cell r="Q65" t="str">
            <v>Pending</v>
          </cell>
          <cell r="R65" t="str">
            <v>Sanjeev Auto</v>
          </cell>
          <cell r="S65">
            <v>32000</v>
          </cell>
          <cell r="T65" t="str">
            <v>VL/MH/26-27/0103</v>
          </cell>
          <cell r="U65">
            <v>46148</v>
          </cell>
        </row>
        <row r="66">
          <cell r="H66" t="str">
            <v>VLPLW2627/269</v>
          </cell>
          <cell r="I66">
            <v>46137</v>
          </cell>
          <cell r="J66">
            <v>41</v>
          </cell>
          <cell r="K66">
            <v>46162</v>
          </cell>
          <cell r="L66" t="str">
            <v>Waluj To Hosur</v>
          </cell>
          <cell r="M66">
            <v>39000</v>
          </cell>
          <cell r="N66">
            <v>34000</v>
          </cell>
          <cell r="O66">
            <v>46139</v>
          </cell>
          <cell r="P66">
            <v>5000</v>
          </cell>
          <cell r="Q66" t="str">
            <v>Pending</v>
          </cell>
          <cell r="R66" t="str">
            <v>Sanjeev Auto</v>
          </cell>
          <cell r="S66">
            <v>46000</v>
          </cell>
          <cell r="T66" t="str">
            <v>VL/MH/26-27/0200</v>
          </cell>
          <cell r="U66">
            <v>46162</v>
          </cell>
        </row>
        <row r="67">
          <cell r="H67" t="str">
            <v>VLPLW2627/270</v>
          </cell>
          <cell r="I67">
            <v>46137</v>
          </cell>
          <cell r="J67">
            <v>41</v>
          </cell>
          <cell r="K67">
            <v>46162</v>
          </cell>
          <cell r="L67" t="str">
            <v>Waluj To Hosur</v>
          </cell>
          <cell r="M67">
            <v>19000</v>
          </cell>
          <cell r="N67">
            <v>17000</v>
          </cell>
          <cell r="O67">
            <v>46139</v>
          </cell>
          <cell r="P67">
            <v>2000</v>
          </cell>
          <cell r="Q67" t="str">
            <v>Pending</v>
          </cell>
          <cell r="R67" t="str">
            <v>Sanjeev Auto</v>
          </cell>
          <cell r="S67">
            <v>22000</v>
          </cell>
          <cell r="T67" t="str">
            <v>VL/MH/26-27/0182</v>
          </cell>
          <cell r="U67">
            <v>46162</v>
          </cell>
        </row>
        <row r="68">
          <cell r="H68" t="str">
            <v>VLPLW2627/271</v>
          </cell>
          <cell r="I68">
            <v>46137</v>
          </cell>
          <cell r="J68">
            <v>41</v>
          </cell>
          <cell r="K68">
            <v>46162</v>
          </cell>
          <cell r="L68" t="str">
            <v>Waluj To Hosur</v>
          </cell>
          <cell r="M68">
            <v>19000</v>
          </cell>
          <cell r="N68">
            <v>17000</v>
          </cell>
          <cell r="O68">
            <v>46139</v>
          </cell>
          <cell r="P68">
            <v>2000</v>
          </cell>
          <cell r="Q68" t="str">
            <v>Pending</v>
          </cell>
          <cell r="R68" t="str">
            <v>Sanjeev Auto</v>
          </cell>
          <cell r="S68">
            <v>22000</v>
          </cell>
          <cell r="T68" t="str">
            <v>VL/MH/26-27/0184</v>
          </cell>
          <cell r="U68">
            <v>46162</v>
          </cell>
        </row>
        <row r="69">
          <cell r="H69" t="str">
            <v>VLPLW2627/281</v>
          </cell>
          <cell r="I69">
            <v>46139</v>
          </cell>
          <cell r="J69">
            <v>39</v>
          </cell>
          <cell r="K69">
            <v>46162</v>
          </cell>
          <cell r="L69" t="str">
            <v>Waluj To HOSUR</v>
          </cell>
          <cell r="M69">
            <v>19000</v>
          </cell>
          <cell r="N69">
            <v>17000</v>
          </cell>
          <cell r="O69">
            <v>46140</v>
          </cell>
          <cell r="P69">
            <v>2000</v>
          </cell>
          <cell r="Q69" t="str">
            <v>Pending</v>
          </cell>
          <cell r="R69" t="str">
            <v>Sanjeev Auto</v>
          </cell>
          <cell r="S69">
            <v>22000</v>
          </cell>
          <cell r="T69" t="str">
            <v>VL/MH/26-27/0185</v>
          </cell>
          <cell r="U69">
            <v>46162</v>
          </cell>
        </row>
        <row r="70">
          <cell r="H70" t="str">
            <v>VLPLW2627/282</v>
          </cell>
          <cell r="I70">
            <v>46139</v>
          </cell>
          <cell r="J70">
            <v>39</v>
          </cell>
          <cell r="K70">
            <v>46162</v>
          </cell>
          <cell r="L70" t="str">
            <v>Waluj To HOSUR</v>
          </cell>
          <cell r="M70">
            <v>19000</v>
          </cell>
          <cell r="N70">
            <v>17000</v>
          </cell>
          <cell r="O70">
            <v>46140</v>
          </cell>
          <cell r="P70">
            <v>2000</v>
          </cell>
          <cell r="Q70" t="str">
            <v>Pending</v>
          </cell>
          <cell r="R70" t="str">
            <v>Sanjeev Auto</v>
          </cell>
          <cell r="S70">
            <v>22000</v>
          </cell>
          <cell r="T70" t="str">
            <v>VL/MH/26-27/0185</v>
          </cell>
          <cell r="U70">
            <v>46162</v>
          </cell>
        </row>
        <row r="71">
          <cell r="H71" t="str">
            <v>VLPLW2627/283</v>
          </cell>
          <cell r="I71">
            <v>46139</v>
          </cell>
          <cell r="J71">
            <v>39</v>
          </cell>
          <cell r="K71">
            <v>46171</v>
          </cell>
          <cell r="L71" t="str">
            <v>Waluj  To  hosur</v>
          </cell>
          <cell r="M71">
            <v>39000</v>
          </cell>
          <cell r="N71">
            <v>34000</v>
          </cell>
          <cell r="O71">
            <v>46140</v>
          </cell>
          <cell r="P71">
            <v>5000</v>
          </cell>
          <cell r="Q71" t="str">
            <v>Pending</v>
          </cell>
          <cell r="R71" t="str">
            <v>Sanjeev Auto</v>
          </cell>
          <cell r="S71">
            <v>46000</v>
          </cell>
          <cell r="T71" t="str">
            <v>VL/MH/26-27/0268</v>
          </cell>
          <cell r="U71">
            <v>46171</v>
          </cell>
        </row>
        <row r="72">
          <cell r="H72" t="str">
            <v>VLPLW2627/313</v>
          </cell>
          <cell r="I72">
            <v>46140</v>
          </cell>
          <cell r="J72">
            <v>38</v>
          </cell>
          <cell r="K72">
            <v>46148</v>
          </cell>
          <cell r="L72" t="str">
            <v>G168 To Hosur</v>
          </cell>
          <cell r="M72">
            <v>27500</v>
          </cell>
          <cell r="N72">
            <v>24500</v>
          </cell>
          <cell r="O72">
            <v>46141</v>
          </cell>
          <cell r="P72">
            <v>3000</v>
          </cell>
          <cell r="Q72" t="str">
            <v>Pending</v>
          </cell>
          <cell r="R72" t="str">
            <v>Sanjeev Auto</v>
          </cell>
          <cell r="S72">
            <v>32000</v>
          </cell>
          <cell r="T72" t="str">
            <v>VL/MH/26-27/0104</v>
          </cell>
          <cell r="U72">
            <v>46148</v>
          </cell>
        </row>
        <row r="73">
          <cell r="H73" t="str">
            <v>VLPLW2627/314</v>
          </cell>
          <cell r="I73">
            <v>46140</v>
          </cell>
          <cell r="J73">
            <v>38</v>
          </cell>
          <cell r="K73">
            <v>46162</v>
          </cell>
          <cell r="L73" t="str">
            <v>Waluj To HOSUR</v>
          </cell>
          <cell r="M73">
            <v>19000</v>
          </cell>
          <cell r="N73">
            <v>17000</v>
          </cell>
          <cell r="O73">
            <v>46141</v>
          </cell>
          <cell r="P73">
            <v>2000</v>
          </cell>
          <cell r="Q73" t="str">
            <v>Pending</v>
          </cell>
          <cell r="R73" t="str">
            <v>Sanjeev Auto</v>
          </cell>
          <cell r="S73">
            <v>22000</v>
          </cell>
          <cell r="T73" t="str">
            <v>VL/MH/26-27/0185</v>
          </cell>
          <cell r="U73">
            <v>46162</v>
          </cell>
        </row>
        <row r="74">
          <cell r="H74" t="str">
            <v>VLPLW2627/315</v>
          </cell>
          <cell r="I74">
            <v>46140</v>
          </cell>
          <cell r="J74">
            <v>38</v>
          </cell>
          <cell r="K74">
            <v>46162</v>
          </cell>
          <cell r="L74" t="str">
            <v>Waluj To HOSUR</v>
          </cell>
          <cell r="M74">
            <v>19000</v>
          </cell>
          <cell r="N74">
            <v>17000</v>
          </cell>
          <cell r="O74">
            <v>46141</v>
          </cell>
          <cell r="P74">
            <v>2000</v>
          </cell>
          <cell r="Q74" t="str">
            <v>Pending</v>
          </cell>
          <cell r="R74" t="str">
            <v>Sanjeev Auto</v>
          </cell>
          <cell r="S74">
            <v>22000</v>
          </cell>
          <cell r="T74" t="str">
            <v>VL/MH/26-27/0186</v>
          </cell>
          <cell r="U74">
            <v>46162</v>
          </cell>
        </row>
        <row r="75">
          <cell r="H75" t="str">
            <v>VLPLW2627/316</v>
          </cell>
          <cell r="I75">
            <v>46141</v>
          </cell>
          <cell r="J75">
            <v>37</v>
          </cell>
          <cell r="K75">
            <v>46162</v>
          </cell>
          <cell r="L75" t="str">
            <v>Waluj To Hosur</v>
          </cell>
          <cell r="M75">
            <v>39000</v>
          </cell>
          <cell r="N75">
            <v>34000</v>
          </cell>
          <cell r="O75">
            <v>46141</v>
          </cell>
          <cell r="P75">
            <v>5000</v>
          </cell>
          <cell r="Q75" t="str">
            <v>Pending</v>
          </cell>
          <cell r="R75" t="str">
            <v>Sanjeev Auto</v>
          </cell>
          <cell r="S75">
            <v>46000</v>
          </cell>
          <cell r="T75" t="str">
            <v>VL/MH/26-27/0201</v>
          </cell>
          <cell r="U75">
            <v>46162</v>
          </cell>
        </row>
        <row r="76">
          <cell r="H76" t="str">
            <v>VLPLW2627/331</v>
          </cell>
          <cell r="I76">
            <v>46141</v>
          </cell>
          <cell r="J76">
            <v>37</v>
          </cell>
          <cell r="K76">
            <v>46162</v>
          </cell>
          <cell r="L76" t="str">
            <v>Waluj To HOSUR</v>
          </cell>
          <cell r="M76">
            <v>19000</v>
          </cell>
          <cell r="N76">
            <v>17000</v>
          </cell>
          <cell r="O76">
            <v>46142</v>
          </cell>
          <cell r="P76">
            <v>2000</v>
          </cell>
          <cell r="Q76" t="str">
            <v>Pending</v>
          </cell>
          <cell r="R76" t="str">
            <v>Sanjeev Auto</v>
          </cell>
          <cell r="S76">
            <v>22000</v>
          </cell>
          <cell r="T76" t="str">
            <v>VL/MH/26-27/0186</v>
          </cell>
          <cell r="U76">
            <v>46162</v>
          </cell>
        </row>
        <row r="77">
          <cell r="H77" t="str">
            <v>VLPLW2627/333</v>
          </cell>
          <cell r="I77">
            <v>46141</v>
          </cell>
          <cell r="J77">
            <v>37</v>
          </cell>
          <cell r="K77">
            <v>46162</v>
          </cell>
          <cell r="L77" t="str">
            <v>Waluj To HOSUR</v>
          </cell>
          <cell r="M77">
            <v>19000</v>
          </cell>
          <cell r="N77">
            <v>17000</v>
          </cell>
          <cell r="O77">
            <v>46142</v>
          </cell>
          <cell r="P77">
            <v>2000</v>
          </cell>
          <cell r="Q77" t="str">
            <v>Pending</v>
          </cell>
          <cell r="R77" t="str">
            <v>Sanjeev Auto</v>
          </cell>
          <cell r="S77">
            <v>22000</v>
          </cell>
          <cell r="T77" t="str">
            <v>VL/MH/26-27/0186</v>
          </cell>
          <cell r="U77">
            <v>46162</v>
          </cell>
        </row>
        <row r="78">
          <cell r="H78" t="str">
            <v>VLPLW2627/334</v>
          </cell>
          <cell r="I78">
            <v>46142</v>
          </cell>
          <cell r="J78">
            <v>36</v>
          </cell>
          <cell r="K78" t="str">
            <v>Pending</v>
          </cell>
          <cell r="L78" t="str">
            <v>G168 To  Hosur</v>
          </cell>
          <cell r="M78">
            <v>39000</v>
          </cell>
          <cell r="N78">
            <v>34000</v>
          </cell>
          <cell r="O78">
            <v>46142</v>
          </cell>
          <cell r="P78">
            <v>5000</v>
          </cell>
          <cell r="Q78" t="str">
            <v>Pending</v>
          </cell>
          <cell r="R78" t="str">
            <v>Sanjeev Auto</v>
          </cell>
          <cell r="S78">
            <v>46000</v>
          </cell>
          <cell r="T78" t="str">
            <v>Pending</v>
          </cell>
          <cell r="U78" t="str">
            <v>Pending</v>
          </cell>
        </row>
        <row r="79">
          <cell r="H79" t="str">
            <v>VLPLW2627/335</v>
          </cell>
          <cell r="I79">
            <v>46142</v>
          </cell>
          <cell r="J79">
            <v>36</v>
          </cell>
          <cell r="K79">
            <v>46148</v>
          </cell>
          <cell r="L79" t="str">
            <v>G168 To Hosur</v>
          </cell>
          <cell r="M79">
            <v>27500</v>
          </cell>
          <cell r="N79">
            <v>24500</v>
          </cell>
          <cell r="O79">
            <v>46142</v>
          </cell>
          <cell r="P79">
            <v>3000</v>
          </cell>
          <cell r="Q79" t="str">
            <v>Pending</v>
          </cell>
          <cell r="R79" t="str">
            <v>Sanjeev Auto</v>
          </cell>
          <cell r="S79">
            <v>32000</v>
          </cell>
          <cell r="T79" t="str">
            <v>VL/MH/26-27/0104</v>
          </cell>
          <cell r="U79">
            <v>46148</v>
          </cell>
        </row>
        <row r="80">
          <cell r="H80" t="str">
            <v xml:space="preserve">VLPLW2627/354  </v>
          </cell>
          <cell r="I80">
            <v>46142</v>
          </cell>
          <cell r="J80">
            <v>36</v>
          </cell>
          <cell r="K80">
            <v>46148</v>
          </cell>
          <cell r="L80" t="str">
            <v>hosur to g168</v>
          </cell>
          <cell r="M80">
            <v>27500</v>
          </cell>
          <cell r="N80">
            <v>24500</v>
          </cell>
          <cell r="O80">
            <v>46144</v>
          </cell>
          <cell r="P80">
            <v>3000</v>
          </cell>
          <cell r="Q80" t="str">
            <v>Pending</v>
          </cell>
          <cell r="R80" t="str">
            <v>Sanjeev Auto</v>
          </cell>
          <cell r="S80">
            <v>32000</v>
          </cell>
          <cell r="T80" t="str">
            <v>VL/MH/26-27/0104</v>
          </cell>
          <cell r="U80">
            <v>46148</v>
          </cell>
        </row>
        <row r="81">
          <cell r="H81" t="str">
            <v>VLPLW2627/358</v>
          </cell>
          <cell r="I81">
            <v>46143</v>
          </cell>
          <cell r="J81">
            <v>35</v>
          </cell>
          <cell r="K81">
            <v>46162</v>
          </cell>
          <cell r="L81" t="str">
            <v>Waluj To Hosur</v>
          </cell>
          <cell r="M81">
            <v>39000</v>
          </cell>
          <cell r="N81">
            <v>34000</v>
          </cell>
          <cell r="O81">
            <v>46144</v>
          </cell>
          <cell r="P81">
            <v>5000</v>
          </cell>
          <cell r="Q81" t="str">
            <v>Pending</v>
          </cell>
          <cell r="R81" t="str">
            <v>Sanjeev Auto</v>
          </cell>
          <cell r="S81">
            <v>46000</v>
          </cell>
          <cell r="T81" t="str">
            <v>VL/MH/26-27/0202</v>
          </cell>
          <cell r="U81">
            <v>46162</v>
          </cell>
        </row>
        <row r="82">
          <cell r="H82" t="str">
            <v>VLPLW2627/393</v>
          </cell>
          <cell r="I82">
            <v>46144</v>
          </cell>
          <cell r="J82">
            <v>34</v>
          </cell>
          <cell r="K82">
            <v>46171</v>
          </cell>
          <cell r="L82" t="str">
            <v>Waluj  To  HOSUR</v>
          </cell>
          <cell r="M82">
            <v>33000</v>
          </cell>
          <cell r="N82">
            <v>30000</v>
          </cell>
          <cell r="O82">
            <v>46146</v>
          </cell>
          <cell r="P82">
            <v>3000</v>
          </cell>
          <cell r="Q82" t="str">
            <v>Pending</v>
          </cell>
          <cell r="R82" t="str">
            <v>Sanjeev Auto</v>
          </cell>
          <cell r="S82">
            <v>38000</v>
          </cell>
          <cell r="T82" t="str">
            <v>VL/MH/26-27/0271</v>
          </cell>
          <cell r="U82">
            <v>46171</v>
          </cell>
        </row>
        <row r="83">
          <cell r="H83" t="str">
            <v>VLPLW2627/394</v>
          </cell>
          <cell r="I83">
            <v>46145</v>
          </cell>
          <cell r="J83">
            <v>33</v>
          </cell>
          <cell r="K83">
            <v>46171</v>
          </cell>
          <cell r="L83" t="str">
            <v>G168 To Hosur</v>
          </cell>
          <cell r="M83">
            <v>39000</v>
          </cell>
          <cell r="N83">
            <v>34000</v>
          </cell>
          <cell r="O83">
            <v>46146</v>
          </cell>
          <cell r="P83">
            <v>5000</v>
          </cell>
          <cell r="Q83" t="str">
            <v>Pending</v>
          </cell>
          <cell r="R83" t="str">
            <v>Sanjeev Auto</v>
          </cell>
          <cell r="S83">
            <v>46000</v>
          </cell>
          <cell r="T83" t="str">
            <v>VL/MH/26-27/0269</v>
          </cell>
          <cell r="U83">
            <v>46171</v>
          </cell>
        </row>
        <row r="84">
          <cell r="H84" t="str">
            <v>VLPLW2627/395</v>
          </cell>
          <cell r="I84">
            <v>46145</v>
          </cell>
          <cell r="J84">
            <v>33</v>
          </cell>
          <cell r="K84" t="str">
            <v>Pending</v>
          </cell>
          <cell r="L84" t="str">
            <v>Waluj To hosur </v>
          </cell>
          <cell r="M84">
            <v>19000</v>
          </cell>
          <cell r="N84">
            <v>17000</v>
          </cell>
          <cell r="O84">
            <v>46146</v>
          </cell>
          <cell r="P84">
            <v>2000</v>
          </cell>
          <cell r="Q84" t="str">
            <v>Pending</v>
          </cell>
          <cell r="R84" t="str">
            <v>Sanjeev Auto</v>
          </cell>
          <cell r="S84">
            <v>22000</v>
          </cell>
          <cell r="T84" t="str">
            <v>Pending</v>
          </cell>
          <cell r="U84" t="str">
            <v>Pending</v>
          </cell>
        </row>
        <row r="85">
          <cell r="H85" t="str">
            <v>VLPLW2627/396</v>
          </cell>
          <cell r="I85">
            <v>46146</v>
          </cell>
          <cell r="J85">
            <v>32</v>
          </cell>
          <cell r="K85" t="str">
            <v>Pending</v>
          </cell>
          <cell r="L85" t="str">
            <v>Waluj To HOSUR</v>
          </cell>
          <cell r="M85">
            <v>19000</v>
          </cell>
          <cell r="N85">
            <v>17000</v>
          </cell>
          <cell r="O85">
            <v>46146</v>
          </cell>
          <cell r="P85">
            <v>2000</v>
          </cell>
          <cell r="Q85" t="str">
            <v>Pending</v>
          </cell>
          <cell r="R85" t="str">
            <v>Sanjeev Auto</v>
          </cell>
          <cell r="S85">
            <v>22000</v>
          </cell>
          <cell r="T85" t="str">
            <v>Pending</v>
          </cell>
          <cell r="U85" t="str">
            <v>Pending</v>
          </cell>
        </row>
        <row r="86">
          <cell r="H86" t="str">
            <v>VLPLW2627/426</v>
          </cell>
          <cell r="I86">
            <v>46146</v>
          </cell>
          <cell r="J86">
            <v>32</v>
          </cell>
          <cell r="K86">
            <v>46171</v>
          </cell>
          <cell r="L86" t="str">
            <v>Waluj To HOSUR</v>
          </cell>
          <cell r="M86">
            <v>19000</v>
          </cell>
          <cell r="N86">
            <v>17000</v>
          </cell>
          <cell r="O86">
            <v>46147</v>
          </cell>
          <cell r="P86">
            <v>2000</v>
          </cell>
          <cell r="Q86" t="str">
            <v>Pending</v>
          </cell>
          <cell r="R86" t="str">
            <v>Sanjeev Auto</v>
          </cell>
          <cell r="S86">
            <v>22000</v>
          </cell>
          <cell r="T86" t="str">
            <v>VL/MH/26-27/0272</v>
          </cell>
          <cell r="U86">
            <v>46171</v>
          </cell>
        </row>
        <row r="87">
          <cell r="H87" t="str">
            <v>VLPLW2627/427</v>
          </cell>
          <cell r="I87">
            <v>46146</v>
          </cell>
          <cell r="J87">
            <v>32</v>
          </cell>
          <cell r="K87" t="str">
            <v>Pending</v>
          </cell>
          <cell r="L87" t="str">
            <v>Waluj To HOSUR</v>
          </cell>
          <cell r="M87">
            <v>19000</v>
          </cell>
          <cell r="N87">
            <v>17000</v>
          </cell>
          <cell r="O87">
            <v>46147</v>
          </cell>
          <cell r="P87">
            <v>2000</v>
          </cell>
          <cell r="Q87" t="str">
            <v>Pending</v>
          </cell>
          <cell r="R87" t="str">
            <v>Sanjeev Auto</v>
          </cell>
          <cell r="S87">
            <v>22000</v>
          </cell>
          <cell r="T87" t="str">
            <v>Pending</v>
          </cell>
          <cell r="U87" t="str">
            <v>Pending</v>
          </cell>
        </row>
        <row r="88">
          <cell r="H88" t="str">
            <v>VLPLW2627/428</v>
          </cell>
          <cell r="I88">
            <v>46147</v>
          </cell>
          <cell r="J88">
            <v>31</v>
          </cell>
          <cell r="K88">
            <v>46171</v>
          </cell>
          <cell r="L88" t="str">
            <v>Sanjeev Auto To Sanjeev Auto  Hosur</v>
          </cell>
          <cell r="M88">
            <v>39000</v>
          </cell>
          <cell r="N88">
            <v>34000</v>
          </cell>
          <cell r="O88">
            <v>46147</v>
          </cell>
          <cell r="P88">
            <v>5000</v>
          </cell>
          <cell r="Q88" t="str">
            <v>Pending</v>
          </cell>
          <cell r="R88" t="str">
            <v>Sanjeev Auto</v>
          </cell>
          <cell r="S88">
            <v>46000</v>
          </cell>
          <cell r="T88" t="str">
            <v>VL/MH/26-27/0269</v>
          </cell>
          <cell r="U88">
            <v>46171</v>
          </cell>
        </row>
        <row r="89">
          <cell r="H89" t="str">
            <v>VLPLW2627/457</v>
          </cell>
          <cell r="I89">
            <v>46148</v>
          </cell>
          <cell r="J89">
            <v>30</v>
          </cell>
          <cell r="K89">
            <v>46171</v>
          </cell>
          <cell r="L89" t="str">
            <v>Waluj  To  hosur</v>
          </cell>
          <cell r="M89">
            <v>39000</v>
          </cell>
          <cell r="N89">
            <v>34000</v>
          </cell>
          <cell r="O89">
            <v>46149</v>
          </cell>
          <cell r="P89">
            <v>5000</v>
          </cell>
          <cell r="Q89" t="str">
            <v>Pending</v>
          </cell>
          <cell r="R89" t="str">
            <v>Sanjeev Auto</v>
          </cell>
          <cell r="S89">
            <v>46000</v>
          </cell>
          <cell r="T89" t="str">
            <v>VL/MH/26-27/0269</v>
          </cell>
          <cell r="U89">
            <v>46171</v>
          </cell>
        </row>
        <row r="90">
          <cell r="H90" t="str">
            <v>VLPLW2627/458</v>
          </cell>
          <cell r="I90">
            <v>46148</v>
          </cell>
          <cell r="J90">
            <v>30</v>
          </cell>
          <cell r="K90">
            <v>46171</v>
          </cell>
          <cell r="L90" t="str">
            <v>Waluj To HOSUR</v>
          </cell>
          <cell r="M90">
            <v>19000</v>
          </cell>
          <cell r="N90">
            <v>17000</v>
          </cell>
          <cell r="O90">
            <v>46149</v>
          </cell>
          <cell r="P90">
            <v>2000</v>
          </cell>
          <cell r="Q90" t="str">
            <v>Pending</v>
          </cell>
          <cell r="R90" t="str">
            <v>Sanjeev Auto</v>
          </cell>
          <cell r="S90">
            <v>22000</v>
          </cell>
          <cell r="T90" t="str">
            <v>VL/MH/26-27/0272</v>
          </cell>
          <cell r="U90">
            <v>46171</v>
          </cell>
        </row>
        <row r="91">
          <cell r="H91" t="str">
            <v>VLPLW2627/459</v>
          </cell>
          <cell r="I91">
            <v>46148</v>
          </cell>
          <cell r="J91">
            <v>30</v>
          </cell>
          <cell r="K91">
            <v>46171</v>
          </cell>
          <cell r="L91" t="str">
            <v>Waluj To hosur</v>
          </cell>
          <cell r="M91">
            <v>19000</v>
          </cell>
          <cell r="N91">
            <v>17000</v>
          </cell>
          <cell r="O91">
            <v>46149</v>
          </cell>
          <cell r="P91">
            <v>2000</v>
          </cell>
          <cell r="Q91" t="str">
            <v>Pending</v>
          </cell>
          <cell r="R91" t="str">
            <v>Sanjeev Auto</v>
          </cell>
          <cell r="S91">
            <v>22000</v>
          </cell>
          <cell r="T91" t="str">
            <v>VL/MH/26-27/0272</v>
          </cell>
          <cell r="U91">
            <v>46171</v>
          </cell>
        </row>
        <row r="92">
          <cell r="H92" t="str">
            <v>VLPLW2627/518</v>
          </cell>
          <cell r="I92">
            <v>46150</v>
          </cell>
          <cell r="J92">
            <v>28</v>
          </cell>
          <cell r="K92">
            <v>46171</v>
          </cell>
          <cell r="L92" t="str">
            <v>Waluj To HOSUR</v>
          </cell>
          <cell r="M92">
            <v>19000</v>
          </cell>
          <cell r="N92">
            <v>17000</v>
          </cell>
          <cell r="O92">
            <v>46151</v>
          </cell>
          <cell r="P92">
            <v>2000</v>
          </cell>
          <cell r="Q92" t="str">
            <v>Pending</v>
          </cell>
          <cell r="R92" t="str">
            <v>Sanjeev Auto</v>
          </cell>
          <cell r="S92">
            <v>22000</v>
          </cell>
          <cell r="T92" t="str">
            <v>VL/MH/26-27/0272</v>
          </cell>
          <cell r="U92">
            <v>46171</v>
          </cell>
        </row>
        <row r="93">
          <cell r="H93" t="str">
            <v>VLPLW2627/519</v>
          </cell>
          <cell r="I93">
            <v>46150</v>
          </cell>
          <cell r="J93">
            <v>28</v>
          </cell>
          <cell r="K93">
            <v>46171</v>
          </cell>
          <cell r="L93" t="str">
            <v>Waluj To narsapura</v>
          </cell>
          <cell r="M93">
            <v>19000</v>
          </cell>
          <cell r="N93">
            <v>17000</v>
          </cell>
          <cell r="O93">
            <v>46151</v>
          </cell>
          <cell r="P93">
            <v>2000</v>
          </cell>
          <cell r="Q93" t="str">
            <v>Pending</v>
          </cell>
          <cell r="R93" t="str">
            <v>Sanjeev Auto</v>
          </cell>
          <cell r="S93">
            <v>22000</v>
          </cell>
          <cell r="T93" t="str">
            <v>VL/MH/26-27/0273</v>
          </cell>
          <cell r="U93">
            <v>46171</v>
          </cell>
        </row>
        <row r="94">
          <cell r="H94" t="str">
            <v>VLPLW2627/544</v>
          </cell>
          <cell r="I94">
            <v>46150</v>
          </cell>
          <cell r="J94">
            <v>28</v>
          </cell>
          <cell r="K94">
            <v>46171</v>
          </cell>
          <cell r="L94" t="str">
            <v>Waluj To HOSUR</v>
          </cell>
          <cell r="M94">
            <v>19000</v>
          </cell>
          <cell r="N94">
            <v>17000</v>
          </cell>
          <cell r="O94">
            <v>46151</v>
          </cell>
          <cell r="P94">
            <v>2000</v>
          </cell>
          <cell r="Q94" t="str">
            <v>Pending</v>
          </cell>
          <cell r="R94" t="str">
            <v>Sanjeev Auto</v>
          </cell>
          <cell r="S94">
            <v>22000</v>
          </cell>
          <cell r="T94" t="str">
            <v>VL/MH/26-27/0273</v>
          </cell>
          <cell r="U94">
            <v>46171</v>
          </cell>
        </row>
        <row r="95">
          <cell r="H95" t="str">
            <v>VLPLW2627/545</v>
          </cell>
          <cell r="I95">
            <v>46150</v>
          </cell>
          <cell r="J95">
            <v>28</v>
          </cell>
          <cell r="K95">
            <v>46171</v>
          </cell>
          <cell r="L95" t="str">
            <v>Waluj To HOSUR</v>
          </cell>
          <cell r="M95">
            <v>19000</v>
          </cell>
          <cell r="N95">
            <v>17000</v>
          </cell>
          <cell r="O95">
            <v>46151</v>
          </cell>
          <cell r="P95">
            <v>2000</v>
          </cell>
          <cell r="Q95" t="str">
            <v>Pending</v>
          </cell>
          <cell r="R95" t="str">
            <v>Sanjeev Auto</v>
          </cell>
          <cell r="S95">
            <v>22000</v>
          </cell>
          <cell r="T95" t="str">
            <v>VL/MH/26-27/0273</v>
          </cell>
          <cell r="U95">
            <v>46171</v>
          </cell>
        </row>
        <row r="96">
          <cell r="H96" t="str">
            <v>VLPLW2627/548</v>
          </cell>
          <cell r="I96">
            <v>46150</v>
          </cell>
          <cell r="J96">
            <v>28</v>
          </cell>
          <cell r="K96">
            <v>46171</v>
          </cell>
          <cell r="L96" t="str">
            <v>Waluj To HOSUR</v>
          </cell>
          <cell r="M96">
            <v>19000</v>
          </cell>
          <cell r="N96">
            <v>17000</v>
          </cell>
          <cell r="O96">
            <v>46151</v>
          </cell>
          <cell r="P96">
            <v>2000</v>
          </cell>
          <cell r="Q96" t="str">
            <v>Pending</v>
          </cell>
          <cell r="R96" t="str">
            <v>Sanjeev Auto</v>
          </cell>
          <cell r="S96">
            <v>22000</v>
          </cell>
          <cell r="T96" t="str">
            <v>VL/MH/26-27/0273</v>
          </cell>
          <cell r="U96">
            <v>46171</v>
          </cell>
        </row>
        <row r="97">
          <cell r="H97" t="str">
            <v>VLPLW2627/546</v>
          </cell>
          <cell r="I97">
            <v>46150</v>
          </cell>
          <cell r="J97">
            <v>28</v>
          </cell>
          <cell r="K97">
            <v>46171</v>
          </cell>
          <cell r="L97" t="str">
            <v>G168 To Hosur</v>
          </cell>
          <cell r="M97">
            <v>39000</v>
          </cell>
          <cell r="N97">
            <v>34000</v>
          </cell>
          <cell r="O97">
            <v>46151</v>
          </cell>
          <cell r="P97">
            <v>5000</v>
          </cell>
          <cell r="Q97" t="str">
            <v>Pending</v>
          </cell>
          <cell r="R97" t="str">
            <v>Sanjeev Auto</v>
          </cell>
          <cell r="S97">
            <v>46000</v>
          </cell>
          <cell r="T97" t="str">
            <v>VL/MH/26-27/0269</v>
          </cell>
          <cell r="U97">
            <v>46171</v>
          </cell>
        </row>
        <row r="98">
          <cell r="H98" t="str">
            <v>VLPLW2627/547</v>
          </cell>
          <cell r="I98">
            <v>46149</v>
          </cell>
          <cell r="J98">
            <v>29</v>
          </cell>
          <cell r="K98">
            <v>46171</v>
          </cell>
          <cell r="L98" t="str">
            <v>Waluj To narsapura</v>
          </cell>
          <cell r="M98">
            <v>33000</v>
          </cell>
          <cell r="N98">
            <v>30000</v>
          </cell>
          <cell r="O98">
            <v>46151</v>
          </cell>
          <cell r="P98">
            <v>3000</v>
          </cell>
          <cell r="Q98" t="str">
            <v>Pending</v>
          </cell>
          <cell r="R98" t="str">
            <v>Sanjeev Auto</v>
          </cell>
          <cell r="S98">
            <v>38000</v>
          </cell>
          <cell r="T98" t="str">
            <v>VL/MH/26-27/0271</v>
          </cell>
          <cell r="U98">
            <v>46171</v>
          </cell>
        </row>
        <row r="99">
          <cell r="H99" t="str">
            <v>VLPLW2627/549</v>
          </cell>
          <cell r="I99">
            <v>46150</v>
          </cell>
          <cell r="J99">
            <v>28</v>
          </cell>
          <cell r="K99">
            <v>46171</v>
          </cell>
          <cell r="L99" t="str">
            <v>Waluj To hosur</v>
          </cell>
          <cell r="M99">
            <v>39000</v>
          </cell>
          <cell r="N99">
            <v>34000</v>
          </cell>
          <cell r="O99">
            <v>46151</v>
          </cell>
          <cell r="P99">
            <v>5000</v>
          </cell>
          <cell r="Q99" t="str">
            <v>Pending</v>
          </cell>
          <cell r="R99" t="str">
            <v>Sanjeev Auto</v>
          </cell>
          <cell r="S99">
            <v>46000</v>
          </cell>
          <cell r="T99" t="str">
            <v>VL/MH/26-27/0270</v>
          </cell>
          <cell r="U99">
            <v>46171</v>
          </cell>
        </row>
        <row r="100">
          <cell r="H100" t="str">
            <v>VLPLW2627/571</v>
          </cell>
          <cell r="I100">
            <v>46152</v>
          </cell>
          <cell r="J100">
            <v>26</v>
          </cell>
          <cell r="K100" t="str">
            <v>Pending</v>
          </cell>
          <cell r="L100" t="str">
            <v>Waluj To HOSUR</v>
          </cell>
          <cell r="M100">
            <v>19000</v>
          </cell>
          <cell r="N100">
            <v>17000</v>
          </cell>
          <cell r="O100">
            <v>46152</v>
          </cell>
          <cell r="P100">
            <v>2000</v>
          </cell>
          <cell r="Q100" t="str">
            <v>Pending</v>
          </cell>
          <cell r="R100" t="str">
            <v>Sanjeev Auto</v>
          </cell>
          <cell r="S100">
            <v>22000</v>
          </cell>
          <cell r="T100" t="str">
            <v>Pending</v>
          </cell>
          <cell r="U100" t="str">
            <v>Pending</v>
          </cell>
        </row>
        <row r="101">
          <cell r="H101" t="str">
            <v>VLPLW2627/572</v>
          </cell>
          <cell r="I101">
            <v>46152</v>
          </cell>
          <cell r="J101">
            <v>26</v>
          </cell>
          <cell r="K101">
            <v>46171</v>
          </cell>
          <cell r="L101" t="str">
            <v>G168 To Hosur</v>
          </cell>
          <cell r="M101">
            <v>39000</v>
          </cell>
          <cell r="N101">
            <v>34000</v>
          </cell>
          <cell r="O101">
            <v>46152</v>
          </cell>
          <cell r="P101">
            <v>5000</v>
          </cell>
          <cell r="Q101" t="str">
            <v>Pending</v>
          </cell>
          <cell r="R101" t="str">
            <v>Sanjeev Auto</v>
          </cell>
          <cell r="S101">
            <v>46000</v>
          </cell>
          <cell r="T101" t="str">
            <v>VL/MH/26-27/0270</v>
          </cell>
          <cell r="U101">
            <v>46171</v>
          </cell>
        </row>
        <row r="102">
          <cell r="H102" t="str">
            <v>VLPLW2627/616</v>
          </cell>
          <cell r="I102">
            <v>46154</v>
          </cell>
          <cell r="J102">
            <v>24</v>
          </cell>
          <cell r="K102">
            <v>46171</v>
          </cell>
          <cell r="L102" t="str">
            <v>Waluj  To  hosur</v>
          </cell>
          <cell r="M102">
            <v>33000</v>
          </cell>
          <cell r="N102">
            <v>30000</v>
          </cell>
          <cell r="O102">
            <v>46155</v>
          </cell>
          <cell r="P102">
            <v>3000</v>
          </cell>
          <cell r="Q102" t="str">
            <v>Pending</v>
          </cell>
          <cell r="R102" t="str">
            <v>Sanjeev Auto</v>
          </cell>
          <cell r="S102">
            <v>38000</v>
          </cell>
          <cell r="T102" t="str">
            <v>VL/MH/26-27/0271</v>
          </cell>
          <cell r="U102">
            <v>46171</v>
          </cell>
        </row>
        <row r="103">
          <cell r="H103" t="str">
            <v>VLPLW2627/617</v>
          </cell>
          <cell r="I103">
            <v>46154</v>
          </cell>
          <cell r="J103">
            <v>24</v>
          </cell>
          <cell r="K103">
            <v>46171</v>
          </cell>
          <cell r="L103" t="str">
            <v>Waluj  To  hosur</v>
          </cell>
          <cell r="M103">
            <v>19000</v>
          </cell>
          <cell r="N103">
            <v>17000</v>
          </cell>
          <cell r="O103">
            <v>46155</v>
          </cell>
          <cell r="P103">
            <v>2000</v>
          </cell>
          <cell r="Q103" t="str">
            <v>Pending</v>
          </cell>
          <cell r="R103" t="str">
            <v>Sanjeev Auto</v>
          </cell>
          <cell r="S103">
            <v>22000</v>
          </cell>
          <cell r="T103" t="str">
            <v>VL/MH/26-27/0274</v>
          </cell>
          <cell r="U103">
            <v>46171</v>
          </cell>
        </row>
        <row r="104">
          <cell r="H104" t="str">
            <v>VLPLW2627/644</v>
          </cell>
          <cell r="I104">
            <v>46153</v>
          </cell>
          <cell r="J104">
            <v>25</v>
          </cell>
          <cell r="K104">
            <v>46171</v>
          </cell>
          <cell r="L104" t="str">
            <v>Waluj  To  hosur</v>
          </cell>
          <cell r="M104">
            <v>19000</v>
          </cell>
          <cell r="N104">
            <v>17000</v>
          </cell>
          <cell r="O104">
            <v>46155</v>
          </cell>
          <cell r="P104">
            <v>2000</v>
          </cell>
          <cell r="Q104" t="str">
            <v>Pending</v>
          </cell>
          <cell r="R104" t="str">
            <v>Sanjeev Auto</v>
          </cell>
          <cell r="S104">
            <v>22000</v>
          </cell>
          <cell r="T104" t="str">
            <v>VL/MH/26-27/0274</v>
          </cell>
          <cell r="U104">
            <v>46171</v>
          </cell>
        </row>
        <row r="105">
          <cell r="H105" t="str">
            <v xml:space="preserve">VLPLW2627/645  </v>
          </cell>
          <cell r="I105">
            <v>46154</v>
          </cell>
          <cell r="J105">
            <v>24</v>
          </cell>
          <cell r="K105">
            <v>46171</v>
          </cell>
          <cell r="L105" t="str">
            <v>Waluj To HOSUR</v>
          </cell>
          <cell r="M105">
            <v>19000</v>
          </cell>
          <cell r="N105">
            <v>17000</v>
          </cell>
          <cell r="O105">
            <v>46155</v>
          </cell>
          <cell r="P105">
            <v>2000</v>
          </cell>
          <cell r="Q105" t="str">
            <v>Pending</v>
          </cell>
          <cell r="R105" t="str">
            <v>Sanjeev Auto</v>
          </cell>
          <cell r="S105">
            <v>22000</v>
          </cell>
          <cell r="T105" t="str">
            <v>VL/MH/26-27/0274</v>
          </cell>
          <cell r="U105">
            <v>46171</v>
          </cell>
        </row>
        <row r="106">
          <cell r="H106" t="str">
            <v>VLPLW2627/646</v>
          </cell>
          <cell r="I106">
            <v>46155</v>
          </cell>
          <cell r="J106">
            <v>23</v>
          </cell>
          <cell r="K106">
            <v>46171</v>
          </cell>
          <cell r="L106" t="str">
            <v>Waluj  To  hosur</v>
          </cell>
          <cell r="M106">
            <v>33000</v>
          </cell>
          <cell r="N106">
            <v>30000</v>
          </cell>
          <cell r="O106">
            <v>46155</v>
          </cell>
          <cell r="P106">
            <v>3000</v>
          </cell>
          <cell r="Q106" t="str">
            <v>Pending</v>
          </cell>
          <cell r="R106" t="str">
            <v>Sanjeev Auto</v>
          </cell>
          <cell r="S106">
            <v>38000</v>
          </cell>
          <cell r="T106" t="str">
            <v>VL/MH/26-27/0271</v>
          </cell>
          <cell r="U106">
            <v>46171</v>
          </cell>
        </row>
        <row r="107">
          <cell r="H107" t="str">
            <v>VLPLW2627/647</v>
          </cell>
          <cell r="I107">
            <v>46154</v>
          </cell>
          <cell r="J107">
            <v>24</v>
          </cell>
          <cell r="K107">
            <v>46171</v>
          </cell>
          <cell r="L107" t="str">
            <v>Waluj  To  hosur</v>
          </cell>
          <cell r="M107">
            <v>19000</v>
          </cell>
          <cell r="N107">
            <v>17000</v>
          </cell>
          <cell r="O107">
            <v>46155</v>
          </cell>
          <cell r="P107">
            <v>2000</v>
          </cell>
          <cell r="Q107" t="str">
            <v>Pending</v>
          </cell>
          <cell r="R107" t="str">
            <v>Sanjeev Auto</v>
          </cell>
          <cell r="S107">
            <v>22000</v>
          </cell>
          <cell r="T107" t="str">
            <v>VL/MH/26-27/0275</v>
          </cell>
          <cell r="U107">
            <v>46171</v>
          </cell>
        </row>
        <row r="108">
          <cell r="H108" t="str">
            <v>VLPLW2627/697</v>
          </cell>
          <cell r="I108">
            <v>46155</v>
          </cell>
          <cell r="J108">
            <v>23</v>
          </cell>
          <cell r="K108">
            <v>46171</v>
          </cell>
          <cell r="L108" t="str">
            <v>Waluj  To  hosur</v>
          </cell>
          <cell r="M108">
            <v>19000</v>
          </cell>
          <cell r="N108">
            <v>17000</v>
          </cell>
          <cell r="O108">
            <v>46157</v>
          </cell>
          <cell r="P108">
            <v>2000</v>
          </cell>
          <cell r="Q108" t="str">
            <v>Pending</v>
          </cell>
          <cell r="R108" t="str">
            <v>Sanjeev Auto</v>
          </cell>
          <cell r="S108">
            <v>22000</v>
          </cell>
          <cell r="T108" t="str">
            <v>VL/MH/26-27/0275</v>
          </cell>
          <cell r="U108">
            <v>46171</v>
          </cell>
        </row>
        <row r="109">
          <cell r="H109" t="str">
            <v>VLPLW2627/698</v>
          </cell>
          <cell r="I109">
            <v>46155</v>
          </cell>
          <cell r="J109">
            <v>23</v>
          </cell>
          <cell r="K109">
            <v>46171</v>
          </cell>
          <cell r="L109" t="str">
            <v>Waluj To HOSUR</v>
          </cell>
          <cell r="M109">
            <v>19000</v>
          </cell>
          <cell r="N109">
            <v>17000</v>
          </cell>
          <cell r="O109">
            <v>46157</v>
          </cell>
          <cell r="P109">
            <v>2000</v>
          </cell>
          <cell r="Q109" t="str">
            <v>Pending</v>
          </cell>
          <cell r="R109" t="str">
            <v>Sanjeev Auto</v>
          </cell>
          <cell r="S109">
            <v>22000</v>
          </cell>
          <cell r="T109" t="str">
            <v>VL/MH/26-27/0275</v>
          </cell>
          <cell r="U109">
            <v>46171</v>
          </cell>
        </row>
        <row r="110">
          <cell r="H110" t="str">
            <v xml:space="preserve">VLPLW2627/699  </v>
          </cell>
          <cell r="I110">
            <v>46156</v>
          </cell>
          <cell r="J110">
            <v>22</v>
          </cell>
          <cell r="K110">
            <v>46171</v>
          </cell>
          <cell r="L110" t="str">
            <v>Waluj To HOSUR</v>
          </cell>
          <cell r="M110">
            <v>19000</v>
          </cell>
          <cell r="N110">
            <v>17000</v>
          </cell>
          <cell r="O110">
            <v>46157</v>
          </cell>
          <cell r="P110">
            <v>2000</v>
          </cell>
          <cell r="Q110" t="str">
            <v>Pending</v>
          </cell>
          <cell r="R110" t="str">
            <v>Sanjeev Auto</v>
          </cell>
          <cell r="S110">
            <v>22000</v>
          </cell>
          <cell r="T110" t="str">
            <v>VL/MH/26-27/0276</v>
          </cell>
          <cell r="U110">
            <v>46171</v>
          </cell>
        </row>
        <row r="111">
          <cell r="H111" t="str">
            <v xml:space="preserve">VLPLW2627/700  </v>
          </cell>
          <cell r="I111">
            <v>46156</v>
          </cell>
          <cell r="J111">
            <v>22</v>
          </cell>
          <cell r="K111" t="str">
            <v>Pending</v>
          </cell>
          <cell r="L111" t="str">
            <v>Waluj To HOSUR</v>
          </cell>
          <cell r="M111">
            <v>19000</v>
          </cell>
          <cell r="N111">
            <v>17000</v>
          </cell>
          <cell r="O111">
            <v>46157</v>
          </cell>
          <cell r="P111">
            <v>2000</v>
          </cell>
          <cell r="Q111" t="str">
            <v>Pending</v>
          </cell>
          <cell r="R111" t="str">
            <v>Sanjeev Auto</v>
          </cell>
          <cell r="S111">
            <v>22000</v>
          </cell>
          <cell r="T111" t="str">
            <v>Pending</v>
          </cell>
          <cell r="U111" t="str">
            <v>Pending</v>
          </cell>
        </row>
        <row r="112">
          <cell r="H112" t="str">
            <v>VLPLW2627/703</v>
          </cell>
          <cell r="I112">
            <v>46156</v>
          </cell>
          <cell r="J112">
            <v>22</v>
          </cell>
          <cell r="K112">
            <v>46171</v>
          </cell>
          <cell r="L112" t="str">
            <v>Waluj  To  hosur</v>
          </cell>
          <cell r="M112">
            <v>39000</v>
          </cell>
          <cell r="N112">
            <v>35000</v>
          </cell>
          <cell r="O112">
            <v>46157</v>
          </cell>
          <cell r="P112">
            <v>4000</v>
          </cell>
          <cell r="Q112" t="str">
            <v>Pending</v>
          </cell>
          <cell r="R112" t="str">
            <v>Sanjeev Auto</v>
          </cell>
          <cell r="S112">
            <v>46000</v>
          </cell>
          <cell r="T112" t="str">
            <v>VL/MH/26-27/0270</v>
          </cell>
          <cell r="U112">
            <v>46171</v>
          </cell>
        </row>
        <row r="113">
          <cell r="H113" t="str">
            <v xml:space="preserve">VLPLW2627/711  </v>
          </cell>
          <cell r="I113">
            <v>46149</v>
          </cell>
          <cell r="J113">
            <v>29</v>
          </cell>
          <cell r="K113" t="str">
            <v>Pending</v>
          </cell>
          <cell r="L113" t="str">
            <v>G168 To Hosur</v>
          </cell>
          <cell r="M113">
            <v>27500</v>
          </cell>
          <cell r="N113">
            <v>24500</v>
          </cell>
          <cell r="O113">
            <v>46158</v>
          </cell>
          <cell r="P113">
            <v>3000</v>
          </cell>
          <cell r="Q113" t="str">
            <v>Pending</v>
          </cell>
          <cell r="R113" t="str">
            <v>Sanjeev Auto</v>
          </cell>
          <cell r="S113">
            <v>32000</v>
          </cell>
          <cell r="T113" t="str">
            <v>Pending</v>
          </cell>
          <cell r="U113" t="str">
            <v>Pending</v>
          </cell>
        </row>
        <row r="114">
          <cell r="H114" t="str">
            <v>VLPLW2627/712</v>
          </cell>
          <cell r="I114">
            <v>46150</v>
          </cell>
          <cell r="J114">
            <v>28</v>
          </cell>
          <cell r="K114" t="str">
            <v>Pending</v>
          </cell>
          <cell r="L114" t="str">
            <v>G168 To Hosur</v>
          </cell>
          <cell r="M114">
            <v>27500</v>
          </cell>
          <cell r="N114">
            <v>24500</v>
          </cell>
          <cell r="O114">
            <v>46158</v>
          </cell>
          <cell r="P114">
            <v>3000</v>
          </cell>
          <cell r="Q114" t="str">
            <v>Pending</v>
          </cell>
          <cell r="R114" t="str">
            <v>Sanjeev Auto</v>
          </cell>
          <cell r="S114">
            <v>32000</v>
          </cell>
          <cell r="T114" t="str">
            <v>Pending</v>
          </cell>
          <cell r="U114" t="str">
            <v>Pending</v>
          </cell>
        </row>
        <row r="115">
          <cell r="H115" t="str">
            <v>VLPLW2627/713</v>
          </cell>
          <cell r="I115">
            <v>46152</v>
          </cell>
          <cell r="J115">
            <v>26</v>
          </cell>
          <cell r="K115" t="str">
            <v>Pending</v>
          </cell>
          <cell r="L115" t="str">
            <v>G168 To Hosur</v>
          </cell>
          <cell r="M115">
            <v>27500</v>
          </cell>
          <cell r="N115">
            <v>24500</v>
          </cell>
          <cell r="O115">
            <v>46158</v>
          </cell>
          <cell r="P115">
            <v>3000</v>
          </cell>
          <cell r="Q115" t="str">
            <v>Pending</v>
          </cell>
          <cell r="R115" t="str">
            <v>Sanjeev Auto</v>
          </cell>
          <cell r="S115">
            <v>32000</v>
          </cell>
          <cell r="T115" t="str">
            <v>Pending</v>
          </cell>
          <cell r="U115" t="str">
            <v>Pending</v>
          </cell>
        </row>
        <row r="116">
          <cell r="H116" t="str">
            <v>VLPLW2627/715</v>
          </cell>
          <cell r="I116">
            <v>46154</v>
          </cell>
          <cell r="J116">
            <v>24</v>
          </cell>
          <cell r="K116" t="str">
            <v>Pending</v>
          </cell>
          <cell r="L116" t="str">
            <v>G168 To Hosur</v>
          </cell>
          <cell r="M116">
            <v>27500</v>
          </cell>
          <cell r="N116">
            <v>24500</v>
          </cell>
          <cell r="O116">
            <v>46158</v>
          </cell>
          <cell r="P116">
            <v>3000</v>
          </cell>
          <cell r="Q116" t="str">
            <v>Pending</v>
          </cell>
          <cell r="R116" t="str">
            <v>Sanjeev Auto</v>
          </cell>
          <cell r="S116">
            <v>32000</v>
          </cell>
          <cell r="T116" t="str">
            <v>Pending</v>
          </cell>
          <cell r="U116" t="str">
            <v>Pending</v>
          </cell>
        </row>
        <row r="117">
          <cell r="H117" t="str">
            <v xml:space="preserve">VLPLW2627/719  </v>
          </cell>
          <cell r="I117">
            <v>46147</v>
          </cell>
          <cell r="J117">
            <v>31</v>
          </cell>
          <cell r="K117" t="str">
            <v>Pending</v>
          </cell>
          <cell r="L117" t="str">
            <v>G168 To Hosur</v>
          </cell>
          <cell r="M117">
            <v>27500</v>
          </cell>
          <cell r="N117">
            <v>24500</v>
          </cell>
          <cell r="O117">
            <v>46158</v>
          </cell>
          <cell r="P117">
            <v>3000</v>
          </cell>
          <cell r="Q117" t="str">
            <v>Pending</v>
          </cell>
          <cell r="R117" t="str">
            <v>Sanjeev Auto</v>
          </cell>
          <cell r="S117">
            <v>32000</v>
          </cell>
          <cell r="T117" t="str">
            <v>Pending</v>
          </cell>
          <cell r="U117" t="str">
            <v>Pending</v>
          </cell>
        </row>
        <row r="118">
          <cell r="H118" t="str">
            <v xml:space="preserve">VLPLW2627/744  </v>
          </cell>
          <cell r="I118">
            <v>46157</v>
          </cell>
          <cell r="J118">
            <v>21</v>
          </cell>
          <cell r="K118">
            <v>46171</v>
          </cell>
          <cell r="L118" t="str">
            <v>Waluj To HOSUR</v>
          </cell>
          <cell r="M118">
            <v>19000</v>
          </cell>
          <cell r="N118">
            <v>17000</v>
          </cell>
          <cell r="O118">
            <v>46159</v>
          </cell>
          <cell r="P118">
            <v>2000</v>
          </cell>
          <cell r="Q118" t="str">
            <v>Pending</v>
          </cell>
          <cell r="R118" t="str">
            <v>Sanjeev Auto</v>
          </cell>
          <cell r="S118">
            <v>22000</v>
          </cell>
          <cell r="T118" t="str">
            <v>VL/MH/26-27/0276</v>
          </cell>
          <cell r="U118">
            <v>46171</v>
          </cell>
        </row>
        <row r="119">
          <cell r="H119" t="str">
            <v>VLPLW2627/747</v>
          </cell>
          <cell r="I119">
            <v>46157</v>
          </cell>
          <cell r="J119">
            <v>21</v>
          </cell>
          <cell r="K119">
            <v>46171</v>
          </cell>
          <cell r="L119" t="str">
            <v>Waluj To HOSUR</v>
          </cell>
          <cell r="M119">
            <v>19000</v>
          </cell>
          <cell r="N119">
            <v>17000</v>
          </cell>
          <cell r="O119">
            <v>46159</v>
          </cell>
          <cell r="P119">
            <v>2000</v>
          </cell>
          <cell r="Q119" t="str">
            <v>Pending</v>
          </cell>
          <cell r="R119" t="str">
            <v>Sanjeev Auto</v>
          </cell>
          <cell r="S119">
            <v>22000</v>
          </cell>
          <cell r="T119" t="str">
            <v>VL/MH/26-27/0276</v>
          </cell>
          <cell r="U119">
            <v>46171</v>
          </cell>
        </row>
        <row r="120">
          <cell r="H120" t="str">
            <v xml:space="preserve">VLPLW2627/748  </v>
          </cell>
          <cell r="I120">
            <v>46157</v>
          </cell>
          <cell r="J120">
            <v>21</v>
          </cell>
          <cell r="K120" t="str">
            <v>Pending</v>
          </cell>
          <cell r="L120" t="str">
            <v>Waluj  To  HOSUR</v>
          </cell>
          <cell r="M120">
            <v>33000</v>
          </cell>
          <cell r="N120">
            <v>30000</v>
          </cell>
          <cell r="O120">
            <v>46159</v>
          </cell>
          <cell r="P120">
            <v>3000</v>
          </cell>
          <cell r="Q120" t="str">
            <v>Pending</v>
          </cell>
          <cell r="R120" t="str">
            <v>Sanjeev Auto</v>
          </cell>
          <cell r="S120">
            <v>38000</v>
          </cell>
          <cell r="T120" t="str">
            <v>Pending</v>
          </cell>
          <cell r="U120" t="str">
            <v>Pending</v>
          </cell>
        </row>
        <row r="121">
          <cell r="H121" t="str">
            <v>VLPLW2627/749</v>
          </cell>
          <cell r="I121">
            <v>46158</v>
          </cell>
          <cell r="J121">
            <v>20</v>
          </cell>
          <cell r="K121" t="str">
            <v>Pending</v>
          </cell>
          <cell r="L121" t="str">
            <v>G168 To Hosur</v>
          </cell>
          <cell r="M121">
            <v>33000</v>
          </cell>
          <cell r="N121">
            <v>30000</v>
          </cell>
          <cell r="O121">
            <v>46159</v>
          </cell>
          <cell r="P121">
            <v>3000</v>
          </cell>
          <cell r="Q121" t="str">
            <v>Pending</v>
          </cell>
          <cell r="R121" t="str">
            <v>Sanjeev Auto</v>
          </cell>
          <cell r="S121">
            <v>38000</v>
          </cell>
          <cell r="T121" t="str">
            <v>Pending</v>
          </cell>
          <cell r="U121" t="str">
            <v>Pending</v>
          </cell>
        </row>
        <row r="122">
          <cell r="H122" t="str">
            <v xml:space="preserve">VLPLW2627/746  </v>
          </cell>
          <cell r="I122">
            <v>46158</v>
          </cell>
          <cell r="J122">
            <v>20</v>
          </cell>
          <cell r="K122" t="str">
            <v>Pending</v>
          </cell>
          <cell r="L122" t="str">
            <v>G168 To Hosur</v>
          </cell>
          <cell r="M122">
            <v>27500</v>
          </cell>
          <cell r="N122">
            <v>24500</v>
          </cell>
          <cell r="O122">
            <v>46160</v>
          </cell>
          <cell r="P122">
            <v>3000</v>
          </cell>
          <cell r="Q122" t="str">
            <v>Pending</v>
          </cell>
          <cell r="R122" t="str">
            <v>Sanjeev Auto</v>
          </cell>
          <cell r="S122">
            <v>32000</v>
          </cell>
          <cell r="T122" t="str">
            <v>Pending</v>
          </cell>
          <cell r="U122" t="str">
            <v>Pending</v>
          </cell>
        </row>
        <row r="123">
          <cell r="H123" t="str">
            <v xml:space="preserve">VLPLW2627/768  </v>
          </cell>
          <cell r="I123">
            <v>46158</v>
          </cell>
          <cell r="J123">
            <v>20</v>
          </cell>
          <cell r="K123">
            <v>46171</v>
          </cell>
          <cell r="L123" t="str">
            <v>Waluj To HOSUR</v>
          </cell>
          <cell r="M123">
            <v>19000</v>
          </cell>
          <cell r="N123">
            <v>17000</v>
          </cell>
          <cell r="O123">
            <v>46160</v>
          </cell>
          <cell r="P123">
            <v>2000</v>
          </cell>
          <cell r="Q123" t="str">
            <v>Pending</v>
          </cell>
          <cell r="R123" t="str">
            <v>Sanjeev Auto</v>
          </cell>
          <cell r="S123">
            <v>22000</v>
          </cell>
          <cell r="T123" t="str">
            <v>VL/MH/26-27/0277</v>
          </cell>
          <cell r="U123">
            <v>46171</v>
          </cell>
        </row>
        <row r="124">
          <cell r="H124" t="str">
            <v>VLPLW2627/769</v>
          </cell>
          <cell r="I124">
            <v>46158</v>
          </cell>
          <cell r="J124">
            <v>20</v>
          </cell>
          <cell r="K124">
            <v>46171</v>
          </cell>
          <cell r="L124" t="str">
            <v>Waluj  To HOSUR</v>
          </cell>
          <cell r="M124">
            <v>19000</v>
          </cell>
          <cell r="N124">
            <v>17000</v>
          </cell>
          <cell r="O124">
            <v>46160</v>
          </cell>
          <cell r="P124">
            <v>2000</v>
          </cell>
          <cell r="Q124" t="str">
            <v>Pending</v>
          </cell>
          <cell r="R124" t="str">
            <v>Sanjeev Auto</v>
          </cell>
          <cell r="S124">
            <v>22000</v>
          </cell>
          <cell r="T124" t="str">
            <v>VL/MH/26-27/0277</v>
          </cell>
          <cell r="U124">
            <v>46171</v>
          </cell>
        </row>
        <row r="125">
          <cell r="H125" t="str">
            <v xml:space="preserve">VLPLW2627/877  </v>
          </cell>
          <cell r="I125">
            <v>46158</v>
          </cell>
          <cell r="J125">
            <v>20</v>
          </cell>
          <cell r="K125">
            <v>46171</v>
          </cell>
          <cell r="L125" t="str">
            <v>G168 To Hosur</v>
          </cell>
          <cell r="M125">
            <v>39000</v>
          </cell>
          <cell r="N125">
            <v>34000</v>
          </cell>
          <cell r="O125">
            <v>46164</v>
          </cell>
          <cell r="P125">
            <v>5000</v>
          </cell>
          <cell r="Q125" t="str">
            <v>Pending</v>
          </cell>
          <cell r="R125" t="str">
            <v>Sanjeev Auto</v>
          </cell>
          <cell r="S125">
            <v>46000</v>
          </cell>
          <cell r="T125" t="str">
            <v>VL/MH/26-27/0278</v>
          </cell>
          <cell r="U125">
            <v>46171</v>
          </cell>
        </row>
        <row r="126">
          <cell r="H126" t="str">
            <v xml:space="preserve">VLPLW2627/866  </v>
          </cell>
          <cell r="I126">
            <v>46159</v>
          </cell>
          <cell r="J126">
            <v>19</v>
          </cell>
          <cell r="K126" t="str">
            <v>Pending</v>
          </cell>
          <cell r="L126" t="str">
            <v>G168 To Hosur</v>
          </cell>
          <cell r="M126">
            <v>27500</v>
          </cell>
          <cell r="N126">
            <v>24500</v>
          </cell>
          <cell r="O126">
            <v>46164</v>
          </cell>
          <cell r="P126">
            <v>3000</v>
          </cell>
          <cell r="Q126" t="str">
            <v>Pending</v>
          </cell>
          <cell r="R126" t="str">
            <v>Sanjeev Auto</v>
          </cell>
          <cell r="S126">
            <v>32000</v>
          </cell>
          <cell r="T126" t="str">
            <v>Pending</v>
          </cell>
          <cell r="U126" t="str">
            <v>Pending</v>
          </cell>
        </row>
        <row r="127">
          <cell r="H127" t="str">
            <v>VLPLW2627/867</v>
          </cell>
          <cell r="I127">
            <v>46160</v>
          </cell>
          <cell r="J127">
            <v>18</v>
          </cell>
          <cell r="K127" t="str">
            <v>Pending</v>
          </cell>
          <cell r="L127" t="str">
            <v>G168 To Hosur</v>
          </cell>
          <cell r="M127">
            <v>27500</v>
          </cell>
          <cell r="N127">
            <v>24500</v>
          </cell>
          <cell r="O127">
            <v>46164</v>
          </cell>
          <cell r="P127">
            <v>3000</v>
          </cell>
          <cell r="Q127" t="str">
            <v>Pending</v>
          </cell>
          <cell r="R127" t="str">
            <v>Sanjeev Auto</v>
          </cell>
          <cell r="S127">
            <v>32000</v>
          </cell>
          <cell r="T127" t="str">
            <v>Pending</v>
          </cell>
          <cell r="U127" t="str">
            <v>Pending</v>
          </cell>
        </row>
        <row r="128">
          <cell r="H128" t="str">
            <v xml:space="preserve">VLPLW2627/878  </v>
          </cell>
          <cell r="I128">
            <v>46159</v>
          </cell>
          <cell r="J128">
            <v>19</v>
          </cell>
          <cell r="K128">
            <v>46171</v>
          </cell>
          <cell r="L128" t="str">
            <v>Waluj To HOSUR</v>
          </cell>
          <cell r="M128">
            <v>19000</v>
          </cell>
          <cell r="N128">
            <v>17000</v>
          </cell>
          <cell r="O128">
            <v>46164</v>
          </cell>
          <cell r="P128">
            <v>2000</v>
          </cell>
          <cell r="Q128" t="str">
            <v>Pending</v>
          </cell>
          <cell r="R128" t="str">
            <v>Sanjeev Auto</v>
          </cell>
          <cell r="S128">
            <v>22000</v>
          </cell>
          <cell r="T128" t="str">
            <v>VL/MH/26-27/0277</v>
          </cell>
          <cell r="U128">
            <v>46171</v>
          </cell>
        </row>
        <row r="129">
          <cell r="H129" t="str">
            <v>VLPLW2627/879</v>
          </cell>
          <cell r="I129">
            <v>46160</v>
          </cell>
          <cell r="J129">
            <v>18</v>
          </cell>
          <cell r="K129">
            <v>46171</v>
          </cell>
          <cell r="L129" t="str">
            <v>Waluj To HOSUR</v>
          </cell>
          <cell r="M129">
            <v>19000</v>
          </cell>
          <cell r="N129">
            <v>17000</v>
          </cell>
          <cell r="O129">
            <v>46164</v>
          </cell>
          <cell r="P129">
            <v>2000</v>
          </cell>
          <cell r="Q129" t="str">
            <v>Pending</v>
          </cell>
          <cell r="R129" t="str">
            <v>Sanjeev Auto</v>
          </cell>
          <cell r="S129">
            <v>22000</v>
          </cell>
          <cell r="T129" t="str">
            <v>VL/MH/26-27/0277</v>
          </cell>
          <cell r="U129">
            <v>46171</v>
          </cell>
        </row>
        <row r="130">
          <cell r="H130" t="str">
            <v>VLPLW2627/880</v>
          </cell>
          <cell r="I130">
            <v>46160</v>
          </cell>
          <cell r="J130">
            <v>18</v>
          </cell>
          <cell r="K130">
            <v>46171</v>
          </cell>
          <cell r="L130" t="str">
            <v>g168 to hosur</v>
          </cell>
          <cell r="M130">
            <v>19000</v>
          </cell>
          <cell r="N130">
            <v>17000</v>
          </cell>
          <cell r="O130">
            <v>46164</v>
          </cell>
          <cell r="P130">
            <v>2000</v>
          </cell>
          <cell r="Q130" t="str">
            <v>Pending</v>
          </cell>
          <cell r="R130" t="str">
            <v>Sanjeev Auto</v>
          </cell>
          <cell r="S130">
            <v>22000</v>
          </cell>
          <cell r="T130" t="str">
            <v>VL/MH/26-27/0277</v>
          </cell>
          <cell r="U130">
            <v>46171</v>
          </cell>
        </row>
        <row r="131">
          <cell r="H131" t="str">
            <v>VLPLW2627/881</v>
          </cell>
          <cell r="I131">
            <v>46161</v>
          </cell>
          <cell r="J131">
            <v>17</v>
          </cell>
          <cell r="K131">
            <v>46171</v>
          </cell>
          <cell r="L131" t="str">
            <v>Waluj To HOSUR</v>
          </cell>
          <cell r="M131">
            <v>39000</v>
          </cell>
          <cell r="N131">
            <v>35000</v>
          </cell>
          <cell r="O131">
            <v>46164</v>
          </cell>
          <cell r="P131">
            <v>4000</v>
          </cell>
          <cell r="Q131" t="str">
            <v>Pending</v>
          </cell>
          <cell r="R131" t="str">
            <v>Sanjeev Auto</v>
          </cell>
          <cell r="S131">
            <v>46000</v>
          </cell>
          <cell r="T131" t="str">
            <v>VL/MH/26-27/0270</v>
          </cell>
          <cell r="U131">
            <v>46171</v>
          </cell>
        </row>
        <row r="132">
          <cell r="H132" t="str">
            <v>VLPLW2627/884</v>
          </cell>
          <cell r="I132">
            <v>46161</v>
          </cell>
          <cell r="J132">
            <v>17</v>
          </cell>
          <cell r="K132" t="str">
            <v>Pending</v>
          </cell>
          <cell r="L132" t="str">
            <v>Waluj To HOSUR</v>
          </cell>
          <cell r="M132">
            <v>19000</v>
          </cell>
          <cell r="N132">
            <v>17000</v>
          </cell>
          <cell r="O132">
            <v>46164</v>
          </cell>
          <cell r="P132">
            <v>2000</v>
          </cell>
          <cell r="Q132" t="str">
            <v>Pending</v>
          </cell>
          <cell r="R132" t="str">
            <v>Sanjeev Auto</v>
          </cell>
          <cell r="S132">
            <v>22000</v>
          </cell>
          <cell r="T132" t="str">
            <v>Pending</v>
          </cell>
          <cell r="U132" t="str">
            <v>Pending</v>
          </cell>
        </row>
        <row r="133">
          <cell r="H133" t="str">
            <v>VLPLW2627/885</v>
          </cell>
          <cell r="I133">
            <v>46161</v>
          </cell>
          <cell r="J133">
            <v>17</v>
          </cell>
          <cell r="K133" t="str">
            <v>Pending</v>
          </cell>
          <cell r="L133" t="str">
            <v>Waluj To HOSUR</v>
          </cell>
          <cell r="M133">
            <v>33000</v>
          </cell>
          <cell r="N133">
            <v>30000</v>
          </cell>
          <cell r="O133">
            <v>46164</v>
          </cell>
          <cell r="P133">
            <v>3000</v>
          </cell>
          <cell r="Q133" t="str">
            <v>Pending</v>
          </cell>
          <cell r="R133" t="str">
            <v>Sanjeev Auto</v>
          </cell>
          <cell r="S133">
            <v>38000</v>
          </cell>
          <cell r="T133" t="str">
            <v>Pending</v>
          </cell>
          <cell r="U133" t="str">
            <v>Pending</v>
          </cell>
        </row>
        <row r="134">
          <cell r="H134" t="str">
            <v xml:space="preserve">VLPLW2627/886  </v>
          </cell>
          <cell r="I134">
            <v>46161</v>
          </cell>
          <cell r="J134">
            <v>17</v>
          </cell>
          <cell r="K134" t="str">
            <v>Pending</v>
          </cell>
          <cell r="L134" t="str">
            <v>WALUJ To GURGAON</v>
          </cell>
          <cell r="M134">
            <v>33000</v>
          </cell>
          <cell r="N134">
            <v>30000</v>
          </cell>
          <cell r="O134">
            <v>46164</v>
          </cell>
          <cell r="P134">
            <v>3000</v>
          </cell>
          <cell r="Q134" t="str">
            <v>Pending</v>
          </cell>
          <cell r="R134" t="str">
            <v>Sanjeev Auto</v>
          </cell>
          <cell r="S134">
            <v>38000</v>
          </cell>
          <cell r="T134" t="str">
            <v>Pending</v>
          </cell>
          <cell r="U134" t="str">
            <v>Pending</v>
          </cell>
        </row>
        <row r="135">
          <cell r="H135" t="str">
            <v>VLPLW2627/887</v>
          </cell>
          <cell r="I135">
            <v>46162</v>
          </cell>
          <cell r="J135">
            <v>16</v>
          </cell>
          <cell r="K135" t="str">
            <v>Pending</v>
          </cell>
          <cell r="L135" t="str">
            <v>Waluj To HOSUR</v>
          </cell>
          <cell r="M135">
            <v>19000</v>
          </cell>
          <cell r="N135">
            <v>17000</v>
          </cell>
          <cell r="O135">
            <v>46164</v>
          </cell>
          <cell r="P135">
            <v>2000</v>
          </cell>
          <cell r="Q135" t="str">
            <v>Pending</v>
          </cell>
          <cell r="R135" t="str">
            <v>Sanjeev Auto</v>
          </cell>
          <cell r="S135">
            <v>22000</v>
          </cell>
          <cell r="T135" t="str">
            <v>Pending</v>
          </cell>
          <cell r="U135" t="str">
            <v>Pending</v>
          </cell>
        </row>
        <row r="136">
          <cell r="H136" t="str">
            <v xml:space="preserve">VLPLW2627/888  </v>
          </cell>
          <cell r="I136">
            <v>46163</v>
          </cell>
          <cell r="J136">
            <v>15</v>
          </cell>
          <cell r="K136" t="str">
            <v>Pending</v>
          </cell>
          <cell r="L136" t="str">
            <v>Waluj To hosur</v>
          </cell>
          <cell r="M136">
            <v>39000</v>
          </cell>
          <cell r="N136">
            <v>34000</v>
          </cell>
          <cell r="O136">
            <v>46164</v>
          </cell>
          <cell r="P136">
            <v>5000</v>
          </cell>
          <cell r="Q136" t="str">
            <v>Pending</v>
          </cell>
          <cell r="R136" t="str">
            <v>Sanjeev Auto</v>
          </cell>
          <cell r="S136">
            <v>46000</v>
          </cell>
          <cell r="T136" t="str">
            <v>Pending</v>
          </cell>
          <cell r="U136" t="str">
            <v>Pending</v>
          </cell>
        </row>
        <row r="137">
          <cell r="H137" t="str">
            <v>VLPLW2627/889</v>
          </cell>
          <cell r="I137">
            <v>46162</v>
          </cell>
          <cell r="J137">
            <v>16</v>
          </cell>
          <cell r="K137" t="str">
            <v>Pending</v>
          </cell>
          <cell r="L137" t="str">
            <v>Waluj To hosur</v>
          </cell>
          <cell r="M137">
            <v>39000</v>
          </cell>
          <cell r="N137">
            <v>34000</v>
          </cell>
          <cell r="O137">
            <v>46164</v>
          </cell>
          <cell r="P137">
            <v>5000</v>
          </cell>
          <cell r="Q137" t="str">
            <v>Pending</v>
          </cell>
          <cell r="R137" t="str">
            <v>Sanjeev Auto</v>
          </cell>
          <cell r="S137">
            <v>46000</v>
          </cell>
          <cell r="T137" t="str">
            <v>Pending</v>
          </cell>
          <cell r="U137" t="str">
            <v>Pending</v>
          </cell>
        </row>
        <row r="138">
          <cell r="H138" t="str">
            <v xml:space="preserve">VLPLW2627/891  </v>
          </cell>
          <cell r="I138">
            <v>46164</v>
          </cell>
          <cell r="J138">
            <v>14</v>
          </cell>
          <cell r="K138" t="str">
            <v>Pending</v>
          </cell>
          <cell r="L138" t="str">
            <v>Waluj To HOSUR</v>
          </cell>
          <cell r="M138">
            <v>19000</v>
          </cell>
          <cell r="N138">
            <v>17000</v>
          </cell>
          <cell r="O138">
            <v>46164</v>
          </cell>
          <cell r="P138">
            <v>2000</v>
          </cell>
          <cell r="Q138" t="str">
            <v>Pending</v>
          </cell>
          <cell r="R138" t="str">
            <v>Sanjeev Auto</v>
          </cell>
          <cell r="S138">
            <v>22000</v>
          </cell>
          <cell r="T138" t="str">
            <v>Pending</v>
          </cell>
          <cell r="U138" t="str">
            <v>Pending</v>
          </cell>
        </row>
        <row r="139">
          <cell r="H139" t="str">
            <v>VLPLW2627/892</v>
          </cell>
          <cell r="I139">
            <v>46164</v>
          </cell>
          <cell r="J139">
            <v>14</v>
          </cell>
          <cell r="K139" t="str">
            <v>Pending</v>
          </cell>
          <cell r="L139" t="str">
            <v>Waluj To HOSUR</v>
          </cell>
          <cell r="M139">
            <v>19000</v>
          </cell>
          <cell r="N139">
            <v>17000</v>
          </cell>
          <cell r="O139">
            <v>46164</v>
          </cell>
          <cell r="P139">
            <v>2000</v>
          </cell>
          <cell r="Q139" t="str">
            <v>Pending</v>
          </cell>
          <cell r="R139" t="str">
            <v>Sanjeev Auto</v>
          </cell>
          <cell r="S139">
            <v>22000</v>
          </cell>
          <cell r="T139" t="str">
            <v>Pending</v>
          </cell>
          <cell r="U139" t="str">
            <v>Pending</v>
          </cell>
        </row>
        <row r="140">
          <cell r="H140" t="str">
            <v xml:space="preserve">VLPLW2627/916  </v>
          </cell>
          <cell r="I140">
            <v>46164</v>
          </cell>
          <cell r="J140">
            <v>14</v>
          </cell>
          <cell r="K140" t="str">
            <v>Pending</v>
          </cell>
          <cell r="L140" t="str">
            <v>Waluj To HOSUR</v>
          </cell>
          <cell r="M140">
            <v>19000</v>
          </cell>
          <cell r="N140">
            <v>17000</v>
          </cell>
          <cell r="O140">
            <v>46165</v>
          </cell>
          <cell r="P140">
            <v>2000</v>
          </cell>
          <cell r="Q140" t="str">
            <v>Pending</v>
          </cell>
          <cell r="R140" t="str">
            <v>Sanjeev Auto</v>
          </cell>
          <cell r="S140">
            <v>22000</v>
          </cell>
          <cell r="T140" t="str">
            <v>Pending</v>
          </cell>
          <cell r="U140" t="str">
            <v>Pending</v>
          </cell>
        </row>
        <row r="141">
          <cell r="H141" t="str">
            <v>VLPLW2627/917</v>
          </cell>
          <cell r="I141">
            <v>46165</v>
          </cell>
          <cell r="J141">
            <v>13</v>
          </cell>
          <cell r="K141" t="str">
            <v>Pending</v>
          </cell>
          <cell r="L141" t="str">
            <v>Waluj To HOSUR</v>
          </cell>
          <cell r="M141">
            <v>19000</v>
          </cell>
          <cell r="N141">
            <v>17000</v>
          </cell>
          <cell r="O141">
            <v>46165</v>
          </cell>
          <cell r="P141">
            <v>2000</v>
          </cell>
          <cell r="Q141" t="str">
            <v>Pending</v>
          </cell>
          <cell r="R141" t="str">
            <v>Sanjeev Auto</v>
          </cell>
          <cell r="S141">
            <v>22000</v>
          </cell>
          <cell r="T141" t="str">
            <v>Pending</v>
          </cell>
          <cell r="U141" t="str">
            <v>Pending</v>
          </cell>
        </row>
        <row r="142">
          <cell r="H142" t="str">
            <v>VLPLW2627/919</v>
          </cell>
          <cell r="I142">
            <v>46165</v>
          </cell>
          <cell r="J142">
            <v>13</v>
          </cell>
          <cell r="K142" t="str">
            <v>Pending</v>
          </cell>
          <cell r="L142" t="str">
            <v>G168 To Hosur</v>
          </cell>
          <cell r="M142">
            <v>39000</v>
          </cell>
          <cell r="N142">
            <v>34000</v>
          </cell>
          <cell r="O142">
            <v>46165</v>
          </cell>
          <cell r="P142">
            <v>5000</v>
          </cell>
          <cell r="Q142" t="str">
            <v>Pending</v>
          </cell>
          <cell r="R142" t="str">
            <v>Sanjeev Auto</v>
          </cell>
          <cell r="S142">
            <v>46000</v>
          </cell>
          <cell r="T142" t="str">
            <v>Pending</v>
          </cell>
          <cell r="U142" t="str">
            <v>Pending</v>
          </cell>
        </row>
        <row r="143">
          <cell r="H143" t="str">
            <v>VLPLW2627/920</v>
          </cell>
          <cell r="I143">
            <v>46165</v>
          </cell>
          <cell r="J143">
            <v>13</v>
          </cell>
          <cell r="K143" t="str">
            <v>Pending</v>
          </cell>
          <cell r="L143" t="str">
            <v>G168 To Hosur</v>
          </cell>
          <cell r="M143">
            <v>27500</v>
          </cell>
          <cell r="N143">
            <v>24500</v>
          </cell>
          <cell r="O143">
            <v>46165</v>
          </cell>
          <cell r="P143">
            <v>3000</v>
          </cell>
          <cell r="Q143" t="str">
            <v>Pending</v>
          </cell>
          <cell r="R143" t="str">
            <v>Sanjeev Auto</v>
          </cell>
          <cell r="S143">
            <v>32000</v>
          </cell>
          <cell r="T143" t="str">
            <v>Pending</v>
          </cell>
          <cell r="U143" t="str">
            <v>Pending</v>
          </cell>
        </row>
        <row r="144">
          <cell r="H144" t="str">
            <v>VLPLW2627/937</v>
          </cell>
          <cell r="I144">
            <v>46165</v>
          </cell>
          <cell r="J144">
            <v>13</v>
          </cell>
          <cell r="K144" t="str">
            <v>Pending</v>
          </cell>
          <cell r="L144" t="str">
            <v>G168 To Hosur</v>
          </cell>
          <cell r="M144">
            <v>27500</v>
          </cell>
          <cell r="N144">
            <v>24500</v>
          </cell>
          <cell r="O144">
            <v>46167</v>
          </cell>
          <cell r="P144">
            <v>3000</v>
          </cell>
          <cell r="Q144" t="str">
            <v>Pending</v>
          </cell>
          <cell r="R144" t="str">
            <v>Sanjeev Auto</v>
          </cell>
          <cell r="S144">
            <v>32000</v>
          </cell>
          <cell r="T144" t="str">
            <v>Pending</v>
          </cell>
          <cell r="U144" t="str">
            <v>Pending</v>
          </cell>
        </row>
        <row r="145">
          <cell r="H145" t="str">
            <v>VLPLW2627/994</v>
          </cell>
          <cell r="I145">
            <v>46165</v>
          </cell>
          <cell r="J145">
            <v>13</v>
          </cell>
          <cell r="K145" t="str">
            <v>Pending</v>
          </cell>
          <cell r="L145" t="str">
            <v>Waluj To hosu</v>
          </cell>
          <cell r="M145">
            <v>39000</v>
          </cell>
          <cell r="N145">
            <v>34000</v>
          </cell>
          <cell r="O145">
            <v>46169</v>
          </cell>
          <cell r="P145">
            <v>5000</v>
          </cell>
          <cell r="Q145" t="str">
            <v>Pending</v>
          </cell>
          <cell r="R145" t="str">
            <v>Sanjeev Auto</v>
          </cell>
          <cell r="S145">
            <v>46000</v>
          </cell>
          <cell r="T145" t="str">
            <v>Pending</v>
          </cell>
          <cell r="U145" t="str">
            <v>Pending</v>
          </cell>
        </row>
        <row r="146">
          <cell r="H146" t="str">
            <v>VLPLW2627/997</v>
          </cell>
          <cell r="I146">
            <v>46167</v>
          </cell>
          <cell r="J146">
            <v>11</v>
          </cell>
          <cell r="K146" t="str">
            <v>Pending</v>
          </cell>
          <cell r="L146" t="str">
            <v>Waluj To hosu</v>
          </cell>
          <cell r="M146">
            <v>39000</v>
          </cell>
          <cell r="N146">
            <v>34000</v>
          </cell>
          <cell r="O146">
            <v>46169</v>
          </cell>
          <cell r="P146">
            <v>5000</v>
          </cell>
          <cell r="Q146" t="str">
            <v>Pending</v>
          </cell>
          <cell r="R146" t="str">
            <v>Sanjeev Auto</v>
          </cell>
          <cell r="S146">
            <v>46000</v>
          </cell>
          <cell r="T146" t="str">
            <v>Pending</v>
          </cell>
          <cell r="U146" t="str">
            <v>Pending</v>
          </cell>
        </row>
        <row r="147">
          <cell r="H147" t="str">
            <v>VLPLW2627/992</v>
          </cell>
          <cell r="I147">
            <v>46165</v>
          </cell>
          <cell r="J147">
            <v>13</v>
          </cell>
          <cell r="K147" t="str">
            <v>Pending</v>
          </cell>
          <cell r="L147" t="str">
            <v>Waluj To HOSUR</v>
          </cell>
          <cell r="M147">
            <v>19000</v>
          </cell>
          <cell r="N147">
            <v>17000</v>
          </cell>
          <cell r="O147">
            <v>46169</v>
          </cell>
          <cell r="P147">
            <v>2000</v>
          </cell>
          <cell r="Q147" t="str">
            <v>Pending</v>
          </cell>
          <cell r="R147" t="str">
            <v>Sanjeev Auto</v>
          </cell>
          <cell r="S147">
            <v>22000</v>
          </cell>
          <cell r="T147" t="str">
            <v>Pending</v>
          </cell>
          <cell r="U147" t="str">
            <v>Pending</v>
          </cell>
        </row>
        <row r="148">
          <cell r="H148" t="str">
            <v>VLPLW2627/993</v>
          </cell>
          <cell r="I148">
            <v>46165</v>
          </cell>
          <cell r="J148">
            <v>13</v>
          </cell>
          <cell r="K148" t="str">
            <v>Pending</v>
          </cell>
          <cell r="L148" t="str">
            <v>Waluj To HOSUR</v>
          </cell>
          <cell r="M148">
            <v>19000</v>
          </cell>
          <cell r="N148">
            <v>17000</v>
          </cell>
          <cell r="O148">
            <v>46169</v>
          </cell>
          <cell r="P148">
            <v>2000</v>
          </cell>
          <cell r="Q148" t="str">
            <v>Pending</v>
          </cell>
          <cell r="R148" t="str">
            <v>Sanjeev Auto</v>
          </cell>
          <cell r="S148">
            <v>22000</v>
          </cell>
          <cell r="T148" t="str">
            <v>Pending</v>
          </cell>
          <cell r="U148" t="str">
            <v>Pending</v>
          </cell>
        </row>
        <row r="149">
          <cell r="H149" t="str">
            <v>VLPLW2627/995</v>
          </cell>
          <cell r="I149">
            <v>46167</v>
          </cell>
          <cell r="J149">
            <v>11</v>
          </cell>
          <cell r="K149" t="str">
            <v>Pending</v>
          </cell>
          <cell r="L149" t="str">
            <v>Waluj To HOSUR</v>
          </cell>
          <cell r="M149">
            <v>19000</v>
          </cell>
          <cell r="N149">
            <v>17000</v>
          </cell>
          <cell r="O149">
            <v>46169</v>
          </cell>
          <cell r="P149">
            <v>2000</v>
          </cell>
          <cell r="Q149" t="str">
            <v>Pending</v>
          </cell>
          <cell r="R149" t="str">
            <v>Sanjeev Auto</v>
          </cell>
          <cell r="S149">
            <v>22000</v>
          </cell>
          <cell r="T149" t="str">
            <v>Pending</v>
          </cell>
          <cell r="U149" t="str">
            <v>Pending</v>
          </cell>
        </row>
        <row r="150">
          <cell r="H150" t="str">
            <v>VLPLW2627/996</v>
          </cell>
          <cell r="I150">
            <v>46167</v>
          </cell>
          <cell r="J150">
            <v>11</v>
          </cell>
          <cell r="K150" t="str">
            <v>Pending</v>
          </cell>
          <cell r="L150" t="str">
            <v>Waluj To HOSUR</v>
          </cell>
          <cell r="M150">
            <v>19000</v>
          </cell>
          <cell r="N150">
            <v>17000</v>
          </cell>
          <cell r="O150">
            <v>46169</v>
          </cell>
          <cell r="P150">
            <v>2000</v>
          </cell>
          <cell r="Q150" t="str">
            <v>Pending</v>
          </cell>
          <cell r="R150" t="str">
            <v>Sanjeev Auto</v>
          </cell>
          <cell r="S150">
            <v>22000</v>
          </cell>
          <cell r="T150" t="str">
            <v>Pending</v>
          </cell>
          <cell r="U150" t="str">
            <v>Pending</v>
          </cell>
        </row>
        <row r="151">
          <cell r="H151" t="str">
            <v>VLPLW2627/998</v>
          </cell>
          <cell r="I151">
            <v>46168</v>
          </cell>
          <cell r="J151">
            <v>10</v>
          </cell>
          <cell r="K151" t="str">
            <v>Pending</v>
          </cell>
          <cell r="L151" t="str">
            <v>Waluj To HOSUR</v>
          </cell>
          <cell r="M151">
            <v>19000</v>
          </cell>
          <cell r="N151">
            <v>17000</v>
          </cell>
          <cell r="O151">
            <v>46169</v>
          </cell>
          <cell r="P151">
            <v>2000</v>
          </cell>
          <cell r="Q151" t="str">
            <v>Pending</v>
          </cell>
          <cell r="R151" t="str">
            <v>Sanjeev Auto</v>
          </cell>
          <cell r="S151">
            <v>22000</v>
          </cell>
          <cell r="T151" t="str">
            <v>Pending</v>
          </cell>
          <cell r="U151" t="str">
            <v>Pending</v>
          </cell>
        </row>
        <row r="152">
          <cell r="H152" t="str">
            <v>VLPLW2627/999</v>
          </cell>
          <cell r="I152">
            <v>46168</v>
          </cell>
          <cell r="J152">
            <v>10</v>
          </cell>
          <cell r="K152" t="str">
            <v>Pending</v>
          </cell>
          <cell r="L152" t="str">
            <v>Waluj To HOSUR</v>
          </cell>
          <cell r="M152">
            <v>19000</v>
          </cell>
          <cell r="N152">
            <v>17000</v>
          </cell>
          <cell r="O152">
            <v>46169</v>
          </cell>
          <cell r="P152">
            <v>2000</v>
          </cell>
          <cell r="Q152" t="str">
            <v>Pending</v>
          </cell>
          <cell r="R152" t="str">
            <v>Sanjeev Auto</v>
          </cell>
          <cell r="S152">
            <v>22000</v>
          </cell>
          <cell r="T152" t="str">
            <v>Pending</v>
          </cell>
          <cell r="U152" t="str">
            <v>Pending</v>
          </cell>
        </row>
        <row r="153">
          <cell r="H153" t="str">
            <v>VLPLW2627/1040</v>
          </cell>
          <cell r="I153">
            <v>46169</v>
          </cell>
          <cell r="J153">
            <v>9</v>
          </cell>
          <cell r="K153" t="str">
            <v>Pending</v>
          </cell>
          <cell r="L153" t="str">
            <v>Waluj To HOSUR</v>
          </cell>
          <cell r="M153">
            <v>19000</v>
          </cell>
          <cell r="N153">
            <v>17000</v>
          </cell>
          <cell r="O153">
            <v>46170</v>
          </cell>
          <cell r="P153">
            <v>2000</v>
          </cell>
          <cell r="Q153" t="str">
            <v>Pending</v>
          </cell>
          <cell r="R153" t="str">
            <v>Sanjeev Auto</v>
          </cell>
          <cell r="S153">
            <v>22000</v>
          </cell>
          <cell r="T153" t="str">
            <v>Pending</v>
          </cell>
          <cell r="U153" t="str">
            <v>Pending</v>
          </cell>
        </row>
        <row r="154">
          <cell r="H154" t="str">
            <v xml:space="preserve">VLPLW2627/1041  </v>
          </cell>
          <cell r="I154">
            <v>46170</v>
          </cell>
          <cell r="J154">
            <v>8</v>
          </cell>
          <cell r="K154" t="str">
            <v>Pending</v>
          </cell>
          <cell r="L154" t="str">
            <v>Waluj To HOSUR</v>
          </cell>
          <cell r="M154">
            <v>19000</v>
          </cell>
          <cell r="N154">
            <v>17000</v>
          </cell>
          <cell r="O154">
            <v>46170</v>
          </cell>
          <cell r="P154">
            <v>2000</v>
          </cell>
          <cell r="Q154" t="str">
            <v>Pending</v>
          </cell>
          <cell r="R154" t="str">
            <v>Sanjeev Auto</v>
          </cell>
          <cell r="S154">
            <v>22000</v>
          </cell>
          <cell r="T154" t="str">
            <v>Pending</v>
          </cell>
          <cell r="U154" t="str">
            <v>Pending</v>
          </cell>
        </row>
        <row r="155">
          <cell r="H155" t="str">
            <v xml:space="preserve">VLPLW2627/1073  </v>
          </cell>
          <cell r="I155">
            <v>46170</v>
          </cell>
          <cell r="J155">
            <v>8</v>
          </cell>
          <cell r="K155" t="str">
            <v>Pending</v>
          </cell>
          <cell r="L155" t="str">
            <v>Waluj To HOSUR</v>
          </cell>
          <cell r="M155">
            <v>19000</v>
          </cell>
          <cell r="N155">
            <v>17000</v>
          </cell>
          <cell r="O155">
            <v>46171</v>
          </cell>
          <cell r="P155">
            <v>2000</v>
          </cell>
          <cell r="Q155" t="str">
            <v>Pending</v>
          </cell>
          <cell r="R155" t="str">
            <v>Sanjeev Auto</v>
          </cell>
          <cell r="S155">
            <v>22000</v>
          </cell>
          <cell r="T155" t="str">
            <v>Pending</v>
          </cell>
          <cell r="U155" t="str">
            <v>Pending</v>
          </cell>
        </row>
        <row r="156">
          <cell r="H156" t="str">
            <v>VLPLW2627/1074</v>
          </cell>
          <cell r="I156">
            <v>46171</v>
          </cell>
          <cell r="J156">
            <v>7</v>
          </cell>
          <cell r="K156" t="str">
            <v>Pending</v>
          </cell>
          <cell r="L156" t="str">
            <v>Waluj To HOSUR</v>
          </cell>
          <cell r="M156">
            <v>19000</v>
          </cell>
          <cell r="N156">
            <v>17000</v>
          </cell>
          <cell r="O156">
            <v>46171</v>
          </cell>
          <cell r="P156">
            <v>2000</v>
          </cell>
          <cell r="Q156" t="str">
            <v>Pending</v>
          </cell>
          <cell r="R156" t="str">
            <v>Sanjeev Auto</v>
          </cell>
          <cell r="S156">
            <v>22000</v>
          </cell>
          <cell r="T156" t="str">
            <v>Pending</v>
          </cell>
          <cell r="U156" t="str">
            <v>Pending</v>
          </cell>
        </row>
        <row r="157">
          <cell r="H157" t="str">
            <v xml:space="preserve">VLPLW2627/1075  </v>
          </cell>
          <cell r="I157">
            <v>46170</v>
          </cell>
          <cell r="J157">
            <v>8</v>
          </cell>
          <cell r="K157" t="str">
            <v>Pending</v>
          </cell>
          <cell r="L157" t="str">
            <v>Waluj To HOSUR</v>
          </cell>
          <cell r="M157">
            <v>19000</v>
          </cell>
          <cell r="N157">
            <v>17000</v>
          </cell>
          <cell r="O157">
            <v>46171</v>
          </cell>
          <cell r="P157">
            <v>2000</v>
          </cell>
          <cell r="Q157" t="str">
            <v>Pending</v>
          </cell>
          <cell r="R157" t="str">
            <v>Sanjeev Auto</v>
          </cell>
          <cell r="S157">
            <v>22000</v>
          </cell>
          <cell r="T157" t="str">
            <v>Pending</v>
          </cell>
          <cell r="U157" t="str">
            <v>Pending</v>
          </cell>
        </row>
        <row r="158">
          <cell r="H158" t="str">
            <v>VLPLW2627/1093</v>
          </cell>
          <cell r="I158">
            <v>46170</v>
          </cell>
          <cell r="J158">
            <v>8</v>
          </cell>
          <cell r="K158" t="str">
            <v>Pending</v>
          </cell>
          <cell r="L158" t="str">
            <v>WALUJ To hosur </v>
          </cell>
          <cell r="M158">
            <v>33000</v>
          </cell>
          <cell r="N158">
            <v>30000</v>
          </cell>
          <cell r="O158">
            <v>46172</v>
          </cell>
          <cell r="P158">
            <v>3000</v>
          </cell>
          <cell r="Q158" t="str">
            <v>Pending</v>
          </cell>
          <cell r="R158" t="str">
            <v>Sanjeev Auto</v>
          </cell>
          <cell r="S158">
            <v>38000</v>
          </cell>
          <cell r="T158" t="str">
            <v>Pending</v>
          </cell>
          <cell r="U158" t="str">
            <v>Pending</v>
          </cell>
        </row>
        <row r="159">
          <cell r="H159" t="str">
            <v>VLPLW2627/1094</v>
          </cell>
          <cell r="I159">
            <v>46170</v>
          </cell>
          <cell r="J159">
            <v>8</v>
          </cell>
          <cell r="K159" t="str">
            <v>Pending</v>
          </cell>
          <cell r="L159" t="str">
            <v>G168 To Hosur</v>
          </cell>
          <cell r="M159">
            <v>27500</v>
          </cell>
          <cell r="N159">
            <v>24500</v>
          </cell>
          <cell r="O159">
            <v>46172</v>
          </cell>
          <cell r="P159">
            <v>3000</v>
          </cell>
          <cell r="Q159" t="str">
            <v>Pending</v>
          </cell>
          <cell r="R159" t="str">
            <v>Sanjeev Auto</v>
          </cell>
          <cell r="S159">
            <v>32000</v>
          </cell>
          <cell r="T159" t="str">
            <v>Pending</v>
          </cell>
          <cell r="U159" t="str">
            <v>Pending</v>
          </cell>
        </row>
        <row r="160">
          <cell r="H160" t="str">
            <v>VLPLW2627/1095</v>
          </cell>
          <cell r="I160">
            <v>46168</v>
          </cell>
          <cell r="J160">
            <v>10</v>
          </cell>
          <cell r="K160" t="str">
            <v>Pending</v>
          </cell>
          <cell r="L160" t="str">
            <v>G168 To Hosur</v>
          </cell>
          <cell r="M160">
            <v>27500</v>
          </cell>
          <cell r="N160">
            <v>24500</v>
          </cell>
          <cell r="O160">
            <v>46172</v>
          </cell>
          <cell r="P160">
            <v>3000</v>
          </cell>
          <cell r="Q160" t="str">
            <v>Pending</v>
          </cell>
          <cell r="R160" t="str">
            <v>Sanjeev Auto</v>
          </cell>
          <cell r="S160">
            <v>32000</v>
          </cell>
          <cell r="T160" t="str">
            <v>Pending</v>
          </cell>
          <cell r="U160" t="str">
            <v>Pending</v>
          </cell>
        </row>
        <row r="161">
          <cell r="H161" t="str">
            <v xml:space="preserve">VLPLW2627/1108 </v>
          </cell>
          <cell r="I161">
            <v>46170</v>
          </cell>
          <cell r="J161">
            <v>8</v>
          </cell>
          <cell r="K161" t="str">
            <v>Pending</v>
          </cell>
          <cell r="L161" t="str">
            <v>Waluj To HOSUR</v>
          </cell>
          <cell r="M161">
            <v>19000</v>
          </cell>
          <cell r="N161">
            <v>17000</v>
          </cell>
          <cell r="O161">
            <v>46172</v>
          </cell>
          <cell r="P161">
            <v>2000</v>
          </cell>
          <cell r="Q161" t="str">
            <v>Pending</v>
          </cell>
          <cell r="R161" t="str">
            <v>Sanjeev Auto</v>
          </cell>
          <cell r="S161">
            <v>22000</v>
          </cell>
          <cell r="T161" t="str">
            <v>Pending</v>
          </cell>
          <cell r="U161" t="str">
            <v>Pending</v>
          </cell>
        </row>
        <row r="162">
          <cell r="H162" t="str">
            <v>VLPLW2627/1116</v>
          </cell>
          <cell r="I162">
            <v>46171</v>
          </cell>
          <cell r="J162">
            <v>7</v>
          </cell>
          <cell r="K162" t="str">
            <v>Pending</v>
          </cell>
          <cell r="L162" t="str">
            <v>G168 To  Hosur</v>
          </cell>
          <cell r="M162">
            <v>39000</v>
          </cell>
          <cell r="N162">
            <v>34000</v>
          </cell>
          <cell r="O162">
            <v>46172</v>
          </cell>
          <cell r="P162">
            <v>5000</v>
          </cell>
          <cell r="Q162" t="str">
            <v>Pending</v>
          </cell>
          <cell r="R162" t="str">
            <v>Sanjeev Auto</v>
          </cell>
          <cell r="S162">
            <v>46000</v>
          </cell>
          <cell r="T162" t="str">
            <v>Pending</v>
          </cell>
          <cell r="U162" t="str">
            <v>Pending</v>
          </cell>
        </row>
        <row r="163">
          <cell r="H163" t="str">
            <v>VLPLW2627/1122</v>
          </cell>
          <cell r="I163">
            <v>46172</v>
          </cell>
          <cell r="J163">
            <v>6</v>
          </cell>
          <cell r="K163" t="str">
            <v>Pending</v>
          </cell>
          <cell r="L163" t="str">
            <v>Waluj To HOSUR</v>
          </cell>
          <cell r="M163">
            <v>19000</v>
          </cell>
          <cell r="N163">
            <v>17000</v>
          </cell>
          <cell r="O163">
            <v>46172</v>
          </cell>
          <cell r="P163">
            <v>2000</v>
          </cell>
          <cell r="Q163" t="str">
            <v>Pending</v>
          </cell>
          <cell r="R163" t="str">
            <v>Sanjeev Auto</v>
          </cell>
          <cell r="S163">
            <v>22000</v>
          </cell>
          <cell r="T163" t="str">
            <v>Pending</v>
          </cell>
          <cell r="U163" t="str">
            <v>Pending</v>
          </cell>
        </row>
        <row r="164">
          <cell r="H164" t="str">
            <v>VLPLW2627/1130</v>
          </cell>
          <cell r="I164">
            <v>46172</v>
          </cell>
          <cell r="J164">
            <v>6</v>
          </cell>
          <cell r="K164" t="str">
            <v>Pending</v>
          </cell>
          <cell r="L164" t="str">
            <v>G168 To Hosur</v>
          </cell>
          <cell r="M164">
            <v>27500</v>
          </cell>
          <cell r="N164">
            <v>24500</v>
          </cell>
          <cell r="O164">
            <v>46174</v>
          </cell>
          <cell r="P164">
            <v>3000</v>
          </cell>
          <cell r="Q164" t="str">
            <v>Pending</v>
          </cell>
          <cell r="R164" t="str">
            <v>Sanjeev Auto</v>
          </cell>
          <cell r="S164">
            <v>32000</v>
          </cell>
          <cell r="T164" t="str">
            <v>Pending</v>
          </cell>
          <cell r="U164" t="str">
            <v>Pending</v>
          </cell>
        </row>
        <row r="165">
          <cell r="H165" t="str">
            <v>VLPLW2627/1109</v>
          </cell>
          <cell r="I165">
            <v>46172</v>
          </cell>
          <cell r="J165">
            <v>6</v>
          </cell>
          <cell r="K165" t="str">
            <v>Pending</v>
          </cell>
          <cell r="L165" t="str">
            <v>Waluj To HOSUR</v>
          </cell>
          <cell r="M165">
            <v>19000</v>
          </cell>
          <cell r="N165">
            <v>17000</v>
          </cell>
          <cell r="O165">
            <v>46175</v>
          </cell>
          <cell r="P165">
            <v>2000</v>
          </cell>
          <cell r="Q165" t="str">
            <v>Pending</v>
          </cell>
          <cell r="R165" t="str">
            <v>Sanjeev Auto</v>
          </cell>
          <cell r="S165">
            <v>22000</v>
          </cell>
          <cell r="T165" t="str">
            <v>Pending</v>
          </cell>
          <cell r="U165" t="str">
            <v>Pending</v>
          </cell>
        </row>
        <row r="166">
          <cell r="H166" t="str">
            <v>VLPLW2627/1178</v>
          </cell>
          <cell r="I166">
            <v>46172</v>
          </cell>
          <cell r="J166">
            <v>6</v>
          </cell>
          <cell r="K166" t="str">
            <v>Pending</v>
          </cell>
          <cell r="L166" t="str">
            <v>Waluj To hosu</v>
          </cell>
          <cell r="M166">
            <v>39000</v>
          </cell>
          <cell r="N166">
            <v>34000</v>
          </cell>
          <cell r="O166">
            <v>46175</v>
          </cell>
          <cell r="P166">
            <v>5000</v>
          </cell>
          <cell r="Q166" t="str">
            <v>Pending</v>
          </cell>
          <cell r="R166" t="str">
            <v>Sanjeev Auto</v>
          </cell>
          <cell r="S166">
            <v>46000</v>
          </cell>
          <cell r="T166" t="str">
            <v>Pending</v>
          </cell>
          <cell r="U166" t="str">
            <v>Pending</v>
          </cell>
        </row>
        <row r="167">
          <cell r="H167" t="str">
            <v>VLPLW2627/1179</v>
          </cell>
          <cell r="I167">
            <v>46172</v>
          </cell>
          <cell r="J167">
            <v>6</v>
          </cell>
          <cell r="K167" t="str">
            <v>Pending</v>
          </cell>
          <cell r="L167" t="str">
            <v>Waluj To HOSUR</v>
          </cell>
          <cell r="M167">
            <v>19000</v>
          </cell>
          <cell r="N167">
            <v>17000</v>
          </cell>
          <cell r="O167">
            <v>46175</v>
          </cell>
          <cell r="P167">
            <v>2000</v>
          </cell>
          <cell r="Q167" t="str">
            <v>Pending</v>
          </cell>
          <cell r="R167" t="str">
            <v>Sanjeev Auto</v>
          </cell>
          <cell r="S167">
            <v>22000</v>
          </cell>
          <cell r="T167" t="str">
            <v>Pending</v>
          </cell>
          <cell r="U167" t="str">
            <v>Pending</v>
          </cell>
        </row>
        <row r="168">
          <cell r="H168" t="str">
            <v xml:space="preserve">VLPLW2627/1184  </v>
          </cell>
          <cell r="I168">
            <v>46173</v>
          </cell>
          <cell r="J168">
            <v>5</v>
          </cell>
          <cell r="K168" t="str">
            <v>Pending</v>
          </cell>
          <cell r="L168" t="str">
            <v>Waluj To hosu</v>
          </cell>
          <cell r="M168">
            <v>39000</v>
          </cell>
          <cell r="N168">
            <v>34000</v>
          </cell>
          <cell r="O168">
            <v>46175</v>
          </cell>
          <cell r="P168">
            <v>5000</v>
          </cell>
          <cell r="Q168" t="str">
            <v>Pending</v>
          </cell>
          <cell r="R168" t="str">
            <v>Sanjeev Auto</v>
          </cell>
          <cell r="S168">
            <v>46000</v>
          </cell>
          <cell r="T168" t="str">
            <v>Pending</v>
          </cell>
          <cell r="U168" t="str">
            <v>Pending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88826-D435-489B-B173-B370ABDE3BCA}">
  <dimension ref="A1:AA152"/>
  <sheetViews>
    <sheetView tabSelected="1" workbookViewId="0">
      <selection sqref="A1:AA152"/>
    </sheetView>
  </sheetViews>
  <sheetFormatPr defaultRowHeight="14.5"/>
  <sheetData>
    <row r="1" spans="1:27" ht="6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4" t="s">
        <v>9</v>
      </c>
      <c r="K1" s="3" t="s">
        <v>10</v>
      </c>
      <c r="L1" s="1" t="s">
        <v>11</v>
      </c>
      <c r="M1" s="5" t="s">
        <v>12</v>
      </c>
      <c r="N1" s="6" t="s">
        <v>13</v>
      </c>
      <c r="O1" s="3" t="s">
        <v>14</v>
      </c>
      <c r="P1" s="5" t="s">
        <v>15</v>
      </c>
      <c r="Q1" s="3" t="s">
        <v>16</v>
      </c>
      <c r="R1" s="3" t="s">
        <v>17</v>
      </c>
      <c r="S1" s="7" t="s">
        <v>18</v>
      </c>
      <c r="T1" s="8" t="s">
        <v>19</v>
      </c>
      <c r="U1" s="1" t="s">
        <v>20</v>
      </c>
      <c r="V1" s="3" t="s">
        <v>21</v>
      </c>
      <c r="W1" s="7" t="s">
        <v>22</v>
      </c>
      <c r="X1" s="1" t="s">
        <v>23</v>
      </c>
      <c r="Y1" s="3" t="s">
        <v>24</v>
      </c>
      <c r="Z1" s="4" t="s">
        <v>25</v>
      </c>
      <c r="AA1" s="9" t="s">
        <v>26</v>
      </c>
    </row>
    <row r="2" spans="1:27">
      <c r="A2" s="10">
        <f>SUBTOTAL(3,C$2:C2)</f>
        <v>1</v>
      </c>
      <c r="B2" s="10" t="s">
        <v>27</v>
      </c>
      <c r="C2" s="11" t="s">
        <v>28</v>
      </c>
      <c r="D2" s="10" t="s">
        <v>29</v>
      </c>
      <c r="E2" s="10" t="s">
        <v>30</v>
      </c>
      <c r="F2" s="10" t="s">
        <v>31</v>
      </c>
      <c r="G2" s="10" t="s">
        <v>32</v>
      </c>
      <c r="H2" s="12">
        <v>16884</v>
      </c>
      <c r="I2" s="13">
        <v>46113</v>
      </c>
      <c r="J2" s="10">
        <f t="shared" ref="J2:J65" ca="1" si="0">+TODAY()-I2</f>
        <v>86</v>
      </c>
      <c r="K2" s="10">
        <f>+U2</f>
        <v>46129</v>
      </c>
      <c r="L2" s="10" t="s">
        <v>33</v>
      </c>
      <c r="M2" s="10">
        <v>39000</v>
      </c>
      <c r="N2" s="10">
        <v>34000</v>
      </c>
      <c r="O2" s="13">
        <v>46113</v>
      </c>
      <c r="P2" s="10">
        <f t="shared" ref="P2:P65" si="1">+M2-N2</f>
        <v>5000</v>
      </c>
      <c r="Q2" s="14">
        <v>46141</v>
      </c>
      <c r="R2" s="10" t="s">
        <v>34</v>
      </c>
      <c r="S2" s="10">
        <v>46000</v>
      </c>
      <c r="T2" s="10" t="s">
        <v>35</v>
      </c>
      <c r="U2" s="13">
        <v>46129</v>
      </c>
      <c r="V2" s="10" t="s">
        <v>36</v>
      </c>
      <c r="W2" s="10">
        <f t="shared" ref="W2:W65" si="2">+S2-M2</f>
        <v>7000</v>
      </c>
      <c r="X2" s="10" t="s">
        <v>37</v>
      </c>
      <c r="Y2" s="10" t="s">
        <v>38</v>
      </c>
      <c r="Z2" s="15">
        <f t="shared" ref="Z2:Z65" si="3">+W2*100/M2</f>
        <v>17.948717948717949</v>
      </c>
      <c r="AA2" s="10"/>
    </row>
    <row r="3" spans="1:27">
      <c r="A3" s="10">
        <f>SUBTOTAL(3,C$2:C3)</f>
        <v>2</v>
      </c>
      <c r="B3" s="10" t="s">
        <v>27</v>
      </c>
      <c r="C3" s="11" t="s">
        <v>39</v>
      </c>
      <c r="D3" s="10" t="s">
        <v>29</v>
      </c>
      <c r="E3" s="10" t="s">
        <v>30</v>
      </c>
      <c r="F3" s="10" t="s">
        <v>40</v>
      </c>
      <c r="G3" s="10" t="s">
        <v>41</v>
      </c>
      <c r="H3" s="12">
        <v>16889</v>
      </c>
      <c r="I3" s="13">
        <v>46116</v>
      </c>
      <c r="J3" s="10">
        <f t="shared" ca="1" si="0"/>
        <v>83</v>
      </c>
      <c r="K3" s="10">
        <f t="shared" ref="K3:K8" si="4">+U3</f>
        <v>46129</v>
      </c>
      <c r="L3" s="10" t="s">
        <v>42</v>
      </c>
      <c r="M3" s="10">
        <v>19000</v>
      </c>
      <c r="N3" s="10">
        <v>17000</v>
      </c>
      <c r="O3" s="13">
        <v>46116</v>
      </c>
      <c r="P3" s="10">
        <f t="shared" si="1"/>
        <v>2000</v>
      </c>
      <c r="Q3" s="14">
        <v>46141</v>
      </c>
      <c r="R3" s="10" t="s">
        <v>34</v>
      </c>
      <c r="S3" s="10">
        <v>22000</v>
      </c>
      <c r="T3" s="10" t="s">
        <v>43</v>
      </c>
      <c r="U3" s="13">
        <v>46129</v>
      </c>
      <c r="V3" s="10" t="s">
        <v>36</v>
      </c>
      <c r="W3" s="10">
        <f t="shared" si="2"/>
        <v>3000</v>
      </c>
      <c r="X3" s="10" t="s">
        <v>37</v>
      </c>
      <c r="Y3" s="10" t="s">
        <v>38</v>
      </c>
      <c r="Z3" s="15">
        <f t="shared" si="3"/>
        <v>15.789473684210526</v>
      </c>
      <c r="AA3" s="10"/>
    </row>
    <row r="4" spans="1:27">
      <c r="A4" s="10">
        <f>SUBTOTAL(3,C$2:C4)</f>
        <v>3</v>
      </c>
      <c r="B4" s="10" t="s">
        <v>27</v>
      </c>
      <c r="C4" s="11" t="s">
        <v>39</v>
      </c>
      <c r="D4" s="10" t="s">
        <v>29</v>
      </c>
      <c r="E4" s="10" t="s">
        <v>30</v>
      </c>
      <c r="F4" s="10" t="s">
        <v>44</v>
      </c>
      <c r="G4" s="10" t="s">
        <v>41</v>
      </c>
      <c r="H4" s="12">
        <v>16890</v>
      </c>
      <c r="I4" s="13">
        <v>46116</v>
      </c>
      <c r="J4" s="10">
        <f t="shared" ca="1" si="0"/>
        <v>83</v>
      </c>
      <c r="K4" s="10">
        <f t="shared" si="4"/>
        <v>46129</v>
      </c>
      <c r="L4" s="10" t="s">
        <v>42</v>
      </c>
      <c r="M4" s="10">
        <v>19000</v>
      </c>
      <c r="N4" s="10">
        <v>17000</v>
      </c>
      <c r="O4" s="13">
        <v>46116</v>
      </c>
      <c r="P4" s="10">
        <f t="shared" si="1"/>
        <v>2000</v>
      </c>
      <c r="Q4" s="14">
        <v>46141</v>
      </c>
      <c r="R4" s="10" t="s">
        <v>34</v>
      </c>
      <c r="S4" s="10">
        <v>22000</v>
      </c>
      <c r="T4" s="10" t="s">
        <v>43</v>
      </c>
      <c r="U4" s="13">
        <v>46129</v>
      </c>
      <c r="V4" s="10" t="s">
        <v>36</v>
      </c>
      <c r="W4" s="10">
        <f t="shared" si="2"/>
        <v>3000</v>
      </c>
      <c r="X4" s="10" t="s">
        <v>37</v>
      </c>
      <c r="Y4" s="10" t="s">
        <v>38</v>
      </c>
      <c r="Z4" s="15">
        <f t="shared" si="3"/>
        <v>15.789473684210526</v>
      </c>
      <c r="AA4" s="10"/>
    </row>
    <row r="5" spans="1:27">
      <c r="A5" s="10">
        <f>SUBTOTAL(3,C$2:C5)</f>
        <v>4</v>
      </c>
      <c r="B5" s="10" t="s">
        <v>27</v>
      </c>
      <c r="C5" s="11" t="s">
        <v>45</v>
      </c>
      <c r="D5" s="10" t="s">
        <v>29</v>
      </c>
      <c r="E5" s="10" t="s">
        <v>30</v>
      </c>
      <c r="F5" s="10" t="s">
        <v>46</v>
      </c>
      <c r="G5" s="10" t="s">
        <v>32</v>
      </c>
      <c r="H5" s="12">
        <v>16891</v>
      </c>
      <c r="I5" s="13">
        <v>46114</v>
      </c>
      <c r="J5" s="10">
        <f t="shared" ca="1" si="0"/>
        <v>85</v>
      </c>
      <c r="K5" s="10">
        <f t="shared" si="4"/>
        <v>46129</v>
      </c>
      <c r="L5" s="10" t="s">
        <v>47</v>
      </c>
      <c r="M5" s="10">
        <v>27500</v>
      </c>
      <c r="N5" s="10">
        <v>24500</v>
      </c>
      <c r="O5" s="13">
        <v>46116</v>
      </c>
      <c r="P5" s="10">
        <f t="shared" si="1"/>
        <v>3000</v>
      </c>
      <c r="Q5" s="14">
        <v>46141</v>
      </c>
      <c r="R5" s="10" t="s">
        <v>34</v>
      </c>
      <c r="S5" s="10">
        <v>32000</v>
      </c>
      <c r="T5" s="10" t="s">
        <v>48</v>
      </c>
      <c r="U5" s="13">
        <v>46129</v>
      </c>
      <c r="V5" s="10" t="s">
        <v>36</v>
      </c>
      <c r="W5" s="10">
        <f t="shared" si="2"/>
        <v>4500</v>
      </c>
      <c r="X5" s="10" t="s">
        <v>37</v>
      </c>
      <c r="Y5" s="10" t="s">
        <v>38</v>
      </c>
      <c r="Z5" s="15">
        <f t="shared" si="3"/>
        <v>16.363636363636363</v>
      </c>
      <c r="AA5" s="10"/>
    </row>
    <row r="6" spans="1:27">
      <c r="A6" s="10">
        <f>SUBTOTAL(3,C$2:C6)</f>
        <v>5</v>
      </c>
      <c r="B6" s="10" t="s">
        <v>27</v>
      </c>
      <c r="C6" s="11" t="s">
        <v>49</v>
      </c>
      <c r="D6" s="10" t="s">
        <v>29</v>
      </c>
      <c r="E6" s="10" t="s">
        <v>30</v>
      </c>
      <c r="F6" s="10" t="s">
        <v>50</v>
      </c>
      <c r="G6" s="10" t="s">
        <v>32</v>
      </c>
      <c r="H6" s="12">
        <v>16892</v>
      </c>
      <c r="I6" s="13">
        <v>46116</v>
      </c>
      <c r="J6" s="10">
        <f t="shared" ca="1" si="0"/>
        <v>83</v>
      </c>
      <c r="K6" s="10">
        <f t="shared" si="4"/>
        <v>46129</v>
      </c>
      <c r="L6" s="10" t="s">
        <v>51</v>
      </c>
      <c r="M6" s="10">
        <v>39000</v>
      </c>
      <c r="N6" s="10">
        <v>34000</v>
      </c>
      <c r="O6" s="13">
        <v>46116</v>
      </c>
      <c r="P6" s="10">
        <f t="shared" si="1"/>
        <v>5000</v>
      </c>
      <c r="Q6" s="14">
        <v>46141</v>
      </c>
      <c r="R6" s="10" t="s">
        <v>34</v>
      </c>
      <c r="S6" s="10">
        <v>46000</v>
      </c>
      <c r="T6" s="10" t="s">
        <v>35</v>
      </c>
      <c r="U6" s="13">
        <v>46129</v>
      </c>
      <c r="V6" s="10" t="s">
        <v>36</v>
      </c>
      <c r="W6" s="10">
        <f t="shared" si="2"/>
        <v>7000</v>
      </c>
      <c r="X6" s="10" t="s">
        <v>37</v>
      </c>
      <c r="Y6" s="10" t="s">
        <v>38</v>
      </c>
      <c r="Z6" s="15">
        <f t="shared" si="3"/>
        <v>17.948717948717949</v>
      </c>
      <c r="AA6" s="10"/>
    </row>
    <row r="7" spans="1:27">
      <c r="A7" s="10">
        <f>SUBTOTAL(3,C$2:C7)</f>
        <v>6</v>
      </c>
      <c r="B7" s="10" t="s">
        <v>27</v>
      </c>
      <c r="C7" s="11" t="s">
        <v>39</v>
      </c>
      <c r="D7" s="10" t="s">
        <v>29</v>
      </c>
      <c r="E7" s="10" t="s">
        <v>30</v>
      </c>
      <c r="F7" s="10" t="s">
        <v>52</v>
      </c>
      <c r="G7" s="10" t="s">
        <v>41</v>
      </c>
      <c r="H7" s="12">
        <v>16893</v>
      </c>
      <c r="I7" s="13">
        <v>46116</v>
      </c>
      <c r="J7" s="10">
        <f t="shared" ca="1" si="0"/>
        <v>83</v>
      </c>
      <c r="K7" s="10">
        <f t="shared" si="4"/>
        <v>46129</v>
      </c>
      <c r="L7" s="10" t="s">
        <v>42</v>
      </c>
      <c r="M7" s="10">
        <v>19000</v>
      </c>
      <c r="N7" s="10">
        <v>17000</v>
      </c>
      <c r="O7" s="13">
        <v>46118</v>
      </c>
      <c r="P7" s="10">
        <f t="shared" si="1"/>
        <v>2000</v>
      </c>
      <c r="Q7" s="14">
        <v>46141</v>
      </c>
      <c r="R7" s="10" t="s">
        <v>34</v>
      </c>
      <c r="S7" s="10">
        <v>22000</v>
      </c>
      <c r="T7" s="10" t="s">
        <v>43</v>
      </c>
      <c r="U7" s="13">
        <v>46129</v>
      </c>
      <c r="V7" s="10" t="s">
        <v>36</v>
      </c>
      <c r="W7" s="10">
        <f t="shared" si="2"/>
        <v>3000</v>
      </c>
      <c r="X7" s="10" t="s">
        <v>37</v>
      </c>
      <c r="Y7" s="10" t="s">
        <v>38</v>
      </c>
      <c r="Z7" s="15">
        <f t="shared" si="3"/>
        <v>15.789473684210526</v>
      </c>
      <c r="AA7" s="10"/>
    </row>
    <row r="8" spans="1:27">
      <c r="A8" s="10">
        <f>SUBTOTAL(3,C$2:C8)</f>
        <v>7</v>
      </c>
      <c r="B8" s="10" t="s">
        <v>27</v>
      </c>
      <c r="C8" s="11" t="s">
        <v>39</v>
      </c>
      <c r="D8" s="10" t="s">
        <v>29</v>
      </c>
      <c r="E8" s="10" t="s">
        <v>30</v>
      </c>
      <c r="F8" s="10" t="s">
        <v>53</v>
      </c>
      <c r="G8" s="10" t="s">
        <v>41</v>
      </c>
      <c r="H8" s="12">
        <v>16894</v>
      </c>
      <c r="I8" s="13">
        <v>46117</v>
      </c>
      <c r="J8" s="10">
        <f t="shared" ca="1" si="0"/>
        <v>82</v>
      </c>
      <c r="K8" s="10">
        <f t="shared" si="4"/>
        <v>46129</v>
      </c>
      <c r="L8" s="10" t="s">
        <v>42</v>
      </c>
      <c r="M8" s="10">
        <v>19000</v>
      </c>
      <c r="N8" s="10">
        <v>17000</v>
      </c>
      <c r="O8" s="13">
        <v>46118</v>
      </c>
      <c r="P8" s="10">
        <f t="shared" si="1"/>
        <v>2000</v>
      </c>
      <c r="Q8" s="14">
        <v>46141</v>
      </c>
      <c r="R8" s="10" t="s">
        <v>34</v>
      </c>
      <c r="S8" s="10">
        <v>22000</v>
      </c>
      <c r="T8" s="10" t="s">
        <v>54</v>
      </c>
      <c r="U8" s="13">
        <v>46129</v>
      </c>
      <c r="V8" s="10" t="s">
        <v>36</v>
      </c>
      <c r="W8" s="10">
        <f t="shared" si="2"/>
        <v>3000</v>
      </c>
      <c r="X8" s="10" t="s">
        <v>37</v>
      </c>
      <c r="Y8" s="10" t="s">
        <v>38</v>
      </c>
      <c r="Z8" s="15">
        <f t="shared" si="3"/>
        <v>15.789473684210526</v>
      </c>
      <c r="AA8" s="10"/>
    </row>
    <row r="9" spans="1:27">
      <c r="A9" s="10">
        <f>SUBTOTAL(3,C$2:C9)</f>
        <v>8</v>
      </c>
      <c r="B9" s="10" t="s">
        <v>27</v>
      </c>
      <c r="C9" s="11" t="s">
        <v>28</v>
      </c>
      <c r="D9" s="10" t="s">
        <v>29</v>
      </c>
      <c r="E9" s="10" t="s">
        <v>30</v>
      </c>
      <c r="F9" s="10" t="s">
        <v>55</v>
      </c>
      <c r="G9" s="10" t="s">
        <v>32</v>
      </c>
      <c r="H9" s="12">
        <v>16895</v>
      </c>
      <c r="I9" s="13">
        <v>46116</v>
      </c>
      <c r="J9" s="10">
        <f t="shared" ca="1" si="0"/>
        <v>83</v>
      </c>
      <c r="K9" s="10">
        <f>+U9</f>
        <v>46129</v>
      </c>
      <c r="L9" s="10" t="s">
        <v>33</v>
      </c>
      <c r="M9" s="10">
        <v>39000</v>
      </c>
      <c r="N9" s="10">
        <v>34000</v>
      </c>
      <c r="O9" s="13">
        <v>46118</v>
      </c>
      <c r="P9" s="10">
        <f t="shared" si="1"/>
        <v>5000</v>
      </c>
      <c r="Q9" s="14">
        <v>46141</v>
      </c>
      <c r="R9" s="10" t="s">
        <v>34</v>
      </c>
      <c r="S9" s="10">
        <v>46000</v>
      </c>
      <c r="T9" s="10" t="s">
        <v>56</v>
      </c>
      <c r="U9" s="13">
        <v>46129</v>
      </c>
      <c r="V9" s="10" t="s">
        <v>36</v>
      </c>
      <c r="W9" s="10">
        <f t="shared" si="2"/>
        <v>7000</v>
      </c>
      <c r="X9" s="10" t="s">
        <v>37</v>
      </c>
      <c r="Y9" s="10" t="s">
        <v>38</v>
      </c>
      <c r="Z9" s="15">
        <f t="shared" si="3"/>
        <v>17.948717948717949</v>
      </c>
      <c r="AA9" s="10"/>
    </row>
    <row r="10" spans="1:27">
      <c r="A10" s="10">
        <f>SUBTOTAL(3,C$2:C10)</f>
        <v>9</v>
      </c>
      <c r="B10" s="10" t="s">
        <v>27</v>
      </c>
      <c r="C10" s="11" t="s">
        <v>45</v>
      </c>
      <c r="D10" s="10" t="s">
        <v>29</v>
      </c>
      <c r="E10" s="10" t="s">
        <v>30</v>
      </c>
      <c r="F10" s="10" t="s">
        <v>57</v>
      </c>
      <c r="G10" s="10" t="s">
        <v>32</v>
      </c>
      <c r="H10" s="12">
        <v>16896</v>
      </c>
      <c r="I10" s="13">
        <v>46114</v>
      </c>
      <c r="J10" s="10">
        <f t="shared" ca="1" si="0"/>
        <v>85</v>
      </c>
      <c r="K10" s="10">
        <f t="shared" ref="K10:K15" si="5">+U10</f>
        <v>46129</v>
      </c>
      <c r="L10" s="10" t="s">
        <v>58</v>
      </c>
      <c r="M10" s="10">
        <v>27500</v>
      </c>
      <c r="N10" s="10">
        <v>24500</v>
      </c>
      <c r="O10" s="13">
        <v>46118</v>
      </c>
      <c r="P10" s="10">
        <f t="shared" si="1"/>
        <v>3000</v>
      </c>
      <c r="Q10" s="14">
        <v>46141</v>
      </c>
      <c r="R10" s="10" t="s">
        <v>34</v>
      </c>
      <c r="S10" s="10">
        <v>32000</v>
      </c>
      <c r="T10" s="10" t="s">
        <v>48</v>
      </c>
      <c r="U10" s="13">
        <v>46129</v>
      </c>
      <c r="V10" s="10" t="s">
        <v>36</v>
      </c>
      <c r="W10" s="10">
        <f t="shared" si="2"/>
        <v>4500</v>
      </c>
      <c r="X10" s="10" t="s">
        <v>37</v>
      </c>
      <c r="Y10" s="10" t="s">
        <v>38</v>
      </c>
      <c r="Z10" s="15">
        <f t="shared" si="3"/>
        <v>16.363636363636363</v>
      </c>
      <c r="AA10" s="10"/>
    </row>
    <row r="11" spans="1:27">
      <c r="A11" s="10">
        <f>SUBTOTAL(3,C$2:C11)</f>
        <v>10</v>
      </c>
      <c r="B11" s="10" t="s">
        <v>27</v>
      </c>
      <c r="C11" s="11" t="s">
        <v>39</v>
      </c>
      <c r="D11" s="10" t="s">
        <v>29</v>
      </c>
      <c r="E11" s="10" t="s">
        <v>30</v>
      </c>
      <c r="F11" s="10" t="s">
        <v>59</v>
      </c>
      <c r="G11" s="10" t="s">
        <v>41</v>
      </c>
      <c r="H11" s="12">
        <v>16897</v>
      </c>
      <c r="I11" s="13">
        <v>46118</v>
      </c>
      <c r="J11" s="10">
        <f t="shared" ca="1" si="0"/>
        <v>81</v>
      </c>
      <c r="K11" s="10">
        <f t="shared" si="5"/>
        <v>46129</v>
      </c>
      <c r="L11" s="10" t="s">
        <v>42</v>
      </c>
      <c r="M11" s="10">
        <v>19000</v>
      </c>
      <c r="N11" s="10">
        <v>17000</v>
      </c>
      <c r="O11" s="13">
        <v>46120</v>
      </c>
      <c r="P11" s="10">
        <f t="shared" si="1"/>
        <v>2000</v>
      </c>
      <c r="Q11" s="14">
        <v>46141</v>
      </c>
      <c r="R11" s="10" t="s">
        <v>34</v>
      </c>
      <c r="S11" s="10">
        <v>22000</v>
      </c>
      <c r="T11" s="10" t="s">
        <v>54</v>
      </c>
      <c r="U11" s="13">
        <v>46129</v>
      </c>
      <c r="V11" s="10" t="s">
        <v>36</v>
      </c>
      <c r="W11" s="10">
        <f t="shared" si="2"/>
        <v>3000</v>
      </c>
      <c r="X11" s="10" t="s">
        <v>37</v>
      </c>
      <c r="Y11" s="10" t="s">
        <v>38</v>
      </c>
      <c r="Z11" s="15">
        <f t="shared" si="3"/>
        <v>15.789473684210526</v>
      </c>
      <c r="AA11" s="10"/>
    </row>
    <row r="12" spans="1:27">
      <c r="A12" s="10">
        <f>SUBTOTAL(3,C$2:C12)</f>
        <v>11</v>
      </c>
      <c r="B12" s="10" t="s">
        <v>27</v>
      </c>
      <c r="C12" s="11" t="s">
        <v>39</v>
      </c>
      <c r="D12" s="10" t="s">
        <v>29</v>
      </c>
      <c r="E12" s="10" t="s">
        <v>30</v>
      </c>
      <c r="F12" s="10" t="s">
        <v>53</v>
      </c>
      <c r="G12" s="10" t="s">
        <v>41</v>
      </c>
      <c r="H12" s="12">
        <v>16898</v>
      </c>
      <c r="I12" s="13">
        <v>46118</v>
      </c>
      <c r="J12" s="10">
        <f t="shared" ca="1" si="0"/>
        <v>81</v>
      </c>
      <c r="K12" s="10">
        <f t="shared" si="5"/>
        <v>46129</v>
      </c>
      <c r="L12" s="10" t="s">
        <v>42</v>
      </c>
      <c r="M12" s="10">
        <v>19000</v>
      </c>
      <c r="N12" s="10">
        <v>17000</v>
      </c>
      <c r="O12" s="13">
        <v>46120</v>
      </c>
      <c r="P12" s="10">
        <f t="shared" si="1"/>
        <v>2000</v>
      </c>
      <c r="Q12" s="14">
        <v>46141</v>
      </c>
      <c r="R12" s="10" t="s">
        <v>34</v>
      </c>
      <c r="S12" s="10">
        <v>22000</v>
      </c>
      <c r="T12" s="10" t="s">
        <v>54</v>
      </c>
      <c r="U12" s="13">
        <v>46129</v>
      </c>
      <c r="V12" s="10" t="s">
        <v>36</v>
      </c>
      <c r="W12" s="10">
        <f t="shared" si="2"/>
        <v>3000</v>
      </c>
      <c r="X12" s="10" t="s">
        <v>37</v>
      </c>
      <c r="Y12" s="10" t="s">
        <v>38</v>
      </c>
      <c r="Z12" s="15">
        <f t="shared" si="3"/>
        <v>15.789473684210526</v>
      </c>
      <c r="AA12" s="10"/>
    </row>
    <row r="13" spans="1:27">
      <c r="A13" s="10">
        <f>SUBTOTAL(3,C$2:C13)</f>
        <v>12</v>
      </c>
      <c r="B13" s="10" t="s">
        <v>27</v>
      </c>
      <c r="C13" s="11" t="s">
        <v>39</v>
      </c>
      <c r="D13" s="10" t="s">
        <v>29</v>
      </c>
      <c r="E13" s="10" t="s">
        <v>30</v>
      </c>
      <c r="F13" s="10" t="s">
        <v>60</v>
      </c>
      <c r="G13" s="10" t="s">
        <v>41</v>
      </c>
      <c r="H13" s="12">
        <v>16899</v>
      </c>
      <c r="I13" s="13">
        <v>46119</v>
      </c>
      <c r="J13" s="10">
        <f t="shared" ca="1" si="0"/>
        <v>80</v>
      </c>
      <c r="K13" s="10">
        <f t="shared" si="5"/>
        <v>46129</v>
      </c>
      <c r="L13" s="10" t="s">
        <v>42</v>
      </c>
      <c r="M13" s="10">
        <v>19000</v>
      </c>
      <c r="N13" s="10">
        <v>17000</v>
      </c>
      <c r="O13" s="13">
        <v>46120</v>
      </c>
      <c r="P13" s="10">
        <f t="shared" si="1"/>
        <v>2000</v>
      </c>
      <c r="Q13" s="14">
        <v>46141</v>
      </c>
      <c r="R13" s="10" t="s">
        <v>34</v>
      </c>
      <c r="S13" s="10">
        <v>22000</v>
      </c>
      <c r="T13" s="10" t="s">
        <v>61</v>
      </c>
      <c r="U13" s="13">
        <v>46129</v>
      </c>
      <c r="V13" s="10" t="s">
        <v>36</v>
      </c>
      <c r="W13" s="10">
        <f t="shared" si="2"/>
        <v>3000</v>
      </c>
      <c r="X13" s="10" t="s">
        <v>37</v>
      </c>
      <c r="Y13" s="10" t="s">
        <v>38</v>
      </c>
      <c r="Z13" s="15">
        <f t="shared" si="3"/>
        <v>15.789473684210526</v>
      </c>
      <c r="AA13" s="10"/>
    </row>
    <row r="14" spans="1:27">
      <c r="A14" s="10">
        <f>SUBTOTAL(3,C$2:C14)</f>
        <v>13</v>
      </c>
      <c r="B14" s="10" t="s">
        <v>27</v>
      </c>
      <c r="C14" s="11" t="s">
        <v>39</v>
      </c>
      <c r="D14" s="10" t="s">
        <v>29</v>
      </c>
      <c r="E14" s="10" t="s">
        <v>30</v>
      </c>
      <c r="F14" s="10" t="s">
        <v>62</v>
      </c>
      <c r="G14" s="10" t="s">
        <v>41</v>
      </c>
      <c r="H14" s="12">
        <v>16900</v>
      </c>
      <c r="I14" s="13">
        <v>46119</v>
      </c>
      <c r="J14" s="10">
        <f t="shared" ca="1" si="0"/>
        <v>80</v>
      </c>
      <c r="K14" s="10">
        <f t="shared" si="5"/>
        <v>46129</v>
      </c>
      <c r="L14" s="10" t="s">
        <v>42</v>
      </c>
      <c r="M14" s="10">
        <v>19000</v>
      </c>
      <c r="N14" s="10">
        <v>17000</v>
      </c>
      <c r="O14" s="13">
        <v>46120</v>
      </c>
      <c r="P14" s="10">
        <f t="shared" si="1"/>
        <v>2000</v>
      </c>
      <c r="Q14" s="14">
        <v>46141</v>
      </c>
      <c r="R14" s="10" t="s">
        <v>34</v>
      </c>
      <c r="S14" s="10">
        <v>22000</v>
      </c>
      <c r="T14" s="10" t="s">
        <v>61</v>
      </c>
      <c r="U14" s="13">
        <v>46129</v>
      </c>
      <c r="V14" s="10" t="s">
        <v>36</v>
      </c>
      <c r="W14" s="10">
        <f t="shared" si="2"/>
        <v>3000</v>
      </c>
      <c r="X14" s="10" t="s">
        <v>37</v>
      </c>
      <c r="Y14" s="10" t="s">
        <v>38</v>
      </c>
      <c r="Z14" s="15">
        <f t="shared" si="3"/>
        <v>15.789473684210526</v>
      </c>
      <c r="AA14" s="10"/>
    </row>
    <row r="15" spans="1:27">
      <c r="A15" s="10">
        <f>SUBTOTAL(3,C$2:C15)</f>
        <v>14</v>
      </c>
      <c r="B15" s="10" t="s">
        <v>27</v>
      </c>
      <c r="C15" s="11" t="s">
        <v>45</v>
      </c>
      <c r="D15" s="10" t="s">
        <v>29</v>
      </c>
      <c r="E15" s="10" t="s">
        <v>30</v>
      </c>
      <c r="F15" s="10" t="s">
        <v>63</v>
      </c>
      <c r="G15" s="10" t="s">
        <v>32</v>
      </c>
      <c r="H15" s="12" t="s">
        <v>64</v>
      </c>
      <c r="I15" s="13">
        <v>46119</v>
      </c>
      <c r="J15" s="10">
        <f t="shared" ca="1" si="0"/>
        <v>80</v>
      </c>
      <c r="K15" s="10">
        <f t="shared" si="5"/>
        <v>46129</v>
      </c>
      <c r="L15" s="10" t="s">
        <v>65</v>
      </c>
      <c r="M15" s="10">
        <v>39000</v>
      </c>
      <c r="N15" s="10">
        <v>34000</v>
      </c>
      <c r="O15" s="13">
        <v>46121</v>
      </c>
      <c r="P15" s="10">
        <f t="shared" si="1"/>
        <v>5000</v>
      </c>
      <c r="Q15" s="14">
        <v>46141</v>
      </c>
      <c r="R15" s="10" t="s">
        <v>34</v>
      </c>
      <c r="S15" s="10">
        <v>46000</v>
      </c>
      <c r="T15" s="10" t="s">
        <v>56</v>
      </c>
      <c r="U15" s="13">
        <v>46129</v>
      </c>
      <c r="V15" s="10" t="s">
        <v>36</v>
      </c>
      <c r="W15" s="10">
        <f t="shared" si="2"/>
        <v>7000</v>
      </c>
      <c r="X15" s="10" t="s">
        <v>37</v>
      </c>
      <c r="Y15" s="10" t="s">
        <v>38</v>
      </c>
      <c r="Z15" s="15">
        <f t="shared" si="3"/>
        <v>17.948717948717949</v>
      </c>
      <c r="AA15" s="10"/>
    </row>
    <row r="16" spans="1:27">
      <c r="A16" s="10">
        <f>SUBTOTAL(3,C$2:C16)</f>
        <v>15</v>
      </c>
      <c r="B16" s="10" t="s">
        <v>27</v>
      </c>
      <c r="C16" s="11" t="s">
        <v>28</v>
      </c>
      <c r="D16" s="10" t="s">
        <v>29</v>
      </c>
      <c r="E16" s="10" t="s">
        <v>30</v>
      </c>
      <c r="F16" s="10" t="s">
        <v>57</v>
      </c>
      <c r="G16" s="10" t="s">
        <v>32</v>
      </c>
      <c r="H16" s="12" t="s">
        <v>66</v>
      </c>
      <c r="I16" s="13">
        <v>46119</v>
      </c>
      <c r="J16" s="10">
        <f t="shared" ca="1" si="0"/>
        <v>80</v>
      </c>
      <c r="K16" s="10">
        <f>+U16</f>
        <v>46129</v>
      </c>
      <c r="L16" s="10" t="s">
        <v>65</v>
      </c>
      <c r="M16" s="10">
        <v>39000</v>
      </c>
      <c r="N16" s="10">
        <v>34000</v>
      </c>
      <c r="O16" s="13">
        <v>46121</v>
      </c>
      <c r="P16" s="10">
        <f t="shared" si="1"/>
        <v>5000</v>
      </c>
      <c r="Q16" s="14">
        <v>46141</v>
      </c>
      <c r="R16" s="10" t="s">
        <v>34</v>
      </c>
      <c r="S16" s="10">
        <v>46000</v>
      </c>
      <c r="T16" s="10" t="s">
        <v>67</v>
      </c>
      <c r="U16" s="13">
        <v>46129</v>
      </c>
      <c r="V16" s="10" t="s">
        <v>36</v>
      </c>
      <c r="W16" s="10">
        <f t="shared" si="2"/>
        <v>7000</v>
      </c>
      <c r="X16" s="10" t="s">
        <v>37</v>
      </c>
      <c r="Y16" s="10" t="s">
        <v>38</v>
      </c>
      <c r="Z16" s="15">
        <f t="shared" si="3"/>
        <v>17.948717948717949</v>
      </c>
      <c r="AA16" s="10"/>
    </row>
    <row r="17" spans="1:27">
      <c r="A17" s="10">
        <f>SUBTOTAL(3,C$2:C17)</f>
        <v>16</v>
      </c>
      <c r="B17" s="10" t="s">
        <v>27</v>
      </c>
      <c r="C17" s="11" t="s">
        <v>45</v>
      </c>
      <c r="D17" s="10" t="s">
        <v>29</v>
      </c>
      <c r="E17" s="10" t="s">
        <v>30</v>
      </c>
      <c r="F17" s="10" t="s">
        <v>50</v>
      </c>
      <c r="G17" s="10" t="s">
        <v>32</v>
      </c>
      <c r="H17" s="12" t="s">
        <v>68</v>
      </c>
      <c r="I17" s="13">
        <v>46120</v>
      </c>
      <c r="J17" s="10">
        <f t="shared" ca="1" si="0"/>
        <v>79</v>
      </c>
      <c r="K17" s="10">
        <f t="shared" ref="K17:K19" si="6">+U17</f>
        <v>46129</v>
      </c>
      <c r="L17" s="10" t="s">
        <v>65</v>
      </c>
      <c r="M17" s="10">
        <v>27500</v>
      </c>
      <c r="N17" s="10">
        <v>24500</v>
      </c>
      <c r="O17" s="13">
        <v>46121</v>
      </c>
      <c r="P17" s="10">
        <f t="shared" si="1"/>
        <v>3000</v>
      </c>
      <c r="Q17" s="14">
        <v>46141</v>
      </c>
      <c r="R17" s="10" t="s">
        <v>34</v>
      </c>
      <c r="S17" s="10">
        <v>32000</v>
      </c>
      <c r="T17" s="10" t="s">
        <v>69</v>
      </c>
      <c r="U17" s="13">
        <v>46129</v>
      </c>
      <c r="V17" s="10" t="s">
        <v>36</v>
      </c>
      <c r="W17" s="10">
        <f t="shared" si="2"/>
        <v>4500</v>
      </c>
      <c r="X17" s="10" t="s">
        <v>37</v>
      </c>
      <c r="Y17" s="10" t="s">
        <v>38</v>
      </c>
      <c r="Z17" s="15">
        <f t="shared" si="3"/>
        <v>16.363636363636363</v>
      </c>
      <c r="AA17" s="10"/>
    </row>
    <row r="18" spans="1:27">
      <c r="A18" s="10">
        <f>SUBTOTAL(3,C$2:C18)</f>
        <v>17</v>
      </c>
      <c r="B18" s="10" t="s">
        <v>27</v>
      </c>
      <c r="C18" s="11" t="s">
        <v>39</v>
      </c>
      <c r="D18" s="10" t="s">
        <v>29</v>
      </c>
      <c r="E18" s="10" t="s">
        <v>30</v>
      </c>
      <c r="F18" s="10" t="s">
        <v>70</v>
      </c>
      <c r="G18" s="10" t="s">
        <v>41</v>
      </c>
      <c r="H18" s="16" t="s">
        <v>71</v>
      </c>
      <c r="I18" s="13">
        <v>46120</v>
      </c>
      <c r="J18" s="10">
        <f t="shared" ca="1" si="0"/>
        <v>79</v>
      </c>
      <c r="K18" s="10" t="str">
        <f t="shared" si="6"/>
        <v>Pending</v>
      </c>
      <c r="L18" s="10" t="s">
        <v>42</v>
      </c>
      <c r="M18" s="10">
        <v>19000</v>
      </c>
      <c r="N18" s="10">
        <v>17000</v>
      </c>
      <c r="O18" s="13">
        <v>46122</v>
      </c>
      <c r="P18" s="10">
        <f t="shared" si="1"/>
        <v>2000</v>
      </c>
      <c r="Q18" s="14" t="s">
        <v>30</v>
      </c>
      <c r="R18" s="10" t="s">
        <v>34</v>
      </c>
      <c r="S18" s="10">
        <v>22000</v>
      </c>
      <c r="T18" s="10" t="str">
        <f>VLOOKUP(H18,'[1]MIS Sanjeev Auto'!$H$1:$T$168,13,0)</f>
        <v>Pending</v>
      </c>
      <c r="U18" s="13" t="str">
        <f>VLOOKUP(H18,'[1]MIS Sanjeev Auto'!$H$1:$U$168,14,0)</f>
        <v>Pending</v>
      </c>
      <c r="V18" s="10" t="s">
        <v>36</v>
      </c>
      <c r="W18" s="10">
        <f t="shared" si="2"/>
        <v>3000</v>
      </c>
      <c r="X18" s="10" t="s">
        <v>37</v>
      </c>
      <c r="Y18" s="10" t="s">
        <v>38</v>
      </c>
      <c r="Z18" s="15">
        <f t="shared" si="3"/>
        <v>15.789473684210526</v>
      </c>
      <c r="AA18" s="10"/>
    </row>
    <row r="19" spans="1:27">
      <c r="A19" s="10">
        <f>SUBTOTAL(3,C$2:C19)</f>
        <v>18</v>
      </c>
      <c r="B19" s="10" t="s">
        <v>27</v>
      </c>
      <c r="C19" s="11" t="s">
        <v>39</v>
      </c>
      <c r="D19" s="10" t="s">
        <v>29</v>
      </c>
      <c r="E19" s="10" t="s">
        <v>30</v>
      </c>
      <c r="F19" s="10" t="s">
        <v>72</v>
      </c>
      <c r="G19" s="10" t="s">
        <v>41</v>
      </c>
      <c r="H19" s="12" t="s">
        <v>73</v>
      </c>
      <c r="I19" s="13">
        <v>46120</v>
      </c>
      <c r="J19" s="10">
        <f t="shared" ca="1" si="0"/>
        <v>79</v>
      </c>
      <c r="K19" s="10">
        <f t="shared" si="6"/>
        <v>46129</v>
      </c>
      <c r="L19" s="10" t="s">
        <v>42</v>
      </c>
      <c r="M19" s="10">
        <v>19000</v>
      </c>
      <c r="N19" s="10">
        <v>17000</v>
      </c>
      <c r="O19" s="13">
        <v>46122</v>
      </c>
      <c r="P19" s="10">
        <f t="shared" si="1"/>
        <v>2000</v>
      </c>
      <c r="Q19" s="14">
        <v>46141</v>
      </c>
      <c r="R19" s="10" t="s">
        <v>34</v>
      </c>
      <c r="S19" s="10">
        <v>22000</v>
      </c>
      <c r="T19" s="10" t="s">
        <v>61</v>
      </c>
      <c r="U19" s="13">
        <v>46129</v>
      </c>
      <c r="V19" s="10" t="s">
        <v>36</v>
      </c>
      <c r="W19" s="10">
        <f t="shared" si="2"/>
        <v>3000</v>
      </c>
      <c r="X19" s="10" t="s">
        <v>37</v>
      </c>
      <c r="Y19" s="10" t="s">
        <v>38</v>
      </c>
      <c r="Z19" s="15">
        <f t="shared" si="3"/>
        <v>15.789473684210526</v>
      </c>
      <c r="AA19" s="10"/>
    </row>
    <row r="20" spans="1:27">
      <c r="A20" s="10">
        <f>SUBTOTAL(3,C$2:C20)</f>
        <v>19</v>
      </c>
      <c r="B20" s="10" t="s">
        <v>27</v>
      </c>
      <c r="C20" s="11" t="s">
        <v>28</v>
      </c>
      <c r="D20" s="10" t="s">
        <v>29</v>
      </c>
      <c r="E20" s="10" t="s">
        <v>30</v>
      </c>
      <c r="F20" s="10" t="s">
        <v>74</v>
      </c>
      <c r="G20" s="10" t="s">
        <v>32</v>
      </c>
      <c r="H20" s="12" t="s">
        <v>75</v>
      </c>
      <c r="I20" s="13">
        <v>46121</v>
      </c>
      <c r="J20" s="10">
        <f t="shared" ca="1" si="0"/>
        <v>78</v>
      </c>
      <c r="K20" s="10">
        <f>+U20</f>
        <v>46162</v>
      </c>
      <c r="L20" s="10" t="s">
        <v>33</v>
      </c>
      <c r="M20" s="10">
        <v>39000</v>
      </c>
      <c r="N20" s="10">
        <v>34000</v>
      </c>
      <c r="O20" s="13">
        <v>46122</v>
      </c>
      <c r="P20" s="10">
        <f t="shared" si="1"/>
        <v>5000</v>
      </c>
      <c r="Q20" s="14" t="s">
        <v>30</v>
      </c>
      <c r="R20" s="10" t="s">
        <v>34</v>
      </c>
      <c r="S20" s="10">
        <v>46000</v>
      </c>
      <c r="T20" s="10" t="s">
        <v>76</v>
      </c>
      <c r="U20" s="13">
        <v>46162</v>
      </c>
      <c r="V20" s="10" t="s">
        <v>36</v>
      </c>
      <c r="W20" s="10">
        <f t="shared" si="2"/>
        <v>7000</v>
      </c>
      <c r="X20" s="10" t="s">
        <v>37</v>
      </c>
      <c r="Y20" s="10" t="s">
        <v>38</v>
      </c>
      <c r="Z20" s="15">
        <f t="shared" si="3"/>
        <v>17.948717948717949</v>
      </c>
      <c r="AA20" s="10"/>
    </row>
    <row r="21" spans="1:27">
      <c r="A21" s="10">
        <f>SUBTOTAL(3,C$2:C21)</f>
        <v>20</v>
      </c>
      <c r="B21" s="10" t="s">
        <v>27</v>
      </c>
      <c r="C21" s="11" t="s">
        <v>39</v>
      </c>
      <c r="D21" s="10" t="s">
        <v>29</v>
      </c>
      <c r="E21" s="10" t="s">
        <v>30</v>
      </c>
      <c r="F21" s="10" t="s">
        <v>77</v>
      </c>
      <c r="G21" s="10" t="s">
        <v>41</v>
      </c>
      <c r="H21" s="12" t="s">
        <v>78</v>
      </c>
      <c r="I21" s="13">
        <v>46121</v>
      </c>
      <c r="J21" s="10">
        <f t="shared" ca="1" si="0"/>
        <v>78</v>
      </c>
      <c r="K21" s="10">
        <f t="shared" ref="K21:K27" si="7">+U21</f>
        <v>46162</v>
      </c>
      <c r="L21" s="10" t="s">
        <v>42</v>
      </c>
      <c r="M21" s="10">
        <v>19000</v>
      </c>
      <c r="N21" s="10">
        <v>17000</v>
      </c>
      <c r="O21" s="13">
        <v>46122</v>
      </c>
      <c r="P21" s="10">
        <f t="shared" si="1"/>
        <v>2000</v>
      </c>
      <c r="Q21" s="14" t="s">
        <v>30</v>
      </c>
      <c r="R21" s="10" t="s">
        <v>34</v>
      </c>
      <c r="S21" s="10">
        <v>22000</v>
      </c>
      <c r="T21" s="10" t="s">
        <v>79</v>
      </c>
      <c r="U21" s="13">
        <v>46162</v>
      </c>
      <c r="V21" s="10" t="s">
        <v>36</v>
      </c>
      <c r="W21" s="10">
        <f t="shared" si="2"/>
        <v>3000</v>
      </c>
      <c r="X21" s="10" t="s">
        <v>37</v>
      </c>
      <c r="Y21" s="10" t="s">
        <v>38</v>
      </c>
      <c r="Z21" s="15">
        <f t="shared" si="3"/>
        <v>15.789473684210526</v>
      </c>
      <c r="AA21" s="10"/>
    </row>
    <row r="22" spans="1:27">
      <c r="A22" s="10">
        <f>SUBTOTAL(3,C$2:C22)</f>
        <v>21</v>
      </c>
      <c r="B22" s="10" t="s">
        <v>27</v>
      </c>
      <c r="C22" s="11" t="s">
        <v>45</v>
      </c>
      <c r="D22" s="10" t="s">
        <v>29</v>
      </c>
      <c r="E22" s="10" t="s">
        <v>30</v>
      </c>
      <c r="F22" s="10" t="s">
        <v>80</v>
      </c>
      <c r="G22" s="10" t="s">
        <v>41</v>
      </c>
      <c r="H22" s="12" t="s">
        <v>81</v>
      </c>
      <c r="I22" s="13">
        <v>46121</v>
      </c>
      <c r="J22" s="10">
        <f t="shared" ca="1" si="0"/>
        <v>78</v>
      </c>
      <c r="K22" s="10">
        <f t="shared" si="7"/>
        <v>46162</v>
      </c>
      <c r="L22" s="10" t="s">
        <v>42</v>
      </c>
      <c r="M22" s="10">
        <v>19000</v>
      </c>
      <c r="N22" s="10">
        <v>17000</v>
      </c>
      <c r="O22" s="13">
        <v>46122</v>
      </c>
      <c r="P22" s="10">
        <f t="shared" si="1"/>
        <v>2000</v>
      </c>
      <c r="Q22" s="14" t="s">
        <v>30</v>
      </c>
      <c r="R22" s="10" t="s">
        <v>34</v>
      </c>
      <c r="S22" s="10">
        <v>22000</v>
      </c>
      <c r="T22" s="10" t="s">
        <v>79</v>
      </c>
      <c r="U22" s="13">
        <v>46162</v>
      </c>
      <c r="V22" s="10" t="s">
        <v>36</v>
      </c>
      <c r="W22" s="10">
        <f t="shared" si="2"/>
        <v>3000</v>
      </c>
      <c r="X22" s="10" t="s">
        <v>37</v>
      </c>
      <c r="Y22" s="10" t="s">
        <v>38</v>
      </c>
      <c r="Z22" s="15">
        <f t="shared" si="3"/>
        <v>15.789473684210526</v>
      </c>
      <c r="AA22" s="10"/>
    </row>
    <row r="23" spans="1:27">
      <c r="A23" s="10">
        <f>SUBTOTAL(3,C$2:C23)</f>
        <v>22</v>
      </c>
      <c r="B23" s="10" t="s">
        <v>27</v>
      </c>
      <c r="C23" s="11" t="s">
        <v>45</v>
      </c>
      <c r="D23" s="10" t="s">
        <v>29</v>
      </c>
      <c r="E23" s="10" t="s">
        <v>30</v>
      </c>
      <c r="F23" s="10" t="s">
        <v>82</v>
      </c>
      <c r="G23" s="10" t="s">
        <v>83</v>
      </c>
      <c r="H23" s="12" t="s">
        <v>84</v>
      </c>
      <c r="I23" s="13">
        <v>46121</v>
      </c>
      <c r="J23" s="10">
        <f t="shared" ca="1" si="0"/>
        <v>78</v>
      </c>
      <c r="K23" s="10">
        <f t="shared" si="7"/>
        <v>46129</v>
      </c>
      <c r="L23" s="10" t="s">
        <v>42</v>
      </c>
      <c r="M23" s="10">
        <v>27500</v>
      </c>
      <c r="N23" s="10">
        <v>24500</v>
      </c>
      <c r="O23" s="13">
        <v>46122</v>
      </c>
      <c r="P23" s="10">
        <f t="shared" si="1"/>
        <v>3000</v>
      </c>
      <c r="Q23" s="14">
        <v>46141</v>
      </c>
      <c r="R23" s="10" t="s">
        <v>34</v>
      </c>
      <c r="S23" s="10">
        <v>32000</v>
      </c>
      <c r="T23" s="10" t="s">
        <v>69</v>
      </c>
      <c r="U23" s="13">
        <v>46129</v>
      </c>
      <c r="V23" s="10" t="s">
        <v>36</v>
      </c>
      <c r="W23" s="10">
        <f t="shared" si="2"/>
        <v>4500</v>
      </c>
      <c r="X23" s="10" t="s">
        <v>37</v>
      </c>
      <c r="Y23" s="10" t="s">
        <v>38</v>
      </c>
      <c r="Z23" s="15">
        <f t="shared" si="3"/>
        <v>16.363636363636363</v>
      </c>
      <c r="AA23" s="10"/>
    </row>
    <row r="24" spans="1:27">
      <c r="A24" s="10">
        <f>SUBTOTAL(3,C$2:C24)</f>
        <v>23</v>
      </c>
      <c r="B24" s="10" t="s">
        <v>27</v>
      </c>
      <c r="C24" s="11" t="s">
        <v>49</v>
      </c>
      <c r="D24" s="10" t="s">
        <v>29</v>
      </c>
      <c r="E24" s="10" t="s">
        <v>30</v>
      </c>
      <c r="F24" s="10" t="s">
        <v>85</v>
      </c>
      <c r="G24" s="10" t="s">
        <v>32</v>
      </c>
      <c r="H24" s="16" t="s">
        <v>86</v>
      </c>
      <c r="I24" s="13">
        <v>46122</v>
      </c>
      <c r="J24" s="10">
        <f t="shared" ca="1" si="0"/>
        <v>77</v>
      </c>
      <c r="K24" s="10" t="str">
        <f t="shared" si="7"/>
        <v>Pending</v>
      </c>
      <c r="L24" s="10" t="s">
        <v>42</v>
      </c>
      <c r="M24" s="10">
        <v>39000</v>
      </c>
      <c r="N24" s="10">
        <v>34000</v>
      </c>
      <c r="O24" s="13">
        <v>46122</v>
      </c>
      <c r="P24" s="10">
        <f t="shared" si="1"/>
        <v>5000</v>
      </c>
      <c r="Q24" s="14" t="s">
        <v>30</v>
      </c>
      <c r="R24" s="10" t="s">
        <v>34</v>
      </c>
      <c r="S24" s="10">
        <v>46000</v>
      </c>
      <c r="T24" s="10" t="str">
        <f>VLOOKUP(H24,'[1]MIS Sanjeev Auto'!$H$1:$T$168,13,0)</f>
        <v>Pending</v>
      </c>
      <c r="U24" s="13" t="str">
        <f>VLOOKUP(H24,'[1]MIS Sanjeev Auto'!$H$1:$U$168,14,0)</f>
        <v>Pending</v>
      </c>
      <c r="V24" s="10" t="s">
        <v>36</v>
      </c>
      <c r="W24" s="10">
        <f t="shared" si="2"/>
        <v>7000</v>
      </c>
      <c r="X24" s="10" t="s">
        <v>37</v>
      </c>
      <c r="Y24" s="10" t="s">
        <v>38</v>
      </c>
      <c r="Z24" s="15">
        <f t="shared" si="3"/>
        <v>17.948717948717949</v>
      </c>
      <c r="AA24" s="10"/>
    </row>
    <row r="25" spans="1:27">
      <c r="A25" s="10">
        <f>SUBTOTAL(3,C$2:C25)</f>
        <v>24</v>
      </c>
      <c r="B25" s="10" t="s">
        <v>27</v>
      </c>
      <c r="C25" s="11" t="s">
        <v>45</v>
      </c>
      <c r="D25" s="10" t="s">
        <v>29</v>
      </c>
      <c r="E25" s="10" t="s">
        <v>30</v>
      </c>
      <c r="F25" s="10" t="s">
        <v>57</v>
      </c>
      <c r="G25" s="10" t="s">
        <v>83</v>
      </c>
      <c r="H25" s="12" t="s">
        <v>87</v>
      </c>
      <c r="I25" s="13">
        <v>46122</v>
      </c>
      <c r="J25" s="10">
        <f t="shared" ca="1" si="0"/>
        <v>77</v>
      </c>
      <c r="K25" s="10">
        <f t="shared" si="7"/>
        <v>46148</v>
      </c>
      <c r="L25" s="10" t="s">
        <v>42</v>
      </c>
      <c r="M25" s="10">
        <v>27500</v>
      </c>
      <c r="N25" s="10">
        <v>24500</v>
      </c>
      <c r="O25" s="13">
        <v>46123</v>
      </c>
      <c r="P25" s="10">
        <f t="shared" si="1"/>
        <v>3000</v>
      </c>
      <c r="Q25" s="14" t="s">
        <v>30</v>
      </c>
      <c r="R25" s="10" t="s">
        <v>34</v>
      </c>
      <c r="S25" s="10">
        <v>32000</v>
      </c>
      <c r="T25" s="10" t="s">
        <v>88</v>
      </c>
      <c r="U25" s="13">
        <v>46148</v>
      </c>
      <c r="V25" s="10" t="s">
        <v>36</v>
      </c>
      <c r="W25" s="10">
        <f t="shared" si="2"/>
        <v>4500</v>
      </c>
      <c r="X25" s="10" t="s">
        <v>37</v>
      </c>
      <c r="Y25" s="10" t="s">
        <v>38</v>
      </c>
      <c r="Z25" s="15">
        <f t="shared" si="3"/>
        <v>16.363636363636363</v>
      </c>
      <c r="AA25" s="10"/>
    </row>
    <row r="26" spans="1:27">
      <c r="A26" s="10">
        <f>SUBTOTAL(3,C$2:C26)</f>
        <v>25</v>
      </c>
      <c r="B26" s="10" t="s">
        <v>27</v>
      </c>
      <c r="C26" s="11" t="s">
        <v>39</v>
      </c>
      <c r="D26" s="10" t="s">
        <v>29</v>
      </c>
      <c r="E26" s="10" t="s">
        <v>30</v>
      </c>
      <c r="F26" s="10" t="s">
        <v>89</v>
      </c>
      <c r="G26" s="10" t="s">
        <v>41</v>
      </c>
      <c r="H26" s="16" t="s">
        <v>90</v>
      </c>
      <c r="I26" s="13">
        <v>46122</v>
      </c>
      <c r="J26" s="10">
        <f t="shared" ca="1" si="0"/>
        <v>77</v>
      </c>
      <c r="K26" s="10" t="str">
        <f t="shared" si="7"/>
        <v>Pending</v>
      </c>
      <c r="L26" s="10" t="s">
        <v>91</v>
      </c>
      <c r="M26" s="10">
        <v>19000</v>
      </c>
      <c r="N26" s="10">
        <v>17000</v>
      </c>
      <c r="O26" s="13">
        <v>46123</v>
      </c>
      <c r="P26" s="10">
        <f t="shared" si="1"/>
        <v>2000</v>
      </c>
      <c r="Q26" s="14" t="s">
        <v>30</v>
      </c>
      <c r="R26" s="10" t="s">
        <v>34</v>
      </c>
      <c r="S26" s="10">
        <v>22000</v>
      </c>
      <c r="T26" s="10" t="str">
        <f>VLOOKUP(H26,'[1]MIS Sanjeev Auto'!$H$1:$T$168,13,0)</f>
        <v>Pending</v>
      </c>
      <c r="U26" s="13" t="str">
        <f>VLOOKUP(H26,'[1]MIS Sanjeev Auto'!$H$1:$U$168,14,0)</f>
        <v>Pending</v>
      </c>
      <c r="V26" s="10" t="s">
        <v>36</v>
      </c>
      <c r="W26" s="10">
        <f t="shared" si="2"/>
        <v>3000</v>
      </c>
      <c r="X26" s="10" t="s">
        <v>37</v>
      </c>
      <c r="Y26" s="10" t="s">
        <v>38</v>
      </c>
      <c r="Z26" s="15">
        <f t="shared" si="3"/>
        <v>15.789473684210526</v>
      </c>
      <c r="AA26" s="10"/>
    </row>
    <row r="27" spans="1:27">
      <c r="A27" s="10">
        <f>SUBTOTAL(3,C$2:C27)</f>
        <v>26</v>
      </c>
      <c r="B27" s="10" t="s">
        <v>27</v>
      </c>
      <c r="C27" s="11" t="s">
        <v>39</v>
      </c>
      <c r="D27" s="10" t="s">
        <v>29</v>
      </c>
      <c r="E27" s="10" t="s">
        <v>30</v>
      </c>
      <c r="F27" s="10" t="s">
        <v>92</v>
      </c>
      <c r="G27" s="10" t="s">
        <v>41</v>
      </c>
      <c r="H27" s="16" t="s">
        <v>93</v>
      </c>
      <c r="I27" s="13">
        <v>46122</v>
      </c>
      <c r="J27" s="10">
        <f t="shared" ca="1" si="0"/>
        <v>77</v>
      </c>
      <c r="K27" s="10" t="str">
        <f t="shared" si="7"/>
        <v>Pending</v>
      </c>
      <c r="L27" s="10" t="s">
        <v>91</v>
      </c>
      <c r="M27" s="10">
        <v>19000</v>
      </c>
      <c r="N27" s="10">
        <v>17000</v>
      </c>
      <c r="O27" s="13">
        <v>46123</v>
      </c>
      <c r="P27" s="10">
        <f t="shared" si="1"/>
        <v>2000</v>
      </c>
      <c r="Q27" s="14" t="s">
        <v>30</v>
      </c>
      <c r="R27" s="10" t="s">
        <v>34</v>
      </c>
      <c r="S27" s="10">
        <v>22000</v>
      </c>
      <c r="T27" s="10" t="str">
        <f>VLOOKUP(H27,'[1]MIS Sanjeev Auto'!$H$1:$T$168,13,0)</f>
        <v>Pending</v>
      </c>
      <c r="U27" s="13" t="str">
        <f>VLOOKUP(H27,'[1]MIS Sanjeev Auto'!$H$1:$U$168,14,0)</f>
        <v>Pending</v>
      </c>
      <c r="V27" s="10" t="s">
        <v>36</v>
      </c>
      <c r="W27" s="10">
        <f t="shared" si="2"/>
        <v>3000</v>
      </c>
      <c r="X27" s="10" t="s">
        <v>37</v>
      </c>
      <c r="Y27" s="10" t="s">
        <v>38</v>
      </c>
      <c r="Z27" s="15">
        <f t="shared" si="3"/>
        <v>15.789473684210526</v>
      </c>
      <c r="AA27" s="10"/>
    </row>
    <row r="28" spans="1:27">
      <c r="A28" s="10">
        <f>SUBTOTAL(3,C$2:C28)</f>
        <v>27</v>
      </c>
      <c r="B28" s="10" t="s">
        <v>27</v>
      </c>
      <c r="C28" s="11" t="s">
        <v>28</v>
      </c>
      <c r="D28" s="10" t="s">
        <v>29</v>
      </c>
      <c r="E28" s="10" t="s">
        <v>30</v>
      </c>
      <c r="F28" s="10" t="s">
        <v>94</v>
      </c>
      <c r="G28" s="10" t="s">
        <v>32</v>
      </c>
      <c r="H28" s="12" t="s">
        <v>95</v>
      </c>
      <c r="I28" s="13">
        <v>46123</v>
      </c>
      <c r="J28" s="10">
        <f t="shared" ca="1" si="0"/>
        <v>76</v>
      </c>
      <c r="K28" s="10">
        <f>+U28</f>
        <v>46162</v>
      </c>
      <c r="L28" s="10" t="s">
        <v>42</v>
      </c>
      <c r="M28" s="10">
        <v>39000</v>
      </c>
      <c r="N28" s="10">
        <v>34000</v>
      </c>
      <c r="O28" s="13">
        <v>46123</v>
      </c>
      <c r="P28" s="10">
        <f t="shared" si="1"/>
        <v>5000</v>
      </c>
      <c r="Q28" s="14" t="s">
        <v>30</v>
      </c>
      <c r="R28" s="10" t="s">
        <v>34</v>
      </c>
      <c r="S28" s="10">
        <v>46000</v>
      </c>
      <c r="T28" s="10" t="s">
        <v>76</v>
      </c>
      <c r="U28" s="13">
        <v>46162</v>
      </c>
      <c r="V28" s="10" t="s">
        <v>36</v>
      </c>
      <c r="W28" s="10">
        <f t="shared" si="2"/>
        <v>7000</v>
      </c>
      <c r="X28" s="10" t="s">
        <v>37</v>
      </c>
      <c r="Y28" s="10" t="s">
        <v>38</v>
      </c>
      <c r="Z28" s="15">
        <f t="shared" si="3"/>
        <v>17.948717948717949</v>
      </c>
      <c r="AA28" s="10"/>
    </row>
    <row r="29" spans="1:27">
      <c r="A29" s="10">
        <f>SUBTOTAL(3,C$2:C29)</f>
        <v>28</v>
      </c>
      <c r="B29" s="10" t="s">
        <v>27</v>
      </c>
      <c r="C29" s="11" t="s">
        <v>39</v>
      </c>
      <c r="D29" s="10" t="s">
        <v>29</v>
      </c>
      <c r="E29" s="10" t="s">
        <v>30</v>
      </c>
      <c r="F29" s="10" t="s">
        <v>96</v>
      </c>
      <c r="G29" s="10" t="s">
        <v>41</v>
      </c>
      <c r="H29" s="12" t="s">
        <v>97</v>
      </c>
      <c r="I29" s="13">
        <v>46123</v>
      </c>
      <c r="J29" s="10">
        <f t="shared" ca="1" si="0"/>
        <v>76</v>
      </c>
      <c r="K29" s="10">
        <f t="shared" ref="K29:K92" si="8">+U29</f>
        <v>46162</v>
      </c>
      <c r="L29" s="10" t="s">
        <v>91</v>
      </c>
      <c r="M29" s="10">
        <v>19000</v>
      </c>
      <c r="N29" s="10">
        <v>17000</v>
      </c>
      <c r="O29" s="13">
        <v>46125</v>
      </c>
      <c r="P29" s="10">
        <f t="shared" si="1"/>
        <v>2000</v>
      </c>
      <c r="Q29" s="14" t="s">
        <v>30</v>
      </c>
      <c r="R29" s="10" t="s">
        <v>34</v>
      </c>
      <c r="S29" s="10">
        <v>22000</v>
      </c>
      <c r="T29" s="10" t="s">
        <v>98</v>
      </c>
      <c r="U29" s="13">
        <v>46162</v>
      </c>
      <c r="V29" s="10" t="s">
        <v>36</v>
      </c>
      <c r="W29" s="10">
        <f t="shared" si="2"/>
        <v>3000</v>
      </c>
      <c r="X29" s="10" t="s">
        <v>37</v>
      </c>
      <c r="Y29" s="10" t="s">
        <v>38</v>
      </c>
      <c r="Z29" s="15">
        <f t="shared" si="3"/>
        <v>15.789473684210526</v>
      </c>
      <c r="AA29" s="10"/>
    </row>
    <row r="30" spans="1:27">
      <c r="A30" s="10">
        <f>SUBTOTAL(3,C$2:C30)</f>
        <v>29</v>
      </c>
      <c r="B30" s="10" t="s">
        <v>27</v>
      </c>
      <c r="C30" s="11" t="s">
        <v>28</v>
      </c>
      <c r="D30" s="10" t="s">
        <v>29</v>
      </c>
      <c r="E30" s="10" t="s">
        <v>30</v>
      </c>
      <c r="F30" s="10" t="s">
        <v>99</v>
      </c>
      <c r="G30" s="10" t="s">
        <v>83</v>
      </c>
      <c r="H30" s="12" t="s">
        <v>100</v>
      </c>
      <c r="I30" s="13">
        <v>46124</v>
      </c>
      <c r="J30" s="10">
        <f t="shared" ca="1" si="0"/>
        <v>75</v>
      </c>
      <c r="K30" s="10">
        <f t="shared" si="8"/>
        <v>46162</v>
      </c>
      <c r="L30" s="10" t="s">
        <v>42</v>
      </c>
      <c r="M30" s="10">
        <v>39000</v>
      </c>
      <c r="N30" s="10">
        <v>34000</v>
      </c>
      <c r="O30" s="13">
        <v>46125</v>
      </c>
      <c r="P30" s="10">
        <f t="shared" si="1"/>
        <v>5000</v>
      </c>
      <c r="Q30" s="14" t="s">
        <v>30</v>
      </c>
      <c r="R30" s="10" t="s">
        <v>34</v>
      </c>
      <c r="S30" s="10">
        <v>46000</v>
      </c>
      <c r="T30" s="10" t="s">
        <v>101</v>
      </c>
      <c r="U30" s="13">
        <v>46162</v>
      </c>
      <c r="V30" s="10" t="s">
        <v>36</v>
      </c>
      <c r="W30" s="10">
        <f t="shared" si="2"/>
        <v>7000</v>
      </c>
      <c r="X30" s="10" t="s">
        <v>37</v>
      </c>
      <c r="Y30" s="10" t="s">
        <v>38</v>
      </c>
      <c r="Z30" s="15">
        <f t="shared" si="3"/>
        <v>17.948717948717949</v>
      </c>
      <c r="AA30" s="10"/>
    </row>
    <row r="31" spans="1:27">
      <c r="A31" s="10">
        <f>SUBTOTAL(3,C$2:C31)</f>
        <v>30</v>
      </c>
      <c r="B31" s="10" t="s">
        <v>27</v>
      </c>
      <c r="C31" s="11" t="s">
        <v>45</v>
      </c>
      <c r="D31" s="10" t="s">
        <v>29</v>
      </c>
      <c r="E31" s="10" t="s">
        <v>30</v>
      </c>
      <c r="F31" s="10" t="s">
        <v>102</v>
      </c>
      <c r="G31" s="10" t="s">
        <v>83</v>
      </c>
      <c r="H31" s="12" t="s">
        <v>103</v>
      </c>
      <c r="I31" s="13">
        <v>46123</v>
      </c>
      <c r="J31" s="10">
        <f t="shared" ca="1" si="0"/>
        <v>76</v>
      </c>
      <c r="K31" s="10">
        <f t="shared" si="8"/>
        <v>46148</v>
      </c>
      <c r="L31" s="10" t="s">
        <v>42</v>
      </c>
      <c r="M31" s="10">
        <v>27500</v>
      </c>
      <c r="N31" s="10">
        <v>24500</v>
      </c>
      <c r="O31" s="13">
        <v>46125</v>
      </c>
      <c r="P31" s="10">
        <f t="shared" si="1"/>
        <v>3000</v>
      </c>
      <c r="Q31" s="14" t="s">
        <v>30</v>
      </c>
      <c r="R31" s="10" t="s">
        <v>34</v>
      </c>
      <c r="S31" s="10">
        <v>32000</v>
      </c>
      <c r="T31" s="10" t="s">
        <v>88</v>
      </c>
      <c r="U31" s="13">
        <v>46148</v>
      </c>
      <c r="V31" s="10" t="s">
        <v>36</v>
      </c>
      <c r="W31" s="10">
        <f t="shared" si="2"/>
        <v>4500</v>
      </c>
      <c r="X31" s="10" t="s">
        <v>37</v>
      </c>
      <c r="Y31" s="10" t="s">
        <v>38</v>
      </c>
      <c r="Z31" s="15">
        <f t="shared" si="3"/>
        <v>16.363636363636363</v>
      </c>
      <c r="AA31" s="10"/>
    </row>
    <row r="32" spans="1:27">
      <c r="A32" s="10">
        <f>SUBTOTAL(3,C$2:C32)</f>
        <v>31</v>
      </c>
      <c r="B32" s="10" t="s">
        <v>27</v>
      </c>
      <c r="C32" s="11" t="s">
        <v>39</v>
      </c>
      <c r="D32" s="10" t="s">
        <v>29</v>
      </c>
      <c r="E32" s="10" t="s">
        <v>30</v>
      </c>
      <c r="F32" s="10" t="s">
        <v>72</v>
      </c>
      <c r="G32" s="10" t="s">
        <v>41</v>
      </c>
      <c r="H32" s="12" t="s">
        <v>104</v>
      </c>
      <c r="I32" s="13">
        <v>46125</v>
      </c>
      <c r="J32" s="10">
        <f t="shared" ca="1" si="0"/>
        <v>74</v>
      </c>
      <c r="K32" s="10">
        <f t="shared" si="8"/>
        <v>46162</v>
      </c>
      <c r="L32" s="10" t="s">
        <v>91</v>
      </c>
      <c r="M32" s="10">
        <v>19000</v>
      </c>
      <c r="N32" s="10">
        <v>17000</v>
      </c>
      <c r="O32" s="13">
        <v>46125</v>
      </c>
      <c r="P32" s="10">
        <f t="shared" si="1"/>
        <v>2000</v>
      </c>
      <c r="Q32" s="14" t="s">
        <v>30</v>
      </c>
      <c r="R32" s="10" t="s">
        <v>34</v>
      </c>
      <c r="S32" s="10">
        <v>22000</v>
      </c>
      <c r="T32" s="10" t="s">
        <v>98</v>
      </c>
      <c r="U32" s="13">
        <v>46162</v>
      </c>
      <c r="V32" s="10" t="s">
        <v>36</v>
      </c>
      <c r="W32" s="10">
        <f t="shared" si="2"/>
        <v>3000</v>
      </c>
      <c r="X32" s="10" t="s">
        <v>37</v>
      </c>
      <c r="Y32" s="10" t="s">
        <v>38</v>
      </c>
      <c r="Z32" s="15">
        <f t="shared" si="3"/>
        <v>15.789473684210526</v>
      </c>
      <c r="AA32" s="10"/>
    </row>
    <row r="33" spans="1:27">
      <c r="A33" s="10">
        <f>SUBTOTAL(3,C$2:C33)</f>
        <v>32</v>
      </c>
      <c r="B33" s="10" t="s">
        <v>27</v>
      </c>
      <c r="C33" s="11" t="s">
        <v>39</v>
      </c>
      <c r="D33" s="10" t="s">
        <v>29</v>
      </c>
      <c r="E33" s="10" t="s">
        <v>30</v>
      </c>
      <c r="F33" s="10" t="s">
        <v>105</v>
      </c>
      <c r="G33" s="10" t="s">
        <v>41</v>
      </c>
      <c r="H33" s="12" t="s">
        <v>106</v>
      </c>
      <c r="I33" s="13">
        <v>46125</v>
      </c>
      <c r="J33" s="10">
        <f t="shared" ca="1" si="0"/>
        <v>74</v>
      </c>
      <c r="K33" s="10">
        <f t="shared" si="8"/>
        <v>46162</v>
      </c>
      <c r="L33" s="10" t="s">
        <v>107</v>
      </c>
      <c r="M33" s="10">
        <v>19000</v>
      </c>
      <c r="N33" s="10">
        <v>17000</v>
      </c>
      <c r="O33" s="13">
        <v>46127</v>
      </c>
      <c r="P33" s="10">
        <f t="shared" si="1"/>
        <v>2000</v>
      </c>
      <c r="Q33" s="14" t="s">
        <v>30</v>
      </c>
      <c r="R33" s="10" t="s">
        <v>34</v>
      </c>
      <c r="S33" s="10">
        <v>22000</v>
      </c>
      <c r="T33" s="10" t="s">
        <v>108</v>
      </c>
      <c r="U33" s="13">
        <v>46162</v>
      </c>
      <c r="V33" s="10" t="s">
        <v>36</v>
      </c>
      <c r="W33" s="10">
        <f t="shared" si="2"/>
        <v>3000</v>
      </c>
      <c r="X33" s="10" t="s">
        <v>37</v>
      </c>
      <c r="Y33" s="10" t="s">
        <v>38</v>
      </c>
      <c r="Z33" s="15">
        <f t="shared" si="3"/>
        <v>15.789473684210526</v>
      </c>
      <c r="AA33" s="10"/>
    </row>
    <row r="34" spans="1:27">
      <c r="A34" s="10">
        <f>SUBTOTAL(3,C$2:C34)</f>
        <v>33</v>
      </c>
      <c r="B34" s="10" t="s">
        <v>27</v>
      </c>
      <c r="C34" s="11" t="s">
        <v>39</v>
      </c>
      <c r="D34" s="10" t="s">
        <v>29</v>
      </c>
      <c r="E34" s="10" t="s">
        <v>30</v>
      </c>
      <c r="F34" s="10" t="s">
        <v>109</v>
      </c>
      <c r="G34" s="10" t="s">
        <v>41</v>
      </c>
      <c r="H34" s="12" t="s">
        <v>110</v>
      </c>
      <c r="I34" s="13">
        <v>46127</v>
      </c>
      <c r="J34" s="10">
        <f t="shared" ca="1" si="0"/>
        <v>72</v>
      </c>
      <c r="K34" s="10">
        <f t="shared" si="8"/>
        <v>46162</v>
      </c>
      <c r="L34" s="10" t="s">
        <v>107</v>
      </c>
      <c r="M34" s="10">
        <v>19000</v>
      </c>
      <c r="N34" s="10">
        <v>17000</v>
      </c>
      <c r="O34" s="13">
        <v>46127</v>
      </c>
      <c r="P34" s="10">
        <f t="shared" si="1"/>
        <v>2000</v>
      </c>
      <c r="Q34" s="14" t="s">
        <v>30</v>
      </c>
      <c r="R34" s="10" t="s">
        <v>34</v>
      </c>
      <c r="S34" s="10">
        <v>22000</v>
      </c>
      <c r="T34" s="10" t="s">
        <v>111</v>
      </c>
      <c r="U34" s="13">
        <v>46162</v>
      </c>
      <c r="V34" s="10" t="s">
        <v>36</v>
      </c>
      <c r="W34" s="10">
        <f t="shared" si="2"/>
        <v>3000</v>
      </c>
      <c r="X34" s="10" t="s">
        <v>37</v>
      </c>
      <c r="Y34" s="10" t="s">
        <v>38</v>
      </c>
      <c r="Z34" s="15">
        <f t="shared" si="3"/>
        <v>15.789473684210526</v>
      </c>
      <c r="AA34" s="10"/>
    </row>
    <row r="35" spans="1:27">
      <c r="A35" s="10">
        <f>SUBTOTAL(3,C$2:C35)</f>
        <v>34</v>
      </c>
      <c r="B35" s="10" t="s">
        <v>27</v>
      </c>
      <c r="C35" s="11" t="s">
        <v>28</v>
      </c>
      <c r="D35" s="10" t="s">
        <v>29</v>
      </c>
      <c r="E35" s="10" t="s">
        <v>30</v>
      </c>
      <c r="F35" s="10" t="s">
        <v>31</v>
      </c>
      <c r="G35" s="10" t="s">
        <v>83</v>
      </c>
      <c r="H35" s="12" t="s">
        <v>112</v>
      </c>
      <c r="I35" s="13">
        <v>46126</v>
      </c>
      <c r="J35" s="10">
        <f t="shared" ca="1" si="0"/>
        <v>73</v>
      </c>
      <c r="K35" s="10">
        <f t="shared" si="8"/>
        <v>46162</v>
      </c>
      <c r="L35" s="10" t="s">
        <v>42</v>
      </c>
      <c r="M35" s="10">
        <v>39000</v>
      </c>
      <c r="N35" s="10">
        <v>34000</v>
      </c>
      <c r="O35" s="13">
        <v>46127</v>
      </c>
      <c r="P35" s="10">
        <f t="shared" si="1"/>
        <v>5000</v>
      </c>
      <c r="Q35" s="14" t="s">
        <v>30</v>
      </c>
      <c r="R35" s="10" t="s">
        <v>34</v>
      </c>
      <c r="S35" s="10">
        <v>46000</v>
      </c>
      <c r="T35" s="10" t="s">
        <v>101</v>
      </c>
      <c r="U35" s="13">
        <v>46162</v>
      </c>
      <c r="V35" s="10" t="s">
        <v>36</v>
      </c>
      <c r="W35" s="10">
        <f t="shared" si="2"/>
        <v>7000</v>
      </c>
      <c r="X35" s="10" t="s">
        <v>37</v>
      </c>
      <c r="Y35" s="10" t="s">
        <v>38</v>
      </c>
      <c r="Z35" s="15">
        <f t="shared" si="3"/>
        <v>17.948717948717949</v>
      </c>
      <c r="AA35" s="10"/>
    </row>
    <row r="36" spans="1:27">
      <c r="A36" s="10">
        <f>SUBTOTAL(3,C$2:C36)</f>
        <v>35</v>
      </c>
      <c r="B36" s="10" t="s">
        <v>27</v>
      </c>
      <c r="C36" s="11" t="s">
        <v>28</v>
      </c>
      <c r="D36" s="10" t="s">
        <v>29</v>
      </c>
      <c r="E36" s="10" t="s">
        <v>30</v>
      </c>
      <c r="F36" s="10" t="s">
        <v>113</v>
      </c>
      <c r="G36" s="10" t="s">
        <v>83</v>
      </c>
      <c r="H36" s="12" t="s">
        <v>114</v>
      </c>
      <c r="I36" s="13">
        <v>46127</v>
      </c>
      <c r="J36" s="10">
        <f t="shared" ca="1" si="0"/>
        <v>72</v>
      </c>
      <c r="K36" s="10">
        <f t="shared" si="8"/>
        <v>46162</v>
      </c>
      <c r="L36" s="10" t="s">
        <v>42</v>
      </c>
      <c r="M36" s="10">
        <v>39000</v>
      </c>
      <c r="N36" s="10">
        <v>34000</v>
      </c>
      <c r="O36" s="13">
        <v>46127</v>
      </c>
      <c r="P36" s="10">
        <f t="shared" si="1"/>
        <v>5000</v>
      </c>
      <c r="Q36" s="14" t="s">
        <v>30</v>
      </c>
      <c r="R36" s="10" t="s">
        <v>34</v>
      </c>
      <c r="S36" s="10">
        <v>46000</v>
      </c>
      <c r="T36" s="10" t="s">
        <v>115</v>
      </c>
      <c r="U36" s="13">
        <v>46162</v>
      </c>
      <c r="V36" s="10" t="s">
        <v>36</v>
      </c>
      <c r="W36" s="10">
        <f t="shared" si="2"/>
        <v>7000</v>
      </c>
      <c r="X36" s="10" t="s">
        <v>37</v>
      </c>
      <c r="Y36" s="10" t="s">
        <v>38</v>
      </c>
      <c r="Z36" s="15">
        <f t="shared" si="3"/>
        <v>17.948717948717949</v>
      </c>
      <c r="AA36" s="10"/>
    </row>
    <row r="37" spans="1:27">
      <c r="A37" s="10">
        <f>SUBTOTAL(3,C$2:C37)</f>
        <v>36</v>
      </c>
      <c r="B37" s="10" t="s">
        <v>27</v>
      </c>
      <c r="C37" s="11" t="s">
        <v>45</v>
      </c>
      <c r="D37" s="10" t="s">
        <v>29</v>
      </c>
      <c r="E37" s="10" t="s">
        <v>30</v>
      </c>
      <c r="F37" s="10" t="s">
        <v>116</v>
      </c>
      <c r="G37" s="10" t="s">
        <v>83</v>
      </c>
      <c r="H37" s="12" t="s">
        <v>117</v>
      </c>
      <c r="I37" s="13">
        <v>46126</v>
      </c>
      <c r="J37" s="10">
        <f t="shared" ca="1" si="0"/>
        <v>73</v>
      </c>
      <c r="K37" s="10" t="str">
        <f t="shared" si="8"/>
        <v>Pending</v>
      </c>
      <c r="L37" s="10" t="s">
        <v>42</v>
      </c>
      <c r="M37" s="10">
        <v>27500</v>
      </c>
      <c r="N37" s="10">
        <v>24500</v>
      </c>
      <c r="O37" s="13">
        <v>46127</v>
      </c>
      <c r="P37" s="10">
        <f t="shared" si="1"/>
        <v>3000</v>
      </c>
      <c r="Q37" s="14" t="s">
        <v>30</v>
      </c>
      <c r="R37" s="10" t="s">
        <v>34</v>
      </c>
      <c r="S37" s="10">
        <v>32000</v>
      </c>
      <c r="T37" s="10" t="str">
        <f>VLOOKUP(H37,'[1]MIS Sanjeev Auto'!$H$1:$T$168,13,0)</f>
        <v>Pending</v>
      </c>
      <c r="U37" s="13" t="str">
        <f>VLOOKUP(H37,'[1]MIS Sanjeev Auto'!$H$1:$U$168,14,0)</f>
        <v>Pending</v>
      </c>
      <c r="V37" s="10" t="s">
        <v>36</v>
      </c>
      <c r="W37" s="10">
        <f t="shared" si="2"/>
        <v>4500</v>
      </c>
      <c r="X37" s="10" t="s">
        <v>37</v>
      </c>
      <c r="Y37" s="10" t="s">
        <v>38</v>
      </c>
      <c r="Z37" s="15">
        <f t="shared" si="3"/>
        <v>16.363636363636363</v>
      </c>
      <c r="AA37" s="10"/>
    </row>
    <row r="38" spans="1:27">
      <c r="A38" s="10">
        <f>SUBTOTAL(3,C$2:C38)</f>
        <v>37</v>
      </c>
      <c r="B38" s="10" t="s">
        <v>27</v>
      </c>
      <c r="C38" s="11" t="s">
        <v>39</v>
      </c>
      <c r="D38" s="10" t="s">
        <v>29</v>
      </c>
      <c r="E38" s="10" t="s">
        <v>30</v>
      </c>
      <c r="F38" s="10" t="s">
        <v>40</v>
      </c>
      <c r="G38" s="10" t="s">
        <v>41</v>
      </c>
      <c r="H38" s="12" t="s">
        <v>118</v>
      </c>
      <c r="I38" s="13">
        <v>46127</v>
      </c>
      <c r="J38" s="10">
        <f t="shared" ca="1" si="0"/>
        <v>72</v>
      </c>
      <c r="K38" s="10">
        <f t="shared" si="8"/>
        <v>46162</v>
      </c>
      <c r="L38" s="10" t="s">
        <v>107</v>
      </c>
      <c r="M38" s="10">
        <v>19000</v>
      </c>
      <c r="N38" s="10">
        <v>17000</v>
      </c>
      <c r="O38" s="13">
        <v>46128</v>
      </c>
      <c r="P38" s="10">
        <f t="shared" si="1"/>
        <v>2000</v>
      </c>
      <c r="Q38" s="14" t="s">
        <v>30</v>
      </c>
      <c r="R38" s="10" t="s">
        <v>34</v>
      </c>
      <c r="S38" s="10">
        <v>22000</v>
      </c>
      <c r="T38" s="10" t="s">
        <v>111</v>
      </c>
      <c r="U38" s="13">
        <v>46162</v>
      </c>
      <c r="V38" s="10" t="s">
        <v>36</v>
      </c>
      <c r="W38" s="10">
        <f t="shared" si="2"/>
        <v>3000</v>
      </c>
      <c r="X38" s="10" t="s">
        <v>37</v>
      </c>
      <c r="Y38" s="10" t="s">
        <v>38</v>
      </c>
      <c r="Z38" s="15">
        <f t="shared" si="3"/>
        <v>15.789473684210526</v>
      </c>
      <c r="AA38" s="10"/>
    </row>
    <row r="39" spans="1:27">
      <c r="A39" s="10">
        <f>SUBTOTAL(3,C$2:C39)</f>
        <v>38</v>
      </c>
      <c r="B39" s="10" t="s">
        <v>27</v>
      </c>
      <c r="C39" s="11" t="s">
        <v>39</v>
      </c>
      <c r="D39" s="10" t="s">
        <v>29</v>
      </c>
      <c r="E39" s="10" t="s">
        <v>30</v>
      </c>
      <c r="F39" s="10" t="s">
        <v>119</v>
      </c>
      <c r="G39" s="10" t="s">
        <v>41</v>
      </c>
      <c r="H39" s="12" t="s">
        <v>120</v>
      </c>
      <c r="I39" s="13">
        <v>46127</v>
      </c>
      <c r="J39" s="10">
        <f t="shared" ca="1" si="0"/>
        <v>72</v>
      </c>
      <c r="K39" s="10">
        <f t="shared" si="8"/>
        <v>46162</v>
      </c>
      <c r="L39" s="10" t="s">
        <v>107</v>
      </c>
      <c r="M39" s="10">
        <v>19000</v>
      </c>
      <c r="N39" s="10">
        <v>17000</v>
      </c>
      <c r="O39" s="13">
        <v>46128</v>
      </c>
      <c r="P39" s="10">
        <f t="shared" si="1"/>
        <v>2000</v>
      </c>
      <c r="Q39" s="14" t="s">
        <v>30</v>
      </c>
      <c r="R39" s="10" t="s">
        <v>34</v>
      </c>
      <c r="S39" s="10">
        <v>22000</v>
      </c>
      <c r="T39" s="10" t="s">
        <v>108</v>
      </c>
      <c r="U39" s="13">
        <v>46162</v>
      </c>
      <c r="V39" s="10" t="s">
        <v>36</v>
      </c>
      <c r="W39" s="10">
        <f t="shared" si="2"/>
        <v>3000</v>
      </c>
      <c r="X39" s="10" t="s">
        <v>37</v>
      </c>
      <c r="Y39" s="10" t="s">
        <v>38</v>
      </c>
      <c r="Z39" s="15">
        <f t="shared" si="3"/>
        <v>15.789473684210526</v>
      </c>
      <c r="AA39" s="10"/>
    </row>
    <row r="40" spans="1:27">
      <c r="A40" s="10">
        <f>SUBTOTAL(3,C$2:C40)</f>
        <v>39</v>
      </c>
      <c r="B40" s="10" t="s">
        <v>27</v>
      </c>
      <c r="C40" s="11" t="s">
        <v>45</v>
      </c>
      <c r="D40" s="10" t="s">
        <v>29</v>
      </c>
      <c r="E40" s="10" t="s">
        <v>30</v>
      </c>
      <c r="F40" s="10" t="s">
        <v>121</v>
      </c>
      <c r="G40" s="10" t="s">
        <v>83</v>
      </c>
      <c r="H40" s="12" t="s">
        <v>122</v>
      </c>
      <c r="I40" s="13">
        <v>46128</v>
      </c>
      <c r="J40" s="10">
        <f t="shared" ca="1" si="0"/>
        <v>71</v>
      </c>
      <c r="K40" s="10">
        <f t="shared" si="8"/>
        <v>46162</v>
      </c>
      <c r="L40" s="10" t="s">
        <v>123</v>
      </c>
      <c r="M40" s="10">
        <v>39000</v>
      </c>
      <c r="N40" s="10">
        <v>34000</v>
      </c>
      <c r="O40" s="13">
        <v>46128</v>
      </c>
      <c r="P40" s="10">
        <f t="shared" si="1"/>
        <v>5000</v>
      </c>
      <c r="Q40" s="14" t="s">
        <v>30</v>
      </c>
      <c r="R40" s="10" t="s">
        <v>34</v>
      </c>
      <c r="S40" s="10">
        <v>46000</v>
      </c>
      <c r="T40" s="10" t="s">
        <v>124</v>
      </c>
      <c r="U40" s="13">
        <v>46162</v>
      </c>
      <c r="V40" s="10" t="s">
        <v>36</v>
      </c>
      <c r="W40" s="10">
        <f t="shared" si="2"/>
        <v>7000</v>
      </c>
      <c r="X40" s="10" t="s">
        <v>37</v>
      </c>
      <c r="Y40" s="10" t="s">
        <v>38</v>
      </c>
      <c r="Z40" s="15">
        <f t="shared" si="3"/>
        <v>17.948717948717949</v>
      </c>
      <c r="AA40" s="10"/>
    </row>
    <row r="41" spans="1:27">
      <c r="A41" s="10">
        <f>SUBTOTAL(3,C$2:C41)</f>
        <v>40</v>
      </c>
      <c r="B41" s="10" t="s">
        <v>27</v>
      </c>
      <c r="C41" s="11" t="s">
        <v>39</v>
      </c>
      <c r="D41" s="10" t="s">
        <v>29</v>
      </c>
      <c r="E41" s="10" t="s">
        <v>30</v>
      </c>
      <c r="F41" s="10" t="s">
        <v>125</v>
      </c>
      <c r="G41" s="10" t="s">
        <v>41</v>
      </c>
      <c r="H41" s="12" t="s">
        <v>126</v>
      </c>
      <c r="I41" s="13">
        <v>46128</v>
      </c>
      <c r="J41" s="10">
        <f t="shared" ca="1" si="0"/>
        <v>71</v>
      </c>
      <c r="K41" s="10">
        <f t="shared" si="8"/>
        <v>46162</v>
      </c>
      <c r="L41" s="10" t="s">
        <v>107</v>
      </c>
      <c r="M41" s="10">
        <v>19000</v>
      </c>
      <c r="N41" s="10">
        <v>17000</v>
      </c>
      <c r="O41" s="13">
        <v>46129</v>
      </c>
      <c r="P41" s="10">
        <f t="shared" si="1"/>
        <v>2000</v>
      </c>
      <c r="Q41" s="14" t="s">
        <v>30</v>
      </c>
      <c r="R41" s="10" t="s">
        <v>34</v>
      </c>
      <c r="S41" s="10">
        <v>22000</v>
      </c>
      <c r="T41" s="10" t="s">
        <v>127</v>
      </c>
      <c r="U41" s="13">
        <v>46162</v>
      </c>
      <c r="V41" s="10" t="s">
        <v>36</v>
      </c>
      <c r="W41" s="10">
        <f t="shared" si="2"/>
        <v>3000</v>
      </c>
      <c r="X41" s="10" t="s">
        <v>37</v>
      </c>
      <c r="Y41" s="10" t="s">
        <v>38</v>
      </c>
      <c r="Z41" s="15">
        <f t="shared" si="3"/>
        <v>15.789473684210526</v>
      </c>
      <c r="AA41" s="10"/>
    </row>
    <row r="42" spans="1:27">
      <c r="A42" s="10">
        <f>SUBTOTAL(3,C$2:C42)</f>
        <v>41</v>
      </c>
      <c r="B42" s="10" t="s">
        <v>27</v>
      </c>
      <c r="C42" s="11" t="s">
        <v>39</v>
      </c>
      <c r="D42" s="10" t="s">
        <v>29</v>
      </c>
      <c r="E42" s="10" t="s">
        <v>30</v>
      </c>
      <c r="F42" s="10" t="s">
        <v>128</v>
      </c>
      <c r="G42" s="10" t="s">
        <v>41</v>
      </c>
      <c r="H42" s="12" t="s">
        <v>129</v>
      </c>
      <c r="I42" s="13">
        <v>46128</v>
      </c>
      <c r="J42" s="10">
        <f t="shared" ca="1" si="0"/>
        <v>71</v>
      </c>
      <c r="K42" s="10">
        <f t="shared" si="8"/>
        <v>46162</v>
      </c>
      <c r="L42" s="10" t="s">
        <v>107</v>
      </c>
      <c r="M42" s="10">
        <v>19000</v>
      </c>
      <c r="N42" s="10">
        <v>17000</v>
      </c>
      <c r="O42" s="13">
        <v>46129</v>
      </c>
      <c r="P42" s="10">
        <f t="shared" si="1"/>
        <v>2000</v>
      </c>
      <c r="Q42" s="14" t="s">
        <v>30</v>
      </c>
      <c r="R42" s="10" t="s">
        <v>34</v>
      </c>
      <c r="S42" s="10">
        <v>22000</v>
      </c>
      <c r="T42" s="10" t="s">
        <v>127</v>
      </c>
      <c r="U42" s="13">
        <v>46162</v>
      </c>
      <c r="V42" s="10" t="s">
        <v>36</v>
      </c>
      <c r="W42" s="10">
        <f t="shared" si="2"/>
        <v>3000</v>
      </c>
      <c r="X42" s="10" t="s">
        <v>37</v>
      </c>
      <c r="Y42" s="10" t="s">
        <v>38</v>
      </c>
      <c r="Z42" s="15">
        <f t="shared" si="3"/>
        <v>15.789473684210526</v>
      </c>
      <c r="AA42" s="10"/>
    </row>
    <row r="43" spans="1:27">
      <c r="A43" s="10">
        <f>SUBTOTAL(3,C$2:C43)</f>
        <v>42</v>
      </c>
      <c r="B43" s="10" t="s">
        <v>27</v>
      </c>
      <c r="C43" s="11" t="s">
        <v>28</v>
      </c>
      <c r="D43" s="10" t="s">
        <v>29</v>
      </c>
      <c r="E43" s="10" t="s">
        <v>30</v>
      </c>
      <c r="F43" s="10" t="s">
        <v>113</v>
      </c>
      <c r="G43" s="10" t="s">
        <v>83</v>
      </c>
      <c r="H43" s="12" t="s">
        <v>130</v>
      </c>
      <c r="I43" s="13">
        <v>46129</v>
      </c>
      <c r="J43" s="10">
        <f t="shared" ca="1" si="0"/>
        <v>70</v>
      </c>
      <c r="K43" s="10">
        <f t="shared" si="8"/>
        <v>46162</v>
      </c>
      <c r="L43" s="10" t="s">
        <v>42</v>
      </c>
      <c r="M43" s="10">
        <v>39000</v>
      </c>
      <c r="N43" s="10">
        <v>34000</v>
      </c>
      <c r="O43" s="13">
        <v>46130</v>
      </c>
      <c r="P43" s="10">
        <f t="shared" si="1"/>
        <v>5000</v>
      </c>
      <c r="Q43" s="14" t="s">
        <v>30</v>
      </c>
      <c r="R43" s="10" t="s">
        <v>34</v>
      </c>
      <c r="S43" s="10">
        <v>46000</v>
      </c>
      <c r="T43" s="10" t="s">
        <v>124</v>
      </c>
      <c r="U43" s="13">
        <v>46162</v>
      </c>
      <c r="V43" s="10" t="s">
        <v>36</v>
      </c>
      <c r="W43" s="10">
        <f t="shared" si="2"/>
        <v>7000</v>
      </c>
      <c r="X43" s="10" t="s">
        <v>37</v>
      </c>
      <c r="Y43" s="10" t="s">
        <v>38</v>
      </c>
      <c r="Z43" s="15">
        <f t="shared" si="3"/>
        <v>17.948717948717949</v>
      </c>
      <c r="AA43" s="10"/>
    </row>
    <row r="44" spans="1:27">
      <c r="A44" s="10">
        <f>SUBTOTAL(3,C$2:C44)</f>
        <v>43</v>
      </c>
      <c r="B44" s="10" t="s">
        <v>27</v>
      </c>
      <c r="C44" s="11" t="s">
        <v>39</v>
      </c>
      <c r="D44" s="10" t="s">
        <v>29</v>
      </c>
      <c r="E44" s="10" t="s">
        <v>30</v>
      </c>
      <c r="F44" s="10" t="s">
        <v>131</v>
      </c>
      <c r="G44" s="10" t="s">
        <v>41</v>
      </c>
      <c r="H44" s="12" t="s">
        <v>132</v>
      </c>
      <c r="I44" s="13">
        <v>46130</v>
      </c>
      <c r="J44" s="10">
        <f t="shared" ca="1" si="0"/>
        <v>69</v>
      </c>
      <c r="K44" s="10">
        <f t="shared" si="8"/>
        <v>46162</v>
      </c>
      <c r="L44" s="10" t="s">
        <v>107</v>
      </c>
      <c r="M44" s="10">
        <v>19000</v>
      </c>
      <c r="N44" s="10">
        <v>17000</v>
      </c>
      <c r="O44" s="13">
        <v>46130</v>
      </c>
      <c r="P44" s="10">
        <f t="shared" si="1"/>
        <v>2000</v>
      </c>
      <c r="Q44" s="14" t="s">
        <v>30</v>
      </c>
      <c r="R44" s="10" t="s">
        <v>34</v>
      </c>
      <c r="S44" s="10">
        <v>22000</v>
      </c>
      <c r="T44" s="10" t="s">
        <v>133</v>
      </c>
      <c r="U44" s="13">
        <v>46162</v>
      </c>
      <c r="V44" s="10" t="s">
        <v>36</v>
      </c>
      <c r="W44" s="10">
        <f t="shared" si="2"/>
        <v>3000</v>
      </c>
      <c r="X44" s="10" t="s">
        <v>37</v>
      </c>
      <c r="Y44" s="10" t="s">
        <v>38</v>
      </c>
      <c r="Z44" s="15">
        <f t="shared" si="3"/>
        <v>15.789473684210526</v>
      </c>
      <c r="AA44" s="10"/>
    </row>
    <row r="45" spans="1:27">
      <c r="A45" s="10">
        <f>SUBTOTAL(3,C$2:C45)</f>
        <v>44</v>
      </c>
      <c r="B45" s="10" t="s">
        <v>27</v>
      </c>
      <c r="C45" s="11" t="s">
        <v>45</v>
      </c>
      <c r="D45" s="10" t="s">
        <v>29</v>
      </c>
      <c r="E45" s="10" t="s">
        <v>30</v>
      </c>
      <c r="F45" s="10" t="s">
        <v>134</v>
      </c>
      <c r="G45" s="10" t="s">
        <v>83</v>
      </c>
      <c r="H45" s="12" t="s">
        <v>135</v>
      </c>
      <c r="I45" s="13">
        <v>46129</v>
      </c>
      <c r="J45" s="10">
        <f t="shared" ca="1" si="0"/>
        <v>70</v>
      </c>
      <c r="K45" s="10">
        <f t="shared" si="8"/>
        <v>46148</v>
      </c>
      <c r="L45" s="10" t="s">
        <v>136</v>
      </c>
      <c r="M45" s="10">
        <v>27500</v>
      </c>
      <c r="N45" s="10">
        <v>24500</v>
      </c>
      <c r="O45" s="13">
        <v>46130</v>
      </c>
      <c r="P45" s="10">
        <f t="shared" si="1"/>
        <v>3000</v>
      </c>
      <c r="Q45" s="14" t="s">
        <v>30</v>
      </c>
      <c r="R45" s="10" t="s">
        <v>34</v>
      </c>
      <c r="S45" s="10">
        <v>32000</v>
      </c>
      <c r="T45" s="10" t="s">
        <v>88</v>
      </c>
      <c r="U45" s="13">
        <v>46148</v>
      </c>
      <c r="V45" s="10" t="s">
        <v>36</v>
      </c>
      <c r="W45" s="10">
        <f t="shared" si="2"/>
        <v>4500</v>
      </c>
      <c r="X45" s="10" t="s">
        <v>37</v>
      </c>
      <c r="Y45" s="10" t="s">
        <v>38</v>
      </c>
      <c r="Z45" s="15">
        <f t="shared" si="3"/>
        <v>16.363636363636363</v>
      </c>
      <c r="AA45" s="10"/>
    </row>
    <row r="46" spans="1:27">
      <c r="A46" s="10">
        <f>SUBTOTAL(3,C$2:C46)</f>
        <v>45</v>
      </c>
      <c r="B46" s="10" t="s">
        <v>27</v>
      </c>
      <c r="C46" s="11" t="s">
        <v>39</v>
      </c>
      <c r="D46" s="10" t="s">
        <v>29</v>
      </c>
      <c r="E46" s="10" t="s">
        <v>30</v>
      </c>
      <c r="F46" s="10" t="s">
        <v>137</v>
      </c>
      <c r="G46" s="10" t="s">
        <v>41</v>
      </c>
      <c r="H46" s="12" t="s">
        <v>138</v>
      </c>
      <c r="I46" s="13">
        <v>46128</v>
      </c>
      <c r="J46" s="10">
        <f t="shared" ca="1" si="0"/>
        <v>71</v>
      </c>
      <c r="K46" s="10">
        <f t="shared" si="8"/>
        <v>46162</v>
      </c>
      <c r="L46" s="10" t="s">
        <v>107</v>
      </c>
      <c r="M46" s="10">
        <v>19000</v>
      </c>
      <c r="N46" s="10">
        <v>17000</v>
      </c>
      <c r="O46" s="13">
        <v>46130</v>
      </c>
      <c r="P46" s="10">
        <f t="shared" si="1"/>
        <v>2000</v>
      </c>
      <c r="Q46" s="14" t="s">
        <v>30</v>
      </c>
      <c r="R46" s="10" t="s">
        <v>34</v>
      </c>
      <c r="S46" s="10">
        <v>22000</v>
      </c>
      <c r="T46" s="10" t="s">
        <v>139</v>
      </c>
      <c r="U46" s="13">
        <v>46162</v>
      </c>
      <c r="V46" s="10" t="s">
        <v>36</v>
      </c>
      <c r="W46" s="10">
        <f t="shared" si="2"/>
        <v>3000</v>
      </c>
      <c r="X46" s="10" t="s">
        <v>37</v>
      </c>
      <c r="Y46" s="10" t="s">
        <v>38</v>
      </c>
      <c r="Z46" s="15">
        <f t="shared" si="3"/>
        <v>15.789473684210526</v>
      </c>
      <c r="AA46" s="10"/>
    </row>
    <row r="47" spans="1:27">
      <c r="A47" s="10">
        <f>SUBTOTAL(3,C$2:C47)</f>
        <v>46</v>
      </c>
      <c r="B47" s="10" t="s">
        <v>27</v>
      </c>
      <c r="C47" s="11" t="s">
        <v>49</v>
      </c>
      <c r="D47" s="10" t="s">
        <v>29</v>
      </c>
      <c r="E47" s="10" t="s">
        <v>30</v>
      </c>
      <c r="F47" s="10" t="s">
        <v>140</v>
      </c>
      <c r="G47" s="10" t="s">
        <v>32</v>
      </c>
      <c r="H47" s="12" t="s">
        <v>141</v>
      </c>
      <c r="I47" s="13">
        <v>46130</v>
      </c>
      <c r="J47" s="10">
        <f t="shared" ca="1" si="0"/>
        <v>69</v>
      </c>
      <c r="K47" s="10">
        <f t="shared" si="8"/>
        <v>46162</v>
      </c>
      <c r="L47" s="10" t="s">
        <v>142</v>
      </c>
      <c r="M47" s="10">
        <v>39000</v>
      </c>
      <c r="N47" s="10">
        <v>34000</v>
      </c>
      <c r="O47" s="13">
        <v>46132</v>
      </c>
      <c r="P47" s="10">
        <f t="shared" si="1"/>
        <v>5000</v>
      </c>
      <c r="Q47" s="14" t="s">
        <v>30</v>
      </c>
      <c r="R47" s="10" t="s">
        <v>34</v>
      </c>
      <c r="S47" s="10">
        <v>46000</v>
      </c>
      <c r="T47" s="10" t="s">
        <v>115</v>
      </c>
      <c r="U47" s="13">
        <v>46162</v>
      </c>
      <c r="V47" s="10" t="s">
        <v>36</v>
      </c>
      <c r="W47" s="10">
        <f t="shared" si="2"/>
        <v>7000</v>
      </c>
      <c r="X47" s="10" t="s">
        <v>37</v>
      </c>
      <c r="Y47" s="10" t="s">
        <v>38</v>
      </c>
      <c r="Z47" s="15">
        <f t="shared" si="3"/>
        <v>17.948717948717949</v>
      </c>
      <c r="AA47" s="10"/>
    </row>
    <row r="48" spans="1:27">
      <c r="A48" s="10">
        <f>SUBTOTAL(3,C$2:C48)</f>
        <v>47</v>
      </c>
      <c r="B48" s="10" t="s">
        <v>27</v>
      </c>
      <c r="C48" s="11" t="s">
        <v>39</v>
      </c>
      <c r="D48" s="10" t="s">
        <v>29</v>
      </c>
      <c r="E48" s="10" t="s">
        <v>30</v>
      </c>
      <c r="F48" s="10" t="s">
        <v>143</v>
      </c>
      <c r="G48" s="10" t="s">
        <v>41</v>
      </c>
      <c r="H48" s="12" t="s">
        <v>144</v>
      </c>
      <c r="I48" s="13">
        <v>46130</v>
      </c>
      <c r="J48" s="10">
        <f t="shared" ca="1" si="0"/>
        <v>69</v>
      </c>
      <c r="K48" s="10">
        <f t="shared" si="8"/>
        <v>46162</v>
      </c>
      <c r="L48" s="10" t="s">
        <v>107</v>
      </c>
      <c r="M48" s="10">
        <v>19000</v>
      </c>
      <c r="N48" s="10">
        <v>17000</v>
      </c>
      <c r="O48" s="13">
        <v>46132</v>
      </c>
      <c r="P48" s="10">
        <f t="shared" si="1"/>
        <v>2000</v>
      </c>
      <c r="Q48" s="14" t="s">
        <v>30</v>
      </c>
      <c r="R48" s="10" t="s">
        <v>34</v>
      </c>
      <c r="S48" s="10">
        <v>22000</v>
      </c>
      <c r="T48" s="10" t="s">
        <v>139</v>
      </c>
      <c r="U48" s="13">
        <v>46162</v>
      </c>
      <c r="V48" s="10" t="s">
        <v>36</v>
      </c>
      <c r="W48" s="10">
        <f t="shared" si="2"/>
        <v>3000</v>
      </c>
      <c r="X48" s="10" t="s">
        <v>37</v>
      </c>
      <c r="Y48" s="10" t="s">
        <v>38</v>
      </c>
      <c r="Z48" s="15">
        <f t="shared" si="3"/>
        <v>15.789473684210526</v>
      </c>
      <c r="AA48" s="10"/>
    </row>
    <row r="49" spans="1:27">
      <c r="A49" s="10">
        <f>SUBTOTAL(3,C$2:C49)</f>
        <v>48</v>
      </c>
      <c r="B49" s="10" t="s">
        <v>27</v>
      </c>
      <c r="C49" s="11" t="s">
        <v>28</v>
      </c>
      <c r="D49" s="10" t="s">
        <v>29</v>
      </c>
      <c r="E49" s="10" t="s">
        <v>30</v>
      </c>
      <c r="F49" s="10" t="s">
        <v>31</v>
      </c>
      <c r="G49" s="10" t="s">
        <v>83</v>
      </c>
      <c r="H49" s="12" t="s">
        <v>145</v>
      </c>
      <c r="I49" s="13">
        <v>46131</v>
      </c>
      <c r="J49" s="10">
        <f t="shared" ca="1" si="0"/>
        <v>68</v>
      </c>
      <c r="K49" s="10">
        <f t="shared" si="8"/>
        <v>46162</v>
      </c>
      <c r="L49" s="10" t="s">
        <v>33</v>
      </c>
      <c r="M49" s="10">
        <v>39000</v>
      </c>
      <c r="N49" s="10">
        <v>34000</v>
      </c>
      <c r="O49" s="13">
        <v>46132</v>
      </c>
      <c r="P49" s="10">
        <f t="shared" si="1"/>
        <v>5000</v>
      </c>
      <c r="Q49" s="14" t="s">
        <v>30</v>
      </c>
      <c r="R49" s="10" t="s">
        <v>34</v>
      </c>
      <c r="S49" s="10">
        <v>46000</v>
      </c>
      <c r="T49" s="10" t="s">
        <v>146</v>
      </c>
      <c r="U49" s="13">
        <v>46162</v>
      </c>
      <c r="V49" s="10" t="s">
        <v>36</v>
      </c>
      <c r="W49" s="10">
        <f t="shared" si="2"/>
        <v>7000</v>
      </c>
      <c r="X49" s="10" t="s">
        <v>37</v>
      </c>
      <c r="Y49" s="10" t="s">
        <v>38</v>
      </c>
      <c r="Z49" s="15">
        <f t="shared" si="3"/>
        <v>17.948717948717949</v>
      </c>
      <c r="AA49" s="10"/>
    </row>
    <row r="50" spans="1:27">
      <c r="A50" s="10">
        <f>SUBTOTAL(3,C$2:C50)</f>
        <v>49</v>
      </c>
      <c r="B50" s="10" t="s">
        <v>27</v>
      </c>
      <c r="C50" s="11" t="s">
        <v>45</v>
      </c>
      <c r="D50" s="10" t="s">
        <v>29</v>
      </c>
      <c r="E50" s="10" t="s">
        <v>30</v>
      </c>
      <c r="F50" s="10" t="s">
        <v>102</v>
      </c>
      <c r="G50" s="10" t="s">
        <v>83</v>
      </c>
      <c r="H50" s="12" t="s">
        <v>147</v>
      </c>
      <c r="I50" s="13">
        <v>46130</v>
      </c>
      <c r="J50" s="10">
        <f t="shared" ca="1" si="0"/>
        <v>69</v>
      </c>
      <c r="K50" s="10">
        <f t="shared" si="8"/>
        <v>46148</v>
      </c>
      <c r="L50" s="10" t="s">
        <v>136</v>
      </c>
      <c r="M50" s="10">
        <v>27500</v>
      </c>
      <c r="N50" s="10">
        <v>24500</v>
      </c>
      <c r="O50" s="13">
        <v>46132</v>
      </c>
      <c r="P50" s="10">
        <f t="shared" si="1"/>
        <v>3000</v>
      </c>
      <c r="Q50" s="14" t="s">
        <v>30</v>
      </c>
      <c r="R50" s="10" t="s">
        <v>34</v>
      </c>
      <c r="S50" s="10">
        <v>32000</v>
      </c>
      <c r="T50" s="10" t="s">
        <v>148</v>
      </c>
      <c r="U50" s="13">
        <v>46148</v>
      </c>
      <c r="V50" s="10" t="s">
        <v>36</v>
      </c>
      <c r="W50" s="10">
        <f t="shared" si="2"/>
        <v>4500</v>
      </c>
      <c r="X50" s="10" t="s">
        <v>37</v>
      </c>
      <c r="Y50" s="10" t="s">
        <v>38</v>
      </c>
      <c r="Z50" s="15">
        <f t="shared" si="3"/>
        <v>16.363636363636363</v>
      </c>
      <c r="AA50" s="10"/>
    </row>
    <row r="51" spans="1:27">
      <c r="A51" s="10">
        <f>SUBTOTAL(3,C$2:C51)</f>
        <v>50</v>
      </c>
      <c r="B51" s="10" t="s">
        <v>27</v>
      </c>
      <c r="C51" s="11" t="s">
        <v>39</v>
      </c>
      <c r="D51" s="10" t="s">
        <v>29</v>
      </c>
      <c r="E51" s="10" t="s">
        <v>30</v>
      </c>
      <c r="F51" s="10" t="s">
        <v>149</v>
      </c>
      <c r="G51" s="10" t="s">
        <v>41</v>
      </c>
      <c r="H51" s="12" t="s">
        <v>150</v>
      </c>
      <c r="I51" s="13">
        <v>46132</v>
      </c>
      <c r="J51" s="10">
        <f t="shared" ca="1" si="0"/>
        <v>67</v>
      </c>
      <c r="K51" s="10">
        <f t="shared" si="8"/>
        <v>46162</v>
      </c>
      <c r="L51" s="10" t="s">
        <v>107</v>
      </c>
      <c r="M51" s="10">
        <v>19000</v>
      </c>
      <c r="N51" s="10">
        <v>17000</v>
      </c>
      <c r="O51" s="13">
        <v>46133</v>
      </c>
      <c r="P51" s="10">
        <f t="shared" si="1"/>
        <v>2000</v>
      </c>
      <c r="Q51" s="14" t="s">
        <v>30</v>
      </c>
      <c r="R51" s="10" t="s">
        <v>34</v>
      </c>
      <c r="S51" s="10">
        <v>22000</v>
      </c>
      <c r="T51" s="10" t="s">
        <v>151</v>
      </c>
      <c r="U51" s="13">
        <v>46162</v>
      </c>
      <c r="V51" s="10" t="s">
        <v>36</v>
      </c>
      <c r="W51" s="10">
        <f t="shared" si="2"/>
        <v>3000</v>
      </c>
      <c r="X51" s="10" t="s">
        <v>37</v>
      </c>
      <c r="Y51" s="10" t="s">
        <v>38</v>
      </c>
      <c r="Z51" s="15">
        <f t="shared" si="3"/>
        <v>15.789473684210526</v>
      </c>
      <c r="AA51" s="10"/>
    </row>
    <row r="52" spans="1:27">
      <c r="A52" s="10">
        <f>SUBTOTAL(3,C$2:C52)</f>
        <v>51</v>
      </c>
      <c r="B52" s="10" t="s">
        <v>27</v>
      </c>
      <c r="C52" s="11" t="s">
        <v>45</v>
      </c>
      <c r="D52" s="10" t="s">
        <v>29</v>
      </c>
      <c r="E52" s="10" t="s">
        <v>30</v>
      </c>
      <c r="F52" s="10" t="s">
        <v>152</v>
      </c>
      <c r="G52" s="10" t="s">
        <v>83</v>
      </c>
      <c r="H52" s="12" t="s">
        <v>153</v>
      </c>
      <c r="I52" s="13">
        <v>46133</v>
      </c>
      <c r="J52" s="10">
        <f t="shared" ca="1" si="0"/>
        <v>66</v>
      </c>
      <c r="K52" s="10">
        <f t="shared" si="8"/>
        <v>46162</v>
      </c>
      <c r="L52" s="10" t="s">
        <v>107</v>
      </c>
      <c r="M52" s="10">
        <v>39000</v>
      </c>
      <c r="N52" s="10">
        <v>34000</v>
      </c>
      <c r="O52" s="13">
        <v>46133</v>
      </c>
      <c r="P52" s="10">
        <f t="shared" si="1"/>
        <v>5000</v>
      </c>
      <c r="Q52" s="14" t="s">
        <v>30</v>
      </c>
      <c r="R52" s="10" t="s">
        <v>34</v>
      </c>
      <c r="S52" s="10">
        <v>46000</v>
      </c>
      <c r="T52" s="10" t="s">
        <v>146</v>
      </c>
      <c r="U52" s="13">
        <v>46162</v>
      </c>
      <c r="V52" s="10" t="s">
        <v>36</v>
      </c>
      <c r="W52" s="10">
        <f t="shared" si="2"/>
        <v>7000</v>
      </c>
      <c r="X52" s="10" t="s">
        <v>37</v>
      </c>
      <c r="Y52" s="10" t="s">
        <v>38</v>
      </c>
      <c r="Z52" s="15">
        <f t="shared" si="3"/>
        <v>17.948717948717949</v>
      </c>
      <c r="AA52" s="10"/>
    </row>
    <row r="53" spans="1:27">
      <c r="A53" s="10">
        <f>SUBTOTAL(3,C$2:C53)</f>
        <v>52</v>
      </c>
      <c r="B53" s="10" t="s">
        <v>27</v>
      </c>
      <c r="C53" s="11" t="s">
        <v>39</v>
      </c>
      <c r="D53" s="10" t="s">
        <v>29</v>
      </c>
      <c r="E53" s="10" t="s">
        <v>30</v>
      </c>
      <c r="F53" s="10" t="s">
        <v>96</v>
      </c>
      <c r="G53" s="10" t="s">
        <v>41</v>
      </c>
      <c r="H53" s="12" t="s">
        <v>154</v>
      </c>
      <c r="I53" s="13">
        <v>46133</v>
      </c>
      <c r="J53" s="10">
        <f t="shared" ca="1" si="0"/>
        <v>66</v>
      </c>
      <c r="K53" s="10">
        <f t="shared" si="8"/>
        <v>46162</v>
      </c>
      <c r="L53" s="10" t="s">
        <v>107</v>
      </c>
      <c r="M53" s="10">
        <v>19000</v>
      </c>
      <c r="N53" s="10">
        <v>17000</v>
      </c>
      <c r="O53" s="13">
        <v>46134</v>
      </c>
      <c r="P53" s="10">
        <f t="shared" si="1"/>
        <v>2000</v>
      </c>
      <c r="Q53" s="14" t="s">
        <v>30</v>
      </c>
      <c r="R53" s="10" t="s">
        <v>34</v>
      </c>
      <c r="S53" s="10">
        <v>22000</v>
      </c>
      <c r="T53" s="10" t="s">
        <v>133</v>
      </c>
      <c r="U53" s="13">
        <v>46162</v>
      </c>
      <c r="V53" s="10" t="s">
        <v>36</v>
      </c>
      <c r="W53" s="10">
        <f t="shared" si="2"/>
        <v>3000</v>
      </c>
      <c r="X53" s="10" t="s">
        <v>37</v>
      </c>
      <c r="Y53" s="10" t="s">
        <v>38</v>
      </c>
      <c r="Z53" s="15">
        <f t="shared" si="3"/>
        <v>15.789473684210526</v>
      </c>
      <c r="AA53" s="10"/>
    </row>
    <row r="54" spans="1:27">
      <c r="A54" s="10">
        <f>SUBTOTAL(3,C$2:C54)</f>
        <v>53</v>
      </c>
      <c r="B54" s="10" t="s">
        <v>27</v>
      </c>
      <c r="C54" s="11" t="s">
        <v>39</v>
      </c>
      <c r="D54" s="10" t="s">
        <v>29</v>
      </c>
      <c r="E54" s="10" t="s">
        <v>30</v>
      </c>
      <c r="F54" s="10" t="s">
        <v>155</v>
      </c>
      <c r="G54" s="10" t="s">
        <v>41</v>
      </c>
      <c r="H54" s="16" t="s">
        <v>156</v>
      </c>
      <c r="I54" s="13">
        <v>46133</v>
      </c>
      <c r="J54" s="10">
        <f t="shared" ca="1" si="0"/>
        <v>66</v>
      </c>
      <c r="K54" s="10" t="str">
        <f t="shared" si="8"/>
        <v>Pending</v>
      </c>
      <c r="L54" s="10" t="s">
        <v>107</v>
      </c>
      <c r="M54" s="10">
        <v>19000</v>
      </c>
      <c r="N54" s="10">
        <v>17000</v>
      </c>
      <c r="O54" s="13">
        <v>46134</v>
      </c>
      <c r="P54" s="10">
        <f t="shared" si="1"/>
        <v>2000</v>
      </c>
      <c r="Q54" s="14" t="s">
        <v>30</v>
      </c>
      <c r="R54" s="10" t="s">
        <v>34</v>
      </c>
      <c r="S54" s="10">
        <v>22000</v>
      </c>
      <c r="T54" s="10" t="str">
        <f>VLOOKUP(H54,'[1]MIS Sanjeev Auto'!$H$1:$T$168,13,0)</f>
        <v>Pending</v>
      </c>
      <c r="U54" s="13" t="str">
        <f>VLOOKUP(H54,'[1]MIS Sanjeev Auto'!$H$1:$U$168,14,0)</f>
        <v>Pending</v>
      </c>
      <c r="V54" s="10" t="s">
        <v>36</v>
      </c>
      <c r="W54" s="10">
        <f t="shared" si="2"/>
        <v>3000</v>
      </c>
      <c r="X54" s="10" t="s">
        <v>37</v>
      </c>
      <c r="Y54" s="10" t="s">
        <v>38</v>
      </c>
      <c r="Z54" s="15">
        <f t="shared" si="3"/>
        <v>15.789473684210526</v>
      </c>
      <c r="AA54" s="10"/>
    </row>
    <row r="55" spans="1:27">
      <c r="A55" s="10">
        <f>SUBTOTAL(3,C$2:C55)</f>
        <v>54</v>
      </c>
      <c r="B55" s="10" t="s">
        <v>27</v>
      </c>
      <c r="C55" s="11" t="s">
        <v>45</v>
      </c>
      <c r="D55" s="10" t="s">
        <v>29</v>
      </c>
      <c r="E55" s="10" t="s">
        <v>30</v>
      </c>
      <c r="F55" s="10" t="s">
        <v>157</v>
      </c>
      <c r="G55" s="10" t="s">
        <v>83</v>
      </c>
      <c r="H55" s="12" t="s">
        <v>158</v>
      </c>
      <c r="I55" s="13">
        <v>46133</v>
      </c>
      <c r="J55" s="10">
        <f t="shared" ca="1" si="0"/>
        <v>66</v>
      </c>
      <c r="K55" s="10">
        <f t="shared" si="8"/>
        <v>46148</v>
      </c>
      <c r="L55" s="10" t="s">
        <v>159</v>
      </c>
      <c r="M55" s="10">
        <v>27500</v>
      </c>
      <c r="N55" s="10">
        <v>24500</v>
      </c>
      <c r="O55" s="13">
        <v>46134</v>
      </c>
      <c r="P55" s="10">
        <f t="shared" si="1"/>
        <v>3000</v>
      </c>
      <c r="Q55" s="14" t="s">
        <v>30</v>
      </c>
      <c r="R55" s="10" t="s">
        <v>34</v>
      </c>
      <c r="S55" s="10">
        <v>32000</v>
      </c>
      <c r="T55" s="10" t="s">
        <v>148</v>
      </c>
      <c r="U55" s="13">
        <v>46148</v>
      </c>
      <c r="V55" s="10" t="s">
        <v>36</v>
      </c>
      <c r="W55" s="10">
        <f t="shared" si="2"/>
        <v>4500</v>
      </c>
      <c r="X55" s="10" t="s">
        <v>37</v>
      </c>
      <c r="Y55" s="10" t="s">
        <v>38</v>
      </c>
      <c r="Z55" s="15">
        <f t="shared" si="3"/>
        <v>16.363636363636363</v>
      </c>
      <c r="AA55" s="10"/>
    </row>
    <row r="56" spans="1:27">
      <c r="A56" s="10">
        <f>SUBTOTAL(3,C$2:C56)</f>
        <v>55</v>
      </c>
      <c r="B56" s="10" t="s">
        <v>27</v>
      </c>
      <c r="C56" s="11" t="s">
        <v>28</v>
      </c>
      <c r="D56" s="10" t="s">
        <v>29</v>
      </c>
      <c r="E56" s="10" t="s">
        <v>30</v>
      </c>
      <c r="F56" s="10" t="s">
        <v>160</v>
      </c>
      <c r="G56" s="10" t="s">
        <v>83</v>
      </c>
      <c r="H56" s="12" t="s">
        <v>161</v>
      </c>
      <c r="I56" s="13">
        <v>46134</v>
      </c>
      <c r="J56" s="10">
        <f t="shared" ca="1" si="0"/>
        <v>65</v>
      </c>
      <c r="K56" s="10">
        <f t="shared" si="8"/>
        <v>46162</v>
      </c>
      <c r="L56" s="10" t="s">
        <v>33</v>
      </c>
      <c r="M56" s="10">
        <v>39000</v>
      </c>
      <c r="N56" s="10">
        <v>34000</v>
      </c>
      <c r="O56" s="13">
        <v>46134</v>
      </c>
      <c r="P56" s="10">
        <f t="shared" si="1"/>
        <v>5000</v>
      </c>
      <c r="Q56" s="14" t="s">
        <v>30</v>
      </c>
      <c r="R56" s="10" t="s">
        <v>34</v>
      </c>
      <c r="S56" s="10">
        <v>46000</v>
      </c>
      <c r="T56" s="10" t="s">
        <v>162</v>
      </c>
      <c r="U56" s="13">
        <v>46162</v>
      </c>
      <c r="V56" s="10" t="s">
        <v>36</v>
      </c>
      <c r="W56" s="10">
        <f t="shared" si="2"/>
        <v>7000</v>
      </c>
      <c r="X56" s="10" t="s">
        <v>37</v>
      </c>
      <c r="Y56" s="10" t="s">
        <v>38</v>
      </c>
      <c r="Z56" s="15">
        <f t="shared" si="3"/>
        <v>17.948717948717949</v>
      </c>
      <c r="AA56" s="10"/>
    </row>
    <row r="57" spans="1:27">
      <c r="A57" s="10">
        <f>SUBTOTAL(3,C$2:C57)</f>
        <v>56</v>
      </c>
      <c r="B57" s="10" t="s">
        <v>27</v>
      </c>
      <c r="C57" s="11" t="s">
        <v>28</v>
      </c>
      <c r="D57" s="10" t="s">
        <v>29</v>
      </c>
      <c r="E57" s="10" t="s">
        <v>30</v>
      </c>
      <c r="F57" s="10" t="s">
        <v>163</v>
      </c>
      <c r="G57" s="10" t="s">
        <v>83</v>
      </c>
      <c r="H57" s="12" t="s">
        <v>164</v>
      </c>
      <c r="I57" s="13">
        <v>46135</v>
      </c>
      <c r="J57" s="10">
        <f t="shared" ca="1" si="0"/>
        <v>64</v>
      </c>
      <c r="K57" s="10">
        <f t="shared" si="8"/>
        <v>46162</v>
      </c>
      <c r="L57" s="10" t="s">
        <v>33</v>
      </c>
      <c r="M57" s="10">
        <v>39000</v>
      </c>
      <c r="N57" s="10">
        <v>34000</v>
      </c>
      <c r="O57" s="13">
        <v>46135</v>
      </c>
      <c r="P57" s="10">
        <f t="shared" si="1"/>
        <v>5000</v>
      </c>
      <c r="Q57" s="14" t="s">
        <v>30</v>
      </c>
      <c r="R57" s="10" t="s">
        <v>34</v>
      </c>
      <c r="S57" s="10">
        <v>46000</v>
      </c>
      <c r="T57" s="10" t="s">
        <v>162</v>
      </c>
      <c r="U57" s="13">
        <v>46162</v>
      </c>
      <c r="V57" s="10" t="s">
        <v>36</v>
      </c>
      <c r="W57" s="10">
        <f t="shared" si="2"/>
        <v>7000</v>
      </c>
      <c r="X57" s="10" t="s">
        <v>37</v>
      </c>
      <c r="Y57" s="10" t="s">
        <v>38</v>
      </c>
      <c r="Z57" s="15">
        <f t="shared" si="3"/>
        <v>17.948717948717949</v>
      </c>
      <c r="AA57" s="10"/>
    </row>
    <row r="58" spans="1:27">
      <c r="A58" s="10">
        <f>SUBTOTAL(3,C$2:C58)</f>
        <v>57</v>
      </c>
      <c r="B58" s="10" t="s">
        <v>27</v>
      </c>
      <c r="C58" s="11" t="s">
        <v>39</v>
      </c>
      <c r="D58" s="10" t="s">
        <v>29</v>
      </c>
      <c r="E58" s="10" t="s">
        <v>30</v>
      </c>
      <c r="F58" s="10" t="s">
        <v>165</v>
      </c>
      <c r="G58" s="10" t="s">
        <v>41</v>
      </c>
      <c r="H58" s="12" t="s">
        <v>166</v>
      </c>
      <c r="I58" s="13">
        <v>46134</v>
      </c>
      <c r="J58" s="10">
        <f t="shared" ca="1" si="0"/>
        <v>65</v>
      </c>
      <c r="K58" s="10">
        <f t="shared" si="8"/>
        <v>46162</v>
      </c>
      <c r="L58" s="10" t="s">
        <v>107</v>
      </c>
      <c r="M58" s="10">
        <v>19000</v>
      </c>
      <c r="N58" s="10">
        <v>17000</v>
      </c>
      <c r="O58" s="13">
        <v>46135</v>
      </c>
      <c r="P58" s="10">
        <f t="shared" si="1"/>
        <v>2000</v>
      </c>
      <c r="Q58" s="14" t="s">
        <v>30</v>
      </c>
      <c r="R58" s="10" t="s">
        <v>34</v>
      </c>
      <c r="S58" s="10">
        <v>22000</v>
      </c>
      <c r="T58" s="10" t="s">
        <v>167</v>
      </c>
      <c r="U58" s="13">
        <v>46162</v>
      </c>
      <c r="V58" s="10" t="s">
        <v>36</v>
      </c>
      <c r="W58" s="10">
        <f t="shared" si="2"/>
        <v>3000</v>
      </c>
      <c r="X58" s="10" t="s">
        <v>37</v>
      </c>
      <c r="Y58" s="10" t="s">
        <v>38</v>
      </c>
      <c r="Z58" s="15">
        <f t="shared" si="3"/>
        <v>15.789473684210526</v>
      </c>
      <c r="AA58" s="10"/>
    </row>
    <row r="59" spans="1:27">
      <c r="A59" s="10">
        <f>SUBTOTAL(3,C$2:C59)</f>
        <v>58</v>
      </c>
      <c r="B59" s="10" t="s">
        <v>27</v>
      </c>
      <c r="C59" s="11" t="s">
        <v>39</v>
      </c>
      <c r="D59" s="10" t="s">
        <v>29</v>
      </c>
      <c r="E59" s="10" t="s">
        <v>30</v>
      </c>
      <c r="F59" s="10" t="s">
        <v>168</v>
      </c>
      <c r="G59" s="10" t="s">
        <v>41</v>
      </c>
      <c r="H59" s="12" t="s">
        <v>169</v>
      </c>
      <c r="I59" s="13">
        <v>46134</v>
      </c>
      <c r="J59" s="10">
        <f t="shared" ca="1" si="0"/>
        <v>65</v>
      </c>
      <c r="K59" s="10">
        <f t="shared" si="8"/>
        <v>46162</v>
      </c>
      <c r="L59" s="10" t="s">
        <v>107</v>
      </c>
      <c r="M59" s="10">
        <v>19000</v>
      </c>
      <c r="N59" s="10">
        <v>17000</v>
      </c>
      <c r="O59" s="13">
        <v>46135</v>
      </c>
      <c r="P59" s="10">
        <f t="shared" si="1"/>
        <v>2000</v>
      </c>
      <c r="Q59" s="14" t="s">
        <v>30</v>
      </c>
      <c r="R59" s="10" t="s">
        <v>34</v>
      </c>
      <c r="S59" s="10">
        <v>22000</v>
      </c>
      <c r="T59" s="10" t="s">
        <v>133</v>
      </c>
      <c r="U59" s="13">
        <v>46162</v>
      </c>
      <c r="V59" s="10" t="s">
        <v>36</v>
      </c>
      <c r="W59" s="10">
        <f t="shared" si="2"/>
        <v>3000</v>
      </c>
      <c r="X59" s="10" t="s">
        <v>37</v>
      </c>
      <c r="Y59" s="10" t="s">
        <v>38</v>
      </c>
      <c r="Z59" s="15">
        <f t="shared" si="3"/>
        <v>15.789473684210526</v>
      </c>
      <c r="AA59" s="10"/>
    </row>
    <row r="60" spans="1:27">
      <c r="A60" s="10">
        <f>SUBTOTAL(3,C$2:C60)</f>
        <v>59</v>
      </c>
      <c r="B60" s="10" t="s">
        <v>27</v>
      </c>
      <c r="C60" s="11" t="s">
        <v>39</v>
      </c>
      <c r="D60" s="10" t="s">
        <v>29</v>
      </c>
      <c r="E60" s="10" t="s">
        <v>30</v>
      </c>
      <c r="F60" s="10" t="s">
        <v>170</v>
      </c>
      <c r="G60" s="10" t="s">
        <v>41</v>
      </c>
      <c r="H60" s="12" t="s">
        <v>171</v>
      </c>
      <c r="I60" s="13">
        <v>46135</v>
      </c>
      <c r="J60" s="10">
        <f t="shared" ca="1" si="0"/>
        <v>64</v>
      </c>
      <c r="K60" s="10">
        <f t="shared" si="8"/>
        <v>46162</v>
      </c>
      <c r="L60" s="10" t="s">
        <v>172</v>
      </c>
      <c r="M60" s="10">
        <v>19000</v>
      </c>
      <c r="N60" s="10">
        <v>17000</v>
      </c>
      <c r="O60" s="13">
        <v>46136</v>
      </c>
      <c r="P60" s="10">
        <f t="shared" si="1"/>
        <v>2000</v>
      </c>
      <c r="Q60" s="14" t="s">
        <v>30</v>
      </c>
      <c r="R60" s="10" t="s">
        <v>34</v>
      </c>
      <c r="S60" s="10">
        <v>22000</v>
      </c>
      <c r="T60" s="10" t="s">
        <v>173</v>
      </c>
      <c r="U60" s="13">
        <v>46162</v>
      </c>
      <c r="V60" s="10" t="s">
        <v>36</v>
      </c>
      <c r="W60" s="10">
        <f t="shared" si="2"/>
        <v>3000</v>
      </c>
      <c r="X60" s="10" t="s">
        <v>37</v>
      </c>
      <c r="Y60" s="10" t="s">
        <v>38</v>
      </c>
      <c r="Z60" s="15">
        <f t="shared" si="3"/>
        <v>15.789473684210526</v>
      </c>
      <c r="AA60" s="10"/>
    </row>
    <row r="61" spans="1:27">
      <c r="A61" s="10">
        <f>SUBTOTAL(3,C$2:C61)</f>
        <v>60</v>
      </c>
      <c r="B61" s="10" t="s">
        <v>27</v>
      </c>
      <c r="C61" s="11" t="s">
        <v>39</v>
      </c>
      <c r="D61" s="10" t="s">
        <v>29</v>
      </c>
      <c r="E61" s="10" t="s">
        <v>30</v>
      </c>
      <c r="F61" s="10" t="s">
        <v>174</v>
      </c>
      <c r="G61" s="10" t="s">
        <v>41</v>
      </c>
      <c r="H61" s="12" t="s">
        <v>175</v>
      </c>
      <c r="I61" s="13">
        <v>46136</v>
      </c>
      <c r="J61" s="10">
        <f t="shared" ca="1" si="0"/>
        <v>63</v>
      </c>
      <c r="K61" s="10">
        <f t="shared" si="8"/>
        <v>46162</v>
      </c>
      <c r="L61" s="10" t="s">
        <v>172</v>
      </c>
      <c r="M61" s="10">
        <v>19000</v>
      </c>
      <c r="N61" s="10">
        <v>17000</v>
      </c>
      <c r="O61" s="13">
        <v>46136</v>
      </c>
      <c r="P61" s="10">
        <f t="shared" si="1"/>
        <v>2000</v>
      </c>
      <c r="Q61" s="14" t="s">
        <v>30</v>
      </c>
      <c r="R61" s="10" t="s">
        <v>34</v>
      </c>
      <c r="S61" s="10">
        <v>22000</v>
      </c>
      <c r="T61" s="10" t="s">
        <v>176</v>
      </c>
      <c r="U61" s="13">
        <v>46162</v>
      </c>
      <c r="V61" s="10" t="s">
        <v>36</v>
      </c>
      <c r="W61" s="10">
        <f t="shared" si="2"/>
        <v>3000</v>
      </c>
      <c r="X61" s="10" t="s">
        <v>37</v>
      </c>
      <c r="Y61" s="10" t="s">
        <v>38</v>
      </c>
      <c r="Z61" s="15">
        <f t="shared" si="3"/>
        <v>15.789473684210526</v>
      </c>
      <c r="AA61" s="10"/>
    </row>
    <row r="62" spans="1:27">
      <c r="A62" s="10">
        <f>SUBTOTAL(3,C$2:C62)</f>
        <v>61</v>
      </c>
      <c r="B62" s="10" t="s">
        <v>27</v>
      </c>
      <c r="C62" s="11" t="s">
        <v>39</v>
      </c>
      <c r="D62" s="10" t="s">
        <v>29</v>
      </c>
      <c r="E62" s="10" t="s">
        <v>30</v>
      </c>
      <c r="F62" s="10" t="s">
        <v>40</v>
      </c>
      <c r="G62" s="10" t="s">
        <v>41</v>
      </c>
      <c r="H62" s="12" t="s">
        <v>177</v>
      </c>
      <c r="I62" s="13">
        <v>46136</v>
      </c>
      <c r="J62" s="10">
        <f t="shared" ca="1" si="0"/>
        <v>63</v>
      </c>
      <c r="K62" s="10">
        <f t="shared" si="8"/>
        <v>46162</v>
      </c>
      <c r="L62" s="10" t="s">
        <v>172</v>
      </c>
      <c r="M62" s="10">
        <v>19000</v>
      </c>
      <c r="N62" s="10">
        <v>17000</v>
      </c>
      <c r="O62" s="13">
        <v>46137</v>
      </c>
      <c r="P62" s="10">
        <f t="shared" si="1"/>
        <v>2000</v>
      </c>
      <c r="Q62" s="14" t="s">
        <v>30</v>
      </c>
      <c r="R62" s="10" t="s">
        <v>34</v>
      </c>
      <c r="S62" s="10">
        <v>22000</v>
      </c>
      <c r="T62" s="10" t="s">
        <v>173</v>
      </c>
      <c r="U62" s="13">
        <v>46162</v>
      </c>
      <c r="V62" s="10" t="s">
        <v>36</v>
      </c>
      <c r="W62" s="10">
        <f t="shared" si="2"/>
        <v>3000</v>
      </c>
      <c r="X62" s="10" t="s">
        <v>37</v>
      </c>
      <c r="Y62" s="10" t="s">
        <v>38</v>
      </c>
      <c r="Z62" s="15">
        <f t="shared" si="3"/>
        <v>15.789473684210526</v>
      </c>
      <c r="AA62" s="10"/>
    </row>
    <row r="63" spans="1:27">
      <c r="A63" s="10">
        <f>SUBTOTAL(3,C$2:C63)</f>
        <v>62</v>
      </c>
      <c r="B63" s="10" t="s">
        <v>27</v>
      </c>
      <c r="C63" s="11" t="s">
        <v>39</v>
      </c>
      <c r="D63" s="10" t="s">
        <v>29</v>
      </c>
      <c r="E63" s="10" t="s">
        <v>30</v>
      </c>
      <c r="F63" s="10" t="s">
        <v>178</v>
      </c>
      <c r="G63" s="10" t="s">
        <v>41</v>
      </c>
      <c r="H63" s="12" t="s">
        <v>179</v>
      </c>
      <c r="I63" s="13">
        <v>46136</v>
      </c>
      <c r="J63" s="10">
        <f t="shared" ca="1" si="0"/>
        <v>63</v>
      </c>
      <c r="K63" s="10">
        <f t="shared" si="8"/>
        <v>46162</v>
      </c>
      <c r="L63" s="10" t="s">
        <v>172</v>
      </c>
      <c r="M63" s="10">
        <v>19000</v>
      </c>
      <c r="N63" s="10">
        <v>17000</v>
      </c>
      <c r="O63" s="13">
        <v>46137</v>
      </c>
      <c r="P63" s="10">
        <f t="shared" si="1"/>
        <v>2000</v>
      </c>
      <c r="Q63" s="14" t="s">
        <v>30</v>
      </c>
      <c r="R63" s="10" t="s">
        <v>34</v>
      </c>
      <c r="S63" s="10">
        <v>22000</v>
      </c>
      <c r="T63" s="10" t="s">
        <v>173</v>
      </c>
      <c r="U63" s="13">
        <v>46162</v>
      </c>
      <c r="V63" s="10" t="s">
        <v>36</v>
      </c>
      <c r="W63" s="10">
        <f t="shared" si="2"/>
        <v>3000</v>
      </c>
      <c r="X63" s="10" t="s">
        <v>37</v>
      </c>
      <c r="Y63" s="10" t="s">
        <v>38</v>
      </c>
      <c r="Z63" s="15">
        <f t="shared" si="3"/>
        <v>15.789473684210526</v>
      </c>
      <c r="AA63" s="10"/>
    </row>
    <row r="64" spans="1:27">
      <c r="A64" s="10">
        <f>SUBTOTAL(3,C$2:C64)</f>
        <v>63</v>
      </c>
      <c r="B64" s="10" t="s">
        <v>27</v>
      </c>
      <c r="C64" s="11" t="s">
        <v>49</v>
      </c>
      <c r="D64" s="10" t="s">
        <v>29</v>
      </c>
      <c r="E64" s="10" t="s">
        <v>30</v>
      </c>
      <c r="F64" s="10" t="s">
        <v>180</v>
      </c>
      <c r="G64" s="10" t="s">
        <v>41</v>
      </c>
      <c r="H64" s="12" t="s">
        <v>181</v>
      </c>
      <c r="I64" s="13">
        <v>46136</v>
      </c>
      <c r="J64" s="10">
        <f t="shared" ca="1" si="0"/>
        <v>63</v>
      </c>
      <c r="K64" s="10">
        <f t="shared" si="8"/>
        <v>46162</v>
      </c>
      <c r="L64" s="10" t="s">
        <v>172</v>
      </c>
      <c r="M64" s="10">
        <v>39000</v>
      </c>
      <c r="N64" s="10">
        <v>34000</v>
      </c>
      <c r="O64" s="13">
        <v>46137</v>
      </c>
      <c r="P64" s="10">
        <f t="shared" si="1"/>
        <v>5000</v>
      </c>
      <c r="Q64" s="14" t="s">
        <v>30</v>
      </c>
      <c r="R64" s="10" t="s">
        <v>34</v>
      </c>
      <c r="S64" s="10">
        <v>46000</v>
      </c>
      <c r="T64" s="10" t="s">
        <v>182</v>
      </c>
      <c r="U64" s="13">
        <v>46162</v>
      </c>
      <c r="V64" s="10" t="s">
        <v>36</v>
      </c>
      <c r="W64" s="10">
        <f t="shared" si="2"/>
        <v>7000</v>
      </c>
      <c r="X64" s="10" t="s">
        <v>37</v>
      </c>
      <c r="Y64" s="10" t="s">
        <v>38</v>
      </c>
      <c r="Z64" s="15">
        <f t="shared" si="3"/>
        <v>17.948717948717949</v>
      </c>
      <c r="AA64" s="10"/>
    </row>
    <row r="65" spans="1:27">
      <c r="A65" s="10">
        <f>SUBTOTAL(3,C$2:C65)</f>
        <v>64</v>
      </c>
      <c r="B65" s="10" t="s">
        <v>27</v>
      </c>
      <c r="C65" s="11" t="s">
        <v>45</v>
      </c>
      <c r="D65" s="10" t="s">
        <v>29</v>
      </c>
      <c r="E65" s="10" t="s">
        <v>30</v>
      </c>
      <c r="F65" s="10" t="s">
        <v>152</v>
      </c>
      <c r="G65" s="10" t="s">
        <v>83</v>
      </c>
      <c r="H65" s="12" t="s">
        <v>183</v>
      </c>
      <c r="I65" s="13">
        <v>46136</v>
      </c>
      <c r="J65" s="10">
        <f t="shared" ca="1" si="0"/>
        <v>63</v>
      </c>
      <c r="K65" s="10">
        <f t="shared" si="8"/>
        <v>46148</v>
      </c>
      <c r="L65" s="10" t="s">
        <v>159</v>
      </c>
      <c r="M65" s="10">
        <v>27500</v>
      </c>
      <c r="N65" s="10">
        <v>24500</v>
      </c>
      <c r="O65" s="13">
        <v>46139</v>
      </c>
      <c r="P65" s="10">
        <f t="shared" si="1"/>
        <v>3000</v>
      </c>
      <c r="Q65" s="14" t="s">
        <v>30</v>
      </c>
      <c r="R65" s="10" t="s">
        <v>34</v>
      </c>
      <c r="S65" s="10">
        <v>32000</v>
      </c>
      <c r="T65" s="10" t="s">
        <v>148</v>
      </c>
      <c r="U65" s="13">
        <v>46148</v>
      </c>
      <c r="V65" s="10" t="s">
        <v>36</v>
      </c>
      <c r="W65" s="10">
        <f t="shared" si="2"/>
        <v>4500</v>
      </c>
      <c r="X65" s="10" t="s">
        <v>37</v>
      </c>
      <c r="Y65" s="10" t="s">
        <v>38</v>
      </c>
      <c r="Z65" s="15">
        <f t="shared" si="3"/>
        <v>16.363636363636363</v>
      </c>
      <c r="AA65" s="10"/>
    </row>
    <row r="66" spans="1:27">
      <c r="A66" s="10">
        <f>SUBTOTAL(3,C$2:C66)</f>
        <v>65</v>
      </c>
      <c r="B66" s="10" t="s">
        <v>27</v>
      </c>
      <c r="C66" s="11" t="s">
        <v>49</v>
      </c>
      <c r="D66" s="10" t="s">
        <v>29</v>
      </c>
      <c r="E66" s="10" t="s">
        <v>30</v>
      </c>
      <c r="F66" s="10" t="s">
        <v>184</v>
      </c>
      <c r="G66" s="10" t="s">
        <v>32</v>
      </c>
      <c r="H66" s="12" t="s">
        <v>185</v>
      </c>
      <c r="I66" s="13">
        <v>46137</v>
      </c>
      <c r="J66" s="10">
        <f t="shared" ref="J66:J129" ca="1" si="9">+TODAY()-I66</f>
        <v>62</v>
      </c>
      <c r="K66" s="10">
        <f t="shared" si="8"/>
        <v>46162</v>
      </c>
      <c r="L66" s="10" t="s">
        <v>172</v>
      </c>
      <c r="M66" s="10">
        <v>39000</v>
      </c>
      <c r="N66" s="10">
        <v>34000</v>
      </c>
      <c r="O66" s="13">
        <v>46139</v>
      </c>
      <c r="P66" s="10">
        <f t="shared" ref="P66:P129" si="10">+M66-N66</f>
        <v>5000</v>
      </c>
      <c r="Q66" s="14" t="s">
        <v>30</v>
      </c>
      <c r="R66" s="10" t="s">
        <v>34</v>
      </c>
      <c r="S66" s="10">
        <v>46000</v>
      </c>
      <c r="T66" s="10" t="s">
        <v>182</v>
      </c>
      <c r="U66" s="13">
        <v>46162</v>
      </c>
      <c r="V66" s="10" t="s">
        <v>36</v>
      </c>
      <c r="W66" s="10">
        <f t="shared" ref="W66:W129" si="11">+S66-M66</f>
        <v>7000</v>
      </c>
      <c r="X66" s="10" t="s">
        <v>37</v>
      </c>
      <c r="Y66" s="10" t="s">
        <v>38</v>
      </c>
      <c r="Z66" s="15">
        <f t="shared" ref="Z66:Z129" si="12">+W66*100/M66</f>
        <v>17.948717948717949</v>
      </c>
      <c r="AA66" s="10"/>
    </row>
    <row r="67" spans="1:27">
      <c r="A67" s="10">
        <f>SUBTOTAL(3,C$2:C67)</f>
        <v>66</v>
      </c>
      <c r="B67" s="10" t="s">
        <v>27</v>
      </c>
      <c r="C67" s="11" t="s">
        <v>39</v>
      </c>
      <c r="D67" s="10" t="s">
        <v>29</v>
      </c>
      <c r="E67" s="10" t="s">
        <v>30</v>
      </c>
      <c r="F67" s="10" t="s">
        <v>186</v>
      </c>
      <c r="G67" s="10" t="s">
        <v>41</v>
      </c>
      <c r="H67" s="12" t="s">
        <v>187</v>
      </c>
      <c r="I67" s="13">
        <v>46137</v>
      </c>
      <c r="J67" s="10">
        <f t="shared" ca="1" si="9"/>
        <v>62</v>
      </c>
      <c r="K67" s="10">
        <f t="shared" si="8"/>
        <v>46162</v>
      </c>
      <c r="L67" s="10" t="s">
        <v>172</v>
      </c>
      <c r="M67" s="10">
        <v>19000</v>
      </c>
      <c r="N67" s="10">
        <v>17000</v>
      </c>
      <c r="O67" s="13">
        <v>46139</v>
      </c>
      <c r="P67" s="10">
        <f t="shared" si="10"/>
        <v>2000</v>
      </c>
      <c r="Q67" s="14" t="s">
        <v>30</v>
      </c>
      <c r="R67" s="10" t="s">
        <v>34</v>
      </c>
      <c r="S67" s="10">
        <v>22000</v>
      </c>
      <c r="T67" s="10" t="s">
        <v>167</v>
      </c>
      <c r="U67" s="13">
        <v>46162</v>
      </c>
      <c r="V67" s="10" t="s">
        <v>36</v>
      </c>
      <c r="W67" s="10">
        <f t="shared" si="11"/>
        <v>3000</v>
      </c>
      <c r="X67" s="10" t="s">
        <v>37</v>
      </c>
      <c r="Y67" s="10" t="s">
        <v>38</v>
      </c>
      <c r="Z67" s="15">
        <f t="shared" si="12"/>
        <v>15.789473684210526</v>
      </c>
      <c r="AA67" s="10"/>
    </row>
    <row r="68" spans="1:27">
      <c r="A68" s="10">
        <f>SUBTOTAL(3,C$2:C68)</f>
        <v>67</v>
      </c>
      <c r="B68" s="10" t="s">
        <v>27</v>
      </c>
      <c r="C68" s="11" t="s">
        <v>39</v>
      </c>
      <c r="D68" s="10" t="s">
        <v>29</v>
      </c>
      <c r="E68" s="10" t="s">
        <v>30</v>
      </c>
      <c r="F68" s="10" t="s">
        <v>188</v>
      </c>
      <c r="G68" s="10" t="s">
        <v>41</v>
      </c>
      <c r="H68" s="12" t="s">
        <v>189</v>
      </c>
      <c r="I68" s="13">
        <v>46137</v>
      </c>
      <c r="J68" s="10">
        <f t="shared" ca="1" si="9"/>
        <v>62</v>
      </c>
      <c r="K68" s="10">
        <f t="shared" si="8"/>
        <v>46162</v>
      </c>
      <c r="L68" s="10" t="s">
        <v>172</v>
      </c>
      <c r="M68" s="10">
        <v>19000</v>
      </c>
      <c r="N68" s="10">
        <v>17000</v>
      </c>
      <c r="O68" s="13">
        <v>46139</v>
      </c>
      <c r="P68" s="10">
        <f t="shared" si="10"/>
        <v>2000</v>
      </c>
      <c r="Q68" s="14" t="s">
        <v>30</v>
      </c>
      <c r="R68" s="10" t="s">
        <v>34</v>
      </c>
      <c r="S68" s="10">
        <v>22000</v>
      </c>
      <c r="T68" s="10" t="s">
        <v>176</v>
      </c>
      <c r="U68" s="13">
        <v>46162</v>
      </c>
      <c r="V68" s="10" t="s">
        <v>36</v>
      </c>
      <c r="W68" s="10">
        <f t="shared" si="11"/>
        <v>3000</v>
      </c>
      <c r="X68" s="10" t="s">
        <v>37</v>
      </c>
      <c r="Y68" s="10" t="s">
        <v>38</v>
      </c>
      <c r="Z68" s="15">
        <f t="shared" si="12"/>
        <v>15.789473684210526</v>
      </c>
      <c r="AA68" s="10"/>
    </row>
    <row r="69" spans="1:27">
      <c r="A69" s="10">
        <f>SUBTOTAL(3,C$2:C69)</f>
        <v>68</v>
      </c>
      <c r="B69" s="10" t="s">
        <v>27</v>
      </c>
      <c r="C69" s="11" t="s">
        <v>39</v>
      </c>
      <c r="D69" s="10" t="s">
        <v>29</v>
      </c>
      <c r="E69" s="10" t="s">
        <v>30</v>
      </c>
      <c r="F69" s="10" t="s">
        <v>190</v>
      </c>
      <c r="G69" s="10" t="s">
        <v>41</v>
      </c>
      <c r="H69" s="12" t="s">
        <v>191</v>
      </c>
      <c r="I69" s="13">
        <v>46139</v>
      </c>
      <c r="J69" s="10">
        <f t="shared" ca="1" si="9"/>
        <v>60</v>
      </c>
      <c r="K69" s="10">
        <f t="shared" si="8"/>
        <v>46162</v>
      </c>
      <c r="L69" s="10" t="s">
        <v>107</v>
      </c>
      <c r="M69" s="10">
        <v>19000</v>
      </c>
      <c r="N69" s="10">
        <v>17000</v>
      </c>
      <c r="O69" s="13">
        <v>46140</v>
      </c>
      <c r="P69" s="10">
        <f t="shared" si="10"/>
        <v>2000</v>
      </c>
      <c r="Q69" s="14" t="s">
        <v>30</v>
      </c>
      <c r="R69" s="10" t="s">
        <v>34</v>
      </c>
      <c r="S69" s="10">
        <v>22000</v>
      </c>
      <c r="T69" s="10" t="s">
        <v>192</v>
      </c>
      <c r="U69" s="13">
        <v>46162</v>
      </c>
      <c r="V69" s="10" t="s">
        <v>36</v>
      </c>
      <c r="W69" s="10">
        <f t="shared" si="11"/>
        <v>3000</v>
      </c>
      <c r="X69" s="10" t="s">
        <v>37</v>
      </c>
      <c r="Y69" s="10" t="s">
        <v>38</v>
      </c>
      <c r="Z69" s="15">
        <f t="shared" si="12"/>
        <v>15.789473684210526</v>
      </c>
      <c r="AA69" s="10"/>
    </row>
    <row r="70" spans="1:27">
      <c r="A70" s="10">
        <f>SUBTOTAL(3,C$2:C70)</f>
        <v>69</v>
      </c>
      <c r="B70" s="10" t="s">
        <v>27</v>
      </c>
      <c r="C70" s="11" t="s">
        <v>39</v>
      </c>
      <c r="D70" s="10" t="s">
        <v>29</v>
      </c>
      <c r="E70" s="10" t="s">
        <v>30</v>
      </c>
      <c r="F70" s="10" t="s">
        <v>193</v>
      </c>
      <c r="G70" s="10" t="s">
        <v>41</v>
      </c>
      <c r="H70" s="12" t="s">
        <v>194</v>
      </c>
      <c r="I70" s="13">
        <v>46139</v>
      </c>
      <c r="J70" s="10">
        <f t="shared" ca="1" si="9"/>
        <v>60</v>
      </c>
      <c r="K70" s="10">
        <f t="shared" si="8"/>
        <v>46162</v>
      </c>
      <c r="L70" s="10" t="s">
        <v>107</v>
      </c>
      <c r="M70" s="10">
        <v>19000</v>
      </c>
      <c r="N70" s="10">
        <v>17000</v>
      </c>
      <c r="O70" s="13">
        <v>46140</v>
      </c>
      <c r="P70" s="10">
        <f t="shared" si="10"/>
        <v>2000</v>
      </c>
      <c r="Q70" s="14" t="s">
        <v>30</v>
      </c>
      <c r="R70" s="10" t="s">
        <v>34</v>
      </c>
      <c r="S70" s="10">
        <v>22000</v>
      </c>
      <c r="T70" s="10" t="s">
        <v>192</v>
      </c>
      <c r="U70" s="13">
        <v>46162</v>
      </c>
      <c r="V70" s="10" t="s">
        <v>36</v>
      </c>
      <c r="W70" s="10">
        <f t="shared" si="11"/>
        <v>3000</v>
      </c>
      <c r="X70" s="10" t="s">
        <v>37</v>
      </c>
      <c r="Y70" s="10" t="s">
        <v>38</v>
      </c>
      <c r="Z70" s="15">
        <f t="shared" si="12"/>
        <v>15.789473684210526</v>
      </c>
      <c r="AA70" s="10"/>
    </row>
    <row r="71" spans="1:27">
      <c r="A71" s="10">
        <f>SUBTOTAL(3,C$2:C71)</f>
        <v>70</v>
      </c>
      <c r="B71" s="10" t="s">
        <v>27</v>
      </c>
      <c r="C71" s="11" t="s">
        <v>45</v>
      </c>
      <c r="D71" s="10" t="s">
        <v>29</v>
      </c>
      <c r="E71" s="10" t="s">
        <v>30</v>
      </c>
      <c r="F71" s="10" t="s">
        <v>152</v>
      </c>
      <c r="G71" s="10" t="s">
        <v>32</v>
      </c>
      <c r="H71" s="12" t="s">
        <v>195</v>
      </c>
      <c r="I71" s="13">
        <v>46139</v>
      </c>
      <c r="J71" s="10">
        <f t="shared" ca="1" si="9"/>
        <v>60</v>
      </c>
      <c r="K71" s="10">
        <f t="shared" si="8"/>
        <v>46171</v>
      </c>
      <c r="L71" s="10" t="s">
        <v>196</v>
      </c>
      <c r="M71" s="10">
        <v>39000</v>
      </c>
      <c r="N71" s="10">
        <v>34000</v>
      </c>
      <c r="O71" s="13">
        <v>46140</v>
      </c>
      <c r="P71" s="10">
        <f t="shared" si="10"/>
        <v>5000</v>
      </c>
      <c r="Q71" s="14" t="s">
        <v>30</v>
      </c>
      <c r="R71" s="10" t="s">
        <v>34</v>
      </c>
      <c r="S71" s="10">
        <v>46000</v>
      </c>
      <c r="T71" s="10" t="str">
        <f>VLOOKUP(H71,'[1]MIS Sanjeev Auto'!$H$1:$T$168,13,0)</f>
        <v>VL/MH/26-27/0268</v>
      </c>
      <c r="U71" s="13">
        <f>VLOOKUP(H71,'[1]MIS Sanjeev Auto'!$H$1:$U$168,14,0)</f>
        <v>46171</v>
      </c>
      <c r="V71" s="10" t="s">
        <v>36</v>
      </c>
      <c r="W71" s="10">
        <f t="shared" si="11"/>
        <v>7000</v>
      </c>
      <c r="X71" s="10" t="s">
        <v>37</v>
      </c>
      <c r="Y71" s="10" t="s">
        <v>38</v>
      </c>
      <c r="Z71" s="15">
        <f t="shared" si="12"/>
        <v>17.948717948717949</v>
      </c>
      <c r="AA71" s="10"/>
    </row>
    <row r="72" spans="1:27">
      <c r="A72" s="10">
        <f>SUBTOTAL(3,C$2:C72)</f>
        <v>71</v>
      </c>
      <c r="B72" s="10" t="s">
        <v>27</v>
      </c>
      <c r="C72" s="11" t="s">
        <v>45</v>
      </c>
      <c r="D72" s="10" t="s">
        <v>29</v>
      </c>
      <c r="E72" s="10" t="s">
        <v>30</v>
      </c>
      <c r="F72" s="10" t="s">
        <v>121</v>
      </c>
      <c r="G72" s="10" t="s">
        <v>32</v>
      </c>
      <c r="H72" s="12" t="s">
        <v>197</v>
      </c>
      <c r="I72" s="13">
        <v>46140</v>
      </c>
      <c r="J72" s="10">
        <f t="shared" ca="1" si="9"/>
        <v>59</v>
      </c>
      <c r="K72" s="10">
        <f t="shared" si="8"/>
        <v>46148</v>
      </c>
      <c r="L72" s="10" t="s">
        <v>159</v>
      </c>
      <c r="M72" s="10">
        <v>27500</v>
      </c>
      <c r="N72" s="10">
        <v>24500</v>
      </c>
      <c r="O72" s="13">
        <v>46141</v>
      </c>
      <c r="P72" s="10">
        <f t="shared" si="10"/>
        <v>3000</v>
      </c>
      <c r="Q72" s="14" t="s">
        <v>30</v>
      </c>
      <c r="R72" s="10" t="s">
        <v>34</v>
      </c>
      <c r="S72" s="10">
        <v>32000</v>
      </c>
      <c r="T72" s="10" t="s">
        <v>198</v>
      </c>
      <c r="U72" s="13">
        <v>46148</v>
      </c>
      <c r="V72" s="10" t="s">
        <v>36</v>
      </c>
      <c r="W72" s="10">
        <f t="shared" si="11"/>
        <v>4500</v>
      </c>
      <c r="X72" s="10" t="s">
        <v>37</v>
      </c>
      <c r="Y72" s="10" t="s">
        <v>38</v>
      </c>
      <c r="Z72" s="15">
        <f t="shared" si="12"/>
        <v>16.363636363636363</v>
      </c>
      <c r="AA72" s="10"/>
    </row>
    <row r="73" spans="1:27">
      <c r="A73" s="10">
        <f>SUBTOTAL(3,C$2:C73)</f>
        <v>72</v>
      </c>
      <c r="B73" s="10" t="s">
        <v>27</v>
      </c>
      <c r="C73" s="11" t="s">
        <v>39</v>
      </c>
      <c r="D73" s="10" t="s">
        <v>29</v>
      </c>
      <c r="E73" s="10" t="s">
        <v>30</v>
      </c>
      <c r="F73" s="10" t="s">
        <v>40</v>
      </c>
      <c r="G73" s="10" t="s">
        <v>41</v>
      </c>
      <c r="H73" s="12" t="s">
        <v>199</v>
      </c>
      <c r="I73" s="13">
        <v>46140</v>
      </c>
      <c r="J73" s="10">
        <f t="shared" ca="1" si="9"/>
        <v>59</v>
      </c>
      <c r="K73" s="10">
        <f t="shared" si="8"/>
        <v>46162</v>
      </c>
      <c r="L73" s="10" t="s">
        <v>107</v>
      </c>
      <c r="M73" s="10">
        <v>19000</v>
      </c>
      <c r="N73" s="10">
        <v>17000</v>
      </c>
      <c r="O73" s="13">
        <v>46141</v>
      </c>
      <c r="P73" s="10">
        <f t="shared" si="10"/>
        <v>2000</v>
      </c>
      <c r="Q73" s="14" t="s">
        <v>30</v>
      </c>
      <c r="R73" s="10" t="s">
        <v>34</v>
      </c>
      <c r="S73" s="10">
        <v>22000</v>
      </c>
      <c r="T73" s="10" t="s">
        <v>192</v>
      </c>
      <c r="U73" s="13">
        <v>46162</v>
      </c>
      <c r="V73" s="10" t="s">
        <v>36</v>
      </c>
      <c r="W73" s="10">
        <f t="shared" si="11"/>
        <v>3000</v>
      </c>
      <c r="X73" s="10" t="s">
        <v>37</v>
      </c>
      <c r="Y73" s="10" t="s">
        <v>38</v>
      </c>
      <c r="Z73" s="15">
        <f t="shared" si="12"/>
        <v>15.789473684210526</v>
      </c>
      <c r="AA73" s="10"/>
    </row>
    <row r="74" spans="1:27">
      <c r="A74" s="10">
        <f>SUBTOTAL(3,C$2:C74)</f>
        <v>73</v>
      </c>
      <c r="B74" s="10" t="s">
        <v>27</v>
      </c>
      <c r="C74" s="11" t="s">
        <v>39</v>
      </c>
      <c r="D74" s="10" t="s">
        <v>29</v>
      </c>
      <c r="E74" s="10" t="s">
        <v>30</v>
      </c>
      <c r="F74" s="10" t="s">
        <v>200</v>
      </c>
      <c r="G74" s="10" t="s">
        <v>41</v>
      </c>
      <c r="H74" s="12" t="s">
        <v>201</v>
      </c>
      <c r="I74" s="13">
        <v>46140</v>
      </c>
      <c r="J74" s="10">
        <f t="shared" ca="1" si="9"/>
        <v>59</v>
      </c>
      <c r="K74" s="10">
        <f t="shared" si="8"/>
        <v>46162</v>
      </c>
      <c r="L74" s="10" t="s">
        <v>107</v>
      </c>
      <c r="M74" s="10">
        <v>19000</v>
      </c>
      <c r="N74" s="10">
        <v>17000</v>
      </c>
      <c r="O74" s="13">
        <v>46141</v>
      </c>
      <c r="P74" s="10">
        <f t="shared" si="10"/>
        <v>2000</v>
      </c>
      <c r="Q74" s="14" t="s">
        <v>30</v>
      </c>
      <c r="R74" s="10" t="s">
        <v>34</v>
      </c>
      <c r="S74" s="10">
        <v>22000</v>
      </c>
      <c r="T74" s="10" t="s">
        <v>202</v>
      </c>
      <c r="U74" s="13">
        <v>46162</v>
      </c>
      <c r="V74" s="10" t="s">
        <v>36</v>
      </c>
      <c r="W74" s="10">
        <f t="shared" si="11"/>
        <v>3000</v>
      </c>
      <c r="X74" s="10" t="s">
        <v>37</v>
      </c>
      <c r="Y74" s="10" t="s">
        <v>38</v>
      </c>
      <c r="Z74" s="15">
        <f t="shared" si="12"/>
        <v>15.789473684210526</v>
      </c>
      <c r="AA74" s="10"/>
    </row>
    <row r="75" spans="1:27">
      <c r="A75" s="10">
        <f>SUBTOTAL(3,C$2:C75)</f>
        <v>74</v>
      </c>
      <c r="B75" s="10" t="s">
        <v>27</v>
      </c>
      <c r="C75" s="11" t="s">
        <v>49</v>
      </c>
      <c r="D75" s="10" t="s">
        <v>29</v>
      </c>
      <c r="E75" s="10" t="s">
        <v>30</v>
      </c>
      <c r="F75" s="10" t="s">
        <v>203</v>
      </c>
      <c r="G75" s="10" t="s">
        <v>32</v>
      </c>
      <c r="H75" s="12" t="s">
        <v>204</v>
      </c>
      <c r="I75" s="13">
        <v>46141</v>
      </c>
      <c r="J75" s="10">
        <f t="shared" ca="1" si="9"/>
        <v>58</v>
      </c>
      <c r="K75" s="10">
        <f t="shared" si="8"/>
        <v>46162</v>
      </c>
      <c r="L75" s="10" t="s">
        <v>172</v>
      </c>
      <c r="M75" s="10">
        <v>39000</v>
      </c>
      <c r="N75" s="10">
        <v>34000</v>
      </c>
      <c r="O75" s="13">
        <v>46141</v>
      </c>
      <c r="P75" s="10">
        <f t="shared" si="10"/>
        <v>5000</v>
      </c>
      <c r="Q75" s="14" t="s">
        <v>30</v>
      </c>
      <c r="R75" s="10" t="s">
        <v>34</v>
      </c>
      <c r="S75" s="10">
        <v>46000</v>
      </c>
      <c r="T75" s="10" t="s">
        <v>205</v>
      </c>
      <c r="U75" s="13">
        <v>46162</v>
      </c>
      <c r="V75" s="10" t="s">
        <v>36</v>
      </c>
      <c r="W75" s="10">
        <f t="shared" si="11"/>
        <v>7000</v>
      </c>
      <c r="X75" s="10" t="s">
        <v>37</v>
      </c>
      <c r="Y75" s="10" t="s">
        <v>38</v>
      </c>
      <c r="Z75" s="15">
        <f t="shared" si="12"/>
        <v>17.948717948717949</v>
      </c>
      <c r="AA75" s="10"/>
    </row>
    <row r="76" spans="1:27">
      <c r="A76" s="10">
        <f>SUBTOTAL(3,C$2:C76)</f>
        <v>75</v>
      </c>
      <c r="B76" s="10" t="s">
        <v>27</v>
      </c>
      <c r="C76" s="11" t="s">
        <v>39</v>
      </c>
      <c r="D76" s="10" t="s">
        <v>29</v>
      </c>
      <c r="E76" s="10" t="s">
        <v>30</v>
      </c>
      <c r="F76" s="10" t="s">
        <v>137</v>
      </c>
      <c r="G76" s="10" t="s">
        <v>41</v>
      </c>
      <c r="H76" s="12" t="s">
        <v>206</v>
      </c>
      <c r="I76" s="13">
        <v>46141</v>
      </c>
      <c r="J76" s="10">
        <f t="shared" ca="1" si="9"/>
        <v>58</v>
      </c>
      <c r="K76" s="10">
        <f t="shared" si="8"/>
        <v>46162</v>
      </c>
      <c r="L76" s="10" t="s">
        <v>107</v>
      </c>
      <c r="M76" s="10">
        <v>19000</v>
      </c>
      <c r="N76" s="10">
        <v>17000</v>
      </c>
      <c r="O76" s="13">
        <v>46142</v>
      </c>
      <c r="P76" s="10">
        <f t="shared" si="10"/>
        <v>2000</v>
      </c>
      <c r="Q76" s="14" t="s">
        <v>30</v>
      </c>
      <c r="R76" s="10" t="s">
        <v>34</v>
      </c>
      <c r="S76" s="10">
        <v>22000</v>
      </c>
      <c r="T76" s="10" t="s">
        <v>202</v>
      </c>
      <c r="U76" s="13">
        <v>46162</v>
      </c>
      <c r="V76" s="10" t="s">
        <v>36</v>
      </c>
      <c r="W76" s="10">
        <f t="shared" si="11"/>
        <v>3000</v>
      </c>
      <c r="X76" s="10" t="s">
        <v>37</v>
      </c>
      <c r="Y76" s="10" t="s">
        <v>38</v>
      </c>
      <c r="Z76" s="15">
        <f t="shared" si="12"/>
        <v>15.789473684210526</v>
      </c>
      <c r="AA76" s="10"/>
    </row>
    <row r="77" spans="1:27">
      <c r="A77" s="10">
        <f>SUBTOTAL(3,C$2:C77)</f>
        <v>76</v>
      </c>
      <c r="B77" s="10" t="s">
        <v>27</v>
      </c>
      <c r="C77" s="11" t="s">
        <v>39</v>
      </c>
      <c r="D77" s="10" t="s">
        <v>29</v>
      </c>
      <c r="E77" s="10" t="s">
        <v>30</v>
      </c>
      <c r="F77" s="10" t="s">
        <v>207</v>
      </c>
      <c r="G77" s="10" t="s">
        <v>41</v>
      </c>
      <c r="H77" s="12" t="s">
        <v>208</v>
      </c>
      <c r="I77" s="13">
        <v>46141</v>
      </c>
      <c r="J77" s="10">
        <f t="shared" ca="1" si="9"/>
        <v>58</v>
      </c>
      <c r="K77" s="10">
        <f t="shared" si="8"/>
        <v>46162</v>
      </c>
      <c r="L77" s="10" t="s">
        <v>107</v>
      </c>
      <c r="M77" s="10">
        <v>19000</v>
      </c>
      <c r="N77" s="10">
        <v>17000</v>
      </c>
      <c r="O77" s="13">
        <v>46142</v>
      </c>
      <c r="P77" s="10">
        <f t="shared" si="10"/>
        <v>2000</v>
      </c>
      <c r="Q77" s="14" t="s">
        <v>30</v>
      </c>
      <c r="R77" s="10" t="s">
        <v>34</v>
      </c>
      <c r="S77" s="10">
        <v>22000</v>
      </c>
      <c r="T77" s="10" t="s">
        <v>202</v>
      </c>
      <c r="U77" s="13">
        <v>46162</v>
      </c>
      <c r="V77" s="10" t="s">
        <v>36</v>
      </c>
      <c r="W77" s="10">
        <f t="shared" si="11"/>
        <v>3000</v>
      </c>
      <c r="X77" s="10" t="s">
        <v>37</v>
      </c>
      <c r="Y77" s="10" t="s">
        <v>38</v>
      </c>
      <c r="Z77" s="15">
        <f t="shared" si="12"/>
        <v>15.789473684210526</v>
      </c>
      <c r="AA77" s="10"/>
    </row>
    <row r="78" spans="1:27">
      <c r="A78" s="10">
        <f>SUBTOTAL(3,C$2:C78)</f>
        <v>77</v>
      </c>
      <c r="B78" s="10" t="s">
        <v>27</v>
      </c>
      <c r="C78" s="11" t="s">
        <v>209</v>
      </c>
      <c r="D78" s="10" t="s">
        <v>29</v>
      </c>
      <c r="E78" s="10" t="s">
        <v>30</v>
      </c>
      <c r="F78" s="10" t="s">
        <v>210</v>
      </c>
      <c r="G78" s="10" t="s">
        <v>32</v>
      </c>
      <c r="H78" s="12" t="s">
        <v>211</v>
      </c>
      <c r="I78" s="13">
        <v>46142</v>
      </c>
      <c r="J78" s="10">
        <f t="shared" ca="1" si="9"/>
        <v>57</v>
      </c>
      <c r="K78" s="10" t="str">
        <f t="shared" si="8"/>
        <v>Pending</v>
      </c>
      <c r="L78" s="10" t="s">
        <v>33</v>
      </c>
      <c r="M78" s="10">
        <v>39000</v>
      </c>
      <c r="N78" s="10">
        <v>34000</v>
      </c>
      <c r="O78" s="13">
        <v>46142</v>
      </c>
      <c r="P78" s="10">
        <f t="shared" si="10"/>
        <v>5000</v>
      </c>
      <c r="Q78" s="14" t="s">
        <v>30</v>
      </c>
      <c r="R78" s="10" t="s">
        <v>34</v>
      </c>
      <c r="S78" s="10">
        <v>46000</v>
      </c>
      <c r="T78" s="10" t="str">
        <f>VLOOKUP(H78,'[1]MIS Sanjeev Auto'!$H$1:$T$168,13,0)</f>
        <v>Pending</v>
      </c>
      <c r="U78" s="13" t="str">
        <f>VLOOKUP(H78,'[1]MIS Sanjeev Auto'!$H$1:$U$168,14,0)</f>
        <v>Pending</v>
      </c>
      <c r="V78" s="10" t="s">
        <v>36</v>
      </c>
      <c r="W78" s="10">
        <f t="shared" si="11"/>
        <v>7000</v>
      </c>
      <c r="X78" s="10" t="s">
        <v>37</v>
      </c>
      <c r="Y78" s="10" t="s">
        <v>38</v>
      </c>
      <c r="Z78" s="15">
        <f t="shared" si="12"/>
        <v>17.948717948717949</v>
      </c>
      <c r="AA78" s="10"/>
    </row>
    <row r="79" spans="1:27">
      <c r="A79" s="10">
        <f>SUBTOTAL(3,C$2:C79)</f>
        <v>78</v>
      </c>
      <c r="B79" s="10" t="s">
        <v>27</v>
      </c>
      <c r="C79" s="11" t="s">
        <v>45</v>
      </c>
      <c r="D79" s="10" t="s">
        <v>29</v>
      </c>
      <c r="E79" s="10" t="s">
        <v>30</v>
      </c>
      <c r="F79" s="10" t="s">
        <v>113</v>
      </c>
      <c r="G79" s="10" t="s">
        <v>32</v>
      </c>
      <c r="H79" s="12" t="s">
        <v>212</v>
      </c>
      <c r="I79" s="13">
        <v>46142</v>
      </c>
      <c r="J79" s="10">
        <f t="shared" ca="1" si="9"/>
        <v>57</v>
      </c>
      <c r="K79" s="10">
        <f t="shared" si="8"/>
        <v>46148</v>
      </c>
      <c r="L79" s="10" t="s">
        <v>159</v>
      </c>
      <c r="M79" s="10">
        <v>27500</v>
      </c>
      <c r="N79" s="10">
        <v>24500</v>
      </c>
      <c r="O79" s="13">
        <v>46142</v>
      </c>
      <c r="P79" s="10">
        <f t="shared" si="10"/>
        <v>3000</v>
      </c>
      <c r="Q79" s="14" t="s">
        <v>30</v>
      </c>
      <c r="R79" s="10" t="s">
        <v>34</v>
      </c>
      <c r="S79" s="10">
        <v>32000</v>
      </c>
      <c r="T79" s="10" t="s">
        <v>198</v>
      </c>
      <c r="U79" s="13">
        <v>46148</v>
      </c>
      <c r="V79" s="10" t="s">
        <v>36</v>
      </c>
      <c r="W79" s="10">
        <f t="shared" si="11"/>
        <v>4500</v>
      </c>
      <c r="X79" s="10" t="s">
        <v>37</v>
      </c>
      <c r="Y79" s="10" t="s">
        <v>38</v>
      </c>
      <c r="Z79" s="15">
        <f t="shared" si="12"/>
        <v>16.363636363636363</v>
      </c>
      <c r="AA79" s="10"/>
    </row>
    <row r="80" spans="1:27">
      <c r="A80" s="10">
        <f>SUBTOTAL(3,C$2:C80)</f>
        <v>79</v>
      </c>
      <c r="B80" s="10" t="s">
        <v>213</v>
      </c>
      <c r="C80" s="11" t="s">
        <v>45</v>
      </c>
      <c r="D80" s="10" t="s">
        <v>29</v>
      </c>
      <c r="E80" s="10" t="s">
        <v>30</v>
      </c>
      <c r="F80" s="10" t="s">
        <v>152</v>
      </c>
      <c r="G80" s="10" t="s">
        <v>214</v>
      </c>
      <c r="H80" s="12" t="s">
        <v>215</v>
      </c>
      <c r="I80" s="13">
        <v>46142</v>
      </c>
      <c r="J80" s="10">
        <f t="shared" ca="1" si="9"/>
        <v>57</v>
      </c>
      <c r="K80" s="10">
        <f t="shared" si="8"/>
        <v>46148</v>
      </c>
      <c r="L80" s="10" t="s">
        <v>216</v>
      </c>
      <c r="M80" s="10">
        <v>27500</v>
      </c>
      <c r="N80" s="10">
        <v>24500</v>
      </c>
      <c r="O80" s="13">
        <v>46144</v>
      </c>
      <c r="P80" s="10">
        <f t="shared" si="10"/>
        <v>3000</v>
      </c>
      <c r="Q80" s="14" t="s">
        <v>30</v>
      </c>
      <c r="R80" s="10" t="s">
        <v>34</v>
      </c>
      <c r="S80" s="10">
        <v>32000</v>
      </c>
      <c r="T80" s="10" t="s">
        <v>198</v>
      </c>
      <c r="U80" s="13">
        <v>46148</v>
      </c>
      <c r="V80" s="10" t="s">
        <v>36</v>
      </c>
      <c r="W80" s="10">
        <f t="shared" si="11"/>
        <v>4500</v>
      </c>
      <c r="X80" s="10" t="s">
        <v>37</v>
      </c>
      <c r="Y80" s="10" t="s">
        <v>38</v>
      </c>
      <c r="Z80" s="15">
        <f t="shared" si="12"/>
        <v>16.363636363636363</v>
      </c>
      <c r="AA80" s="10"/>
    </row>
    <row r="81" spans="1:27">
      <c r="A81" s="10">
        <f>SUBTOTAL(3,C$2:C81)</f>
        <v>80</v>
      </c>
      <c r="B81" s="10" t="s">
        <v>213</v>
      </c>
      <c r="C81" s="11" t="s">
        <v>49</v>
      </c>
      <c r="D81" s="10" t="s">
        <v>29</v>
      </c>
      <c r="E81" s="10" t="s">
        <v>30</v>
      </c>
      <c r="F81" s="10" t="s">
        <v>217</v>
      </c>
      <c r="G81" s="10" t="s">
        <v>32</v>
      </c>
      <c r="H81" s="12" t="s">
        <v>218</v>
      </c>
      <c r="I81" s="13">
        <v>46143</v>
      </c>
      <c r="J81" s="10">
        <f t="shared" ca="1" si="9"/>
        <v>56</v>
      </c>
      <c r="K81" s="10">
        <f t="shared" si="8"/>
        <v>46162</v>
      </c>
      <c r="L81" s="10" t="s">
        <v>172</v>
      </c>
      <c r="M81" s="10">
        <v>39000</v>
      </c>
      <c r="N81" s="10">
        <v>34000</v>
      </c>
      <c r="O81" s="13">
        <v>46144</v>
      </c>
      <c r="P81" s="10">
        <f t="shared" si="10"/>
        <v>5000</v>
      </c>
      <c r="Q81" s="14" t="s">
        <v>30</v>
      </c>
      <c r="R81" s="10" t="s">
        <v>34</v>
      </c>
      <c r="S81" s="10">
        <v>46000</v>
      </c>
      <c r="T81" s="10" t="s">
        <v>219</v>
      </c>
      <c r="U81" s="13">
        <v>46162</v>
      </c>
      <c r="V81" s="10" t="s">
        <v>36</v>
      </c>
      <c r="W81" s="10">
        <f t="shared" si="11"/>
        <v>7000</v>
      </c>
      <c r="X81" s="10" t="s">
        <v>37</v>
      </c>
      <c r="Y81" s="10" t="s">
        <v>38</v>
      </c>
      <c r="Z81" s="15">
        <f t="shared" si="12"/>
        <v>17.948717948717949</v>
      </c>
      <c r="AA81" s="10"/>
    </row>
    <row r="82" spans="1:27">
      <c r="A82" s="10">
        <f>SUBTOTAL(3,C$2:C82)</f>
        <v>81</v>
      </c>
      <c r="B82" s="10" t="s">
        <v>213</v>
      </c>
      <c r="C82" s="11" t="s">
        <v>45</v>
      </c>
      <c r="D82" s="10" t="s">
        <v>29</v>
      </c>
      <c r="E82" s="10" t="s">
        <v>30</v>
      </c>
      <c r="F82" s="10" t="s">
        <v>220</v>
      </c>
      <c r="G82" s="10" t="s">
        <v>32</v>
      </c>
      <c r="H82" s="12" t="s">
        <v>221</v>
      </c>
      <c r="I82" s="13">
        <v>46144</v>
      </c>
      <c r="J82" s="10">
        <f t="shared" ca="1" si="9"/>
        <v>55</v>
      </c>
      <c r="K82" s="10">
        <f t="shared" si="8"/>
        <v>46171</v>
      </c>
      <c r="L82" s="10" t="s">
        <v>222</v>
      </c>
      <c r="M82" s="10">
        <v>33000</v>
      </c>
      <c r="N82" s="10">
        <v>30000</v>
      </c>
      <c r="O82" s="13">
        <v>46146</v>
      </c>
      <c r="P82" s="10">
        <f t="shared" si="10"/>
        <v>3000</v>
      </c>
      <c r="Q82" s="14" t="s">
        <v>30</v>
      </c>
      <c r="R82" s="10" t="s">
        <v>34</v>
      </c>
      <c r="S82" s="10">
        <v>38000</v>
      </c>
      <c r="T82" s="10" t="str">
        <f>VLOOKUP(H82,'[1]MIS Sanjeev Auto'!$H$1:$T$168,13,0)</f>
        <v>VL/MH/26-27/0271</v>
      </c>
      <c r="U82" s="13">
        <f>VLOOKUP(H82,'[1]MIS Sanjeev Auto'!$H$1:$U$168,14,0)</f>
        <v>46171</v>
      </c>
      <c r="V82" s="10" t="s">
        <v>36</v>
      </c>
      <c r="W82" s="10">
        <f t="shared" si="11"/>
        <v>5000</v>
      </c>
      <c r="X82" s="10" t="s">
        <v>37</v>
      </c>
      <c r="Y82" s="10" t="s">
        <v>38</v>
      </c>
      <c r="Z82" s="15">
        <f t="shared" si="12"/>
        <v>15.151515151515152</v>
      </c>
      <c r="AA82" s="10"/>
    </row>
    <row r="83" spans="1:27">
      <c r="A83" s="10">
        <f>SUBTOTAL(3,C$2:C83)</f>
        <v>82</v>
      </c>
      <c r="B83" s="10" t="s">
        <v>213</v>
      </c>
      <c r="C83" s="11" t="s">
        <v>28</v>
      </c>
      <c r="D83" s="10" t="s">
        <v>29</v>
      </c>
      <c r="E83" s="10" t="s">
        <v>30</v>
      </c>
      <c r="F83" s="10" t="s">
        <v>223</v>
      </c>
      <c r="G83" s="10" t="s">
        <v>83</v>
      </c>
      <c r="H83" s="12" t="s">
        <v>224</v>
      </c>
      <c r="I83" s="13">
        <v>46145</v>
      </c>
      <c r="J83" s="10">
        <f t="shared" ca="1" si="9"/>
        <v>54</v>
      </c>
      <c r="K83" s="10">
        <f t="shared" si="8"/>
        <v>46171</v>
      </c>
      <c r="L83" s="10" t="s">
        <v>225</v>
      </c>
      <c r="M83" s="10">
        <v>39000</v>
      </c>
      <c r="N83" s="10">
        <v>34000</v>
      </c>
      <c r="O83" s="13">
        <v>46146</v>
      </c>
      <c r="P83" s="10">
        <f t="shared" si="10"/>
        <v>5000</v>
      </c>
      <c r="Q83" s="14" t="s">
        <v>30</v>
      </c>
      <c r="R83" s="10" t="s">
        <v>34</v>
      </c>
      <c r="S83" s="10">
        <v>46000</v>
      </c>
      <c r="T83" s="10" t="str">
        <f>VLOOKUP(H83,'[1]MIS Sanjeev Auto'!$H$1:$T$168,13,0)</f>
        <v>VL/MH/26-27/0269</v>
      </c>
      <c r="U83" s="13">
        <f>VLOOKUP(H83,'[1]MIS Sanjeev Auto'!$H$1:$U$168,14,0)</f>
        <v>46171</v>
      </c>
      <c r="V83" s="10" t="s">
        <v>36</v>
      </c>
      <c r="W83" s="10">
        <f t="shared" si="11"/>
        <v>7000</v>
      </c>
      <c r="X83" s="10" t="s">
        <v>37</v>
      </c>
      <c r="Y83" s="10" t="s">
        <v>38</v>
      </c>
      <c r="Z83" s="15">
        <f t="shared" si="12"/>
        <v>17.948717948717949</v>
      </c>
      <c r="AA83" s="10"/>
    </row>
    <row r="84" spans="1:27">
      <c r="A84" s="10">
        <f>SUBTOTAL(3,C$2:C84)</f>
        <v>83</v>
      </c>
      <c r="B84" s="10" t="s">
        <v>213</v>
      </c>
      <c r="C84" s="11" t="s">
        <v>226</v>
      </c>
      <c r="D84" s="10" t="s">
        <v>29</v>
      </c>
      <c r="E84" s="10" t="s">
        <v>30</v>
      </c>
      <c r="F84" s="10" t="s">
        <v>227</v>
      </c>
      <c r="G84" s="10" t="s">
        <v>41</v>
      </c>
      <c r="H84" s="12" t="s">
        <v>228</v>
      </c>
      <c r="I84" s="13">
        <v>46145</v>
      </c>
      <c r="J84" s="10">
        <f t="shared" ca="1" si="9"/>
        <v>54</v>
      </c>
      <c r="K84" s="10" t="str">
        <f t="shared" si="8"/>
        <v>Pending</v>
      </c>
      <c r="L84" s="10" t="s">
        <v>229</v>
      </c>
      <c r="M84" s="10">
        <v>19000</v>
      </c>
      <c r="N84" s="10">
        <v>17000</v>
      </c>
      <c r="O84" s="13">
        <v>46146</v>
      </c>
      <c r="P84" s="10">
        <f t="shared" si="10"/>
        <v>2000</v>
      </c>
      <c r="Q84" s="14" t="s">
        <v>30</v>
      </c>
      <c r="R84" s="10" t="s">
        <v>34</v>
      </c>
      <c r="S84" s="10">
        <v>22000</v>
      </c>
      <c r="T84" s="10" t="str">
        <f>VLOOKUP(H84,'[1]MIS Sanjeev Auto'!$H$1:$T$168,13,0)</f>
        <v>Pending</v>
      </c>
      <c r="U84" s="13" t="str">
        <f>VLOOKUP(H84,'[1]MIS Sanjeev Auto'!$H$1:$U$168,14,0)</f>
        <v>Pending</v>
      </c>
      <c r="V84" s="10" t="s">
        <v>36</v>
      </c>
      <c r="W84" s="10">
        <f t="shared" si="11"/>
        <v>3000</v>
      </c>
      <c r="X84" s="10" t="s">
        <v>230</v>
      </c>
      <c r="Y84" s="10" t="s">
        <v>38</v>
      </c>
      <c r="Z84" s="15">
        <f t="shared" si="12"/>
        <v>15.789473684210526</v>
      </c>
      <c r="AA84" s="10"/>
    </row>
    <row r="85" spans="1:27">
      <c r="A85" s="10">
        <f>SUBTOTAL(3,C$2:C85)</f>
        <v>84</v>
      </c>
      <c r="B85" s="10" t="s">
        <v>213</v>
      </c>
      <c r="C85" s="11" t="s">
        <v>39</v>
      </c>
      <c r="D85" s="10" t="s">
        <v>29</v>
      </c>
      <c r="E85" s="10" t="s">
        <v>30</v>
      </c>
      <c r="F85" s="10" t="s">
        <v>231</v>
      </c>
      <c r="G85" s="10" t="s">
        <v>41</v>
      </c>
      <c r="H85" s="12" t="s">
        <v>232</v>
      </c>
      <c r="I85" s="13">
        <v>46146</v>
      </c>
      <c r="J85" s="10">
        <f t="shared" ca="1" si="9"/>
        <v>53</v>
      </c>
      <c r="K85" s="10" t="str">
        <f t="shared" si="8"/>
        <v>Pending</v>
      </c>
      <c r="L85" s="10" t="s">
        <v>107</v>
      </c>
      <c r="M85" s="10">
        <v>19000</v>
      </c>
      <c r="N85" s="10">
        <v>17000</v>
      </c>
      <c r="O85" s="13">
        <v>46146</v>
      </c>
      <c r="P85" s="10">
        <f t="shared" si="10"/>
        <v>2000</v>
      </c>
      <c r="Q85" s="14" t="s">
        <v>30</v>
      </c>
      <c r="R85" s="10" t="s">
        <v>34</v>
      </c>
      <c r="S85" s="10">
        <v>22000</v>
      </c>
      <c r="T85" s="10" t="str">
        <f>VLOOKUP(H85,'[1]MIS Sanjeev Auto'!$H$1:$T$168,13,0)</f>
        <v>Pending</v>
      </c>
      <c r="U85" s="13" t="str">
        <f>VLOOKUP(H85,'[1]MIS Sanjeev Auto'!$H$1:$U$168,14,0)</f>
        <v>Pending</v>
      </c>
      <c r="V85" s="10" t="s">
        <v>36</v>
      </c>
      <c r="W85" s="10">
        <f t="shared" si="11"/>
        <v>3000</v>
      </c>
      <c r="X85" s="10" t="s">
        <v>37</v>
      </c>
      <c r="Y85" s="10" t="s">
        <v>38</v>
      </c>
      <c r="Z85" s="15">
        <f t="shared" si="12"/>
        <v>15.789473684210526</v>
      </c>
      <c r="AA85" s="10"/>
    </row>
    <row r="86" spans="1:27">
      <c r="A86" s="10">
        <f>SUBTOTAL(3,C$2:C86)</f>
        <v>85</v>
      </c>
      <c r="B86" s="10" t="s">
        <v>213</v>
      </c>
      <c r="C86" s="11" t="s">
        <v>39</v>
      </c>
      <c r="D86" s="10" t="s">
        <v>29</v>
      </c>
      <c r="E86" s="10" t="s">
        <v>30</v>
      </c>
      <c r="F86" s="10" t="s">
        <v>233</v>
      </c>
      <c r="G86" s="10" t="s">
        <v>41</v>
      </c>
      <c r="H86" s="12" t="s">
        <v>234</v>
      </c>
      <c r="I86" s="13">
        <v>46146</v>
      </c>
      <c r="J86" s="10">
        <f t="shared" ca="1" si="9"/>
        <v>53</v>
      </c>
      <c r="K86" s="10">
        <f t="shared" si="8"/>
        <v>46171</v>
      </c>
      <c r="L86" s="10" t="s">
        <v>107</v>
      </c>
      <c r="M86" s="10">
        <v>19000</v>
      </c>
      <c r="N86" s="10">
        <v>17000</v>
      </c>
      <c r="O86" s="13">
        <v>46147</v>
      </c>
      <c r="P86" s="10">
        <f t="shared" si="10"/>
        <v>2000</v>
      </c>
      <c r="Q86" s="14" t="s">
        <v>30</v>
      </c>
      <c r="R86" s="10" t="s">
        <v>34</v>
      </c>
      <c r="S86" s="10">
        <v>22000</v>
      </c>
      <c r="T86" s="10" t="str">
        <f>VLOOKUP(H86,'[1]MIS Sanjeev Auto'!$H$1:$T$168,13,0)</f>
        <v>VL/MH/26-27/0272</v>
      </c>
      <c r="U86" s="13">
        <f>VLOOKUP(H86,'[1]MIS Sanjeev Auto'!$H$1:$U$168,14,0)</f>
        <v>46171</v>
      </c>
      <c r="V86" s="10" t="s">
        <v>36</v>
      </c>
      <c r="W86" s="10">
        <f t="shared" si="11"/>
        <v>3000</v>
      </c>
      <c r="X86" s="10" t="s">
        <v>37</v>
      </c>
      <c r="Y86" s="10" t="s">
        <v>38</v>
      </c>
      <c r="Z86" s="15">
        <f t="shared" si="12"/>
        <v>15.789473684210526</v>
      </c>
      <c r="AA86" s="10"/>
    </row>
    <row r="87" spans="1:27">
      <c r="A87" s="10">
        <f>SUBTOTAL(3,C$2:C87)</f>
        <v>86</v>
      </c>
      <c r="B87" s="10" t="s">
        <v>213</v>
      </c>
      <c r="C87" s="11" t="s">
        <v>39</v>
      </c>
      <c r="D87" s="10" t="s">
        <v>29</v>
      </c>
      <c r="E87" s="10" t="s">
        <v>30</v>
      </c>
      <c r="F87" s="10" t="s">
        <v>137</v>
      </c>
      <c r="G87" s="10" t="s">
        <v>41</v>
      </c>
      <c r="H87" s="16" t="s">
        <v>235</v>
      </c>
      <c r="I87" s="13">
        <v>46146</v>
      </c>
      <c r="J87" s="10">
        <f t="shared" ca="1" si="9"/>
        <v>53</v>
      </c>
      <c r="K87" s="10" t="str">
        <f t="shared" si="8"/>
        <v>Pending</v>
      </c>
      <c r="L87" s="10" t="s">
        <v>107</v>
      </c>
      <c r="M87" s="10">
        <v>19000</v>
      </c>
      <c r="N87" s="10">
        <v>17000</v>
      </c>
      <c r="O87" s="13">
        <v>46147</v>
      </c>
      <c r="P87" s="10">
        <f t="shared" si="10"/>
        <v>2000</v>
      </c>
      <c r="Q87" s="14" t="s">
        <v>30</v>
      </c>
      <c r="R87" s="10" t="s">
        <v>34</v>
      </c>
      <c r="S87" s="10">
        <v>22000</v>
      </c>
      <c r="T87" s="10" t="str">
        <f>VLOOKUP(H87,'[1]MIS Sanjeev Auto'!$H$1:$T$168,13,0)</f>
        <v>Pending</v>
      </c>
      <c r="U87" s="13" t="str">
        <f>VLOOKUP(H87,'[1]MIS Sanjeev Auto'!$H$1:$U$168,14,0)</f>
        <v>Pending</v>
      </c>
      <c r="V87" s="10" t="s">
        <v>36</v>
      </c>
      <c r="W87" s="10">
        <f t="shared" si="11"/>
        <v>3000</v>
      </c>
      <c r="X87" s="10" t="s">
        <v>37</v>
      </c>
      <c r="Y87" s="10" t="s">
        <v>38</v>
      </c>
      <c r="Z87" s="15">
        <f t="shared" si="12"/>
        <v>15.789473684210526</v>
      </c>
      <c r="AA87" s="10"/>
    </row>
    <row r="88" spans="1:27">
      <c r="A88" s="10">
        <f>SUBTOTAL(3,C$2:C88)</f>
        <v>87</v>
      </c>
      <c r="B88" s="10" t="s">
        <v>213</v>
      </c>
      <c r="C88" s="11" t="s">
        <v>45</v>
      </c>
      <c r="D88" s="10" t="s">
        <v>29</v>
      </c>
      <c r="E88" s="10" t="s">
        <v>30</v>
      </c>
      <c r="F88" s="10" t="s">
        <v>121</v>
      </c>
      <c r="G88" s="10" t="s">
        <v>32</v>
      </c>
      <c r="H88" s="12" t="s">
        <v>236</v>
      </c>
      <c r="I88" s="13">
        <v>46147</v>
      </c>
      <c r="J88" s="10">
        <f t="shared" ca="1" si="9"/>
        <v>52</v>
      </c>
      <c r="K88" s="10">
        <f t="shared" si="8"/>
        <v>46171</v>
      </c>
      <c r="L88" s="10" t="s">
        <v>58</v>
      </c>
      <c r="M88" s="10">
        <v>39000</v>
      </c>
      <c r="N88" s="10">
        <v>34000</v>
      </c>
      <c r="O88" s="13">
        <v>46147</v>
      </c>
      <c r="P88" s="10">
        <f t="shared" si="10"/>
        <v>5000</v>
      </c>
      <c r="Q88" s="14" t="s">
        <v>30</v>
      </c>
      <c r="R88" s="10" t="s">
        <v>34</v>
      </c>
      <c r="S88" s="10">
        <v>46000</v>
      </c>
      <c r="T88" s="10" t="str">
        <f>VLOOKUP(H88,'[1]MIS Sanjeev Auto'!$H$1:$T$168,13,0)</f>
        <v>VL/MH/26-27/0269</v>
      </c>
      <c r="U88" s="13">
        <f>VLOOKUP(H88,'[1]MIS Sanjeev Auto'!$H$1:$U$168,14,0)</f>
        <v>46171</v>
      </c>
      <c r="V88" s="10" t="s">
        <v>36</v>
      </c>
      <c r="W88" s="10">
        <f t="shared" si="11"/>
        <v>7000</v>
      </c>
      <c r="X88" s="10" t="s">
        <v>37</v>
      </c>
      <c r="Y88" s="10" t="s">
        <v>38</v>
      </c>
      <c r="Z88" s="15">
        <f t="shared" si="12"/>
        <v>17.948717948717949</v>
      </c>
      <c r="AA88" s="10"/>
    </row>
    <row r="89" spans="1:27">
      <c r="A89" s="10">
        <f>SUBTOTAL(3,C$2:C89)</f>
        <v>88</v>
      </c>
      <c r="B89" s="10" t="s">
        <v>213</v>
      </c>
      <c r="C89" s="11" t="s">
        <v>45</v>
      </c>
      <c r="D89" s="10" t="s">
        <v>29</v>
      </c>
      <c r="E89" s="10" t="s">
        <v>30</v>
      </c>
      <c r="F89" s="10" t="s">
        <v>63</v>
      </c>
      <c r="G89" s="10" t="s">
        <v>32</v>
      </c>
      <c r="H89" s="12" t="s">
        <v>237</v>
      </c>
      <c r="I89" s="13">
        <v>46148</v>
      </c>
      <c r="J89" s="10">
        <f t="shared" ca="1" si="9"/>
        <v>51</v>
      </c>
      <c r="K89" s="10">
        <f t="shared" si="8"/>
        <v>46171</v>
      </c>
      <c r="L89" s="10" t="s">
        <v>196</v>
      </c>
      <c r="M89" s="10">
        <v>39000</v>
      </c>
      <c r="N89" s="10">
        <v>34000</v>
      </c>
      <c r="O89" s="13">
        <v>46149</v>
      </c>
      <c r="P89" s="10">
        <f t="shared" si="10"/>
        <v>5000</v>
      </c>
      <c r="Q89" s="14" t="s">
        <v>30</v>
      </c>
      <c r="R89" s="10" t="s">
        <v>34</v>
      </c>
      <c r="S89" s="10">
        <v>46000</v>
      </c>
      <c r="T89" s="10" t="str">
        <f>VLOOKUP(H89,'[1]MIS Sanjeev Auto'!$H$1:$T$168,13,0)</f>
        <v>VL/MH/26-27/0269</v>
      </c>
      <c r="U89" s="13">
        <f>VLOOKUP(H89,'[1]MIS Sanjeev Auto'!$H$1:$U$168,14,0)</f>
        <v>46171</v>
      </c>
      <c r="V89" s="10" t="s">
        <v>36</v>
      </c>
      <c r="W89" s="10">
        <f t="shared" si="11"/>
        <v>7000</v>
      </c>
      <c r="X89" s="10" t="s">
        <v>37</v>
      </c>
      <c r="Y89" s="10" t="s">
        <v>38</v>
      </c>
      <c r="Z89" s="15">
        <f t="shared" si="12"/>
        <v>17.948717948717949</v>
      </c>
      <c r="AA89" s="10"/>
    </row>
    <row r="90" spans="1:27">
      <c r="A90" s="10">
        <f>SUBTOTAL(3,C$2:C90)</f>
        <v>89</v>
      </c>
      <c r="B90" s="10" t="s">
        <v>213</v>
      </c>
      <c r="C90" s="11" t="s">
        <v>45</v>
      </c>
      <c r="D90" s="10" t="s">
        <v>29</v>
      </c>
      <c r="E90" s="10" t="s">
        <v>30</v>
      </c>
      <c r="F90" s="10" t="s">
        <v>238</v>
      </c>
      <c r="G90" s="10" t="s">
        <v>239</v>
      </c>
      <c r="H90" s="12" t="s">
        <v>240</v>
      </c>
      <c r="I90" s="13">
        <v>46148</v>
      </c>
      <c r="J90" s="10">
        <f t="shared" ca="1" si="9"/>
        <v>51</v>
      </c>
      <c r="K90" s="10">
        <f t="shared" si="8"/>
        <v>46171</v>
      </c>
      <c r="L90" s="10" t="s">
        <v>107</v>
      </c>
      <c r="M90" s="10">
        <v>19000</v>
      </c>
      <c r="N90" s="10">
        <v>17000</v>
      </c>
      <c r="O90" s="13">
        <v>46149</v>
      </c>
      <c r="P90" s="10">
        <f t="shared" si="10"/>
        <v>2000</v>
      </c>
      <c r="Q90" s="14" t="s">
        <v>30</v>
      </c>
      <c r="R90" s="10" t="s">
        <v>34</v>
      </c>
      <c r="S90" s="10">
        <v>22000</v>
      </c>
      <c r="T90" s="10" t="str">
        <f>VLOOKUP(H90,'[1]MIS Sanjeev Auto'!$H$1:$T$168,13,0)</f>
        <v>VL/MH/26-27/0272</v>
      </c>
      <c r="U90" s="13">
        <f>VLOOKUP(H90,'[1]MIS Sanjeev Auto'!$H$1:$U$168,14,0)</f>
        <v>46171</v>
      </c>
      <c r="V90" s="10" t="s">
        <v>36</v>
      </c>
      <c r="W90" s="10">
        <f t="shared" si="11"/>
        <v>3000</v>
      </c>
      <c r="X90" s="10" t="s">
        <v>37</v>
      </c>
      <c r="Y90" s="10" t="s">
        <v>38</v>
      </c>
      <c r="Z90" s="15">
        <f t="shared" si="12"/>
        <v>15.789473684210526</v>
      </c>
      <c r="AA90" s="10"/>
    </row>
    <row r="91" spans="1:27">
      <c r="A91" s="10">
        <f>SUBTOTAL(3,C$2:C91)</f>
        <v>90</v>
      </c>
      <c r="B91" s="10" t="s">
        <v>213</v>
      </c>
      <c r="C91" s="11" t="s">
        <v>226</v>
      </c>
      <c r="D91" s="10" t="s">
        <v>29</v>
      </c>
      <c r="E91" s="10" t="s">
        <v>30</v>
      </c>
      <c r="F91" s="10" t="s">
        <v>241</v>
      </c>
      <c r="G91" s="10" t="s">
        <v>41</v>
      </c>
      <c r="H91" s="12" t="s">
        <v>242</v>
      </c>
      <c r="I91" s="13">
        <v>46148</v>
      </c>
      <c r="J91" s="10">
        <f t="shared" ca="1" si="9"/>
        <v>51</v>
      </c>
      <c r="K91" s="10">
        <f t="shared" si="8"/>
        <v>46171</v>
      </c>
      <c r="L91" s="10" t="s">
        <v>142</v>
      </c>
      <c r="M91" s="10">
        <v>19000</v>
      </c>
      <c r="N91" s="10">
        <v>17000</v>
      </c>
      <c r="O91" s="13">
        <v>46149</v>
      </c>
      <c r="P91" s="10">
        <f t="shared" si="10"/>
        <v>2000</v>
      </c>
      <c r="Q91" s="14" t="s">
        <v>30</v>
      </c>
      <c r="R91" s="10" t="s">
        <v>34</v>
      </c>
      <c r="S91" s="10">
        <v>22000</v>
      </c>
      <c r="T91" s="10" t="str">
        <f>VLOOKUP(H91,'[1]MIS Sanjeev Auto'!$H$1:$T$168,13,0)</f>
        <v>VL/MH/26-27/0272</v>
      </c>
      <c r="U91" s="13">
        <f>VLOOKUP(H91,'[1]MIS Sanjeev Auto'!$H$1:$U$168,14,0)</f>
        <v>46171</v>
      </c>
      <c r="V91" s="10" t="s">
        <v>36</v>
      </c>
      <c r="W91" s="10">
        <f t="shared" si="11"/>
        <v>3000</v>
      </c>
      <c r="X91" s="10" t="s">
        <v>230</v>
      </c>
      <c r="Y91" s="10" t="s">
        <v>38</v>
      </c>
      <c r="Z91" s="15">
        <f t="shared" si="12"/>
        <v>15.789473684210526</v>
      </c>
      <c r="AA91" s="10"/>
    </row>
    <row r="92" spans="1:27">
      <c r="A92" s="10">
        <f>SUBTOTAL(3,C$2:C92)</f>
        <v>91</v>
      </c>
      <c r="B92" s="10" t="s">
        <v>213</v>
      </c>
      <c r="C92" s="11" t="s">
        <v>39</v>
      </c>
      <c r="D92" s="10" t="s">
        <v>29</v>
      </c>
      <c r="E92" s="10" t="s">
        <v>30</v>
      </c>
      <c r="F92" s="10" t="s">
        <v>243</v>
      </c>
      <c r="G92" s="10" t="s">
        <v>41</v>
      </c>
      <c r="H92" s="12" t="s">
        <v>244</v>
      </c>
      <c r="I92" s="13">
        <v>46150</v>
      </c>
      <c r="J92" s="10">
        <f t="shared" ca="1" si="9"/>
        <v>49</v>
      </c>
      <c r="K92" s="10">
        <f t="shared" si="8"/>
        <v>46171</v>
      </c>
      <c r="L92" s="10" t="s">
        <v>107</v>
      </c>
      <c r="M92" s="10">
        <v>19000</v>
      </c>
      <c r="N92" s="10">
        <v>17000</v>
      </c>
      <c r="O92" s="13">
        <v>46151</v>
      </c>
      <c r="P92" s="10">
        <f t="shared" si="10"/>
        <v>2000</v>
      </c>
      <c r="Q92" s="14" t="s">
        <v>30</v>
      </c>
      <c r="R92" s="10" t="s">
        <v>34</v>
      </c>
      <c r="S92" s="10">
        <v>22000</v>
      </c>
      <c r="T92" s="10" t="str">
        <f>VLOOKUP(H92,'[1]MIS Sanjeev Auto'!$H$1:$T$168,13,0)</f>
        <v>VL/MH/26-27/0272</v>
      </c>
      <c r="U92" s="13">
        <f>VLOOKUP(H92,'[1]MIS Sanjeev Auto'!$H$1:$U$168,14,0)</f>
        <v>46171</v>
      </c>
      <c r="V92" s="10" t="s">
        <v>36</v>
      </c>
      <c r="W92" s="10">
        <f t="shared" si="11"/>
        <v>3000</v>
      </c>
      <c r="X92" s="10" t="s">
        <v>37</v>
      </c>
      <c r="Y92" s="10" t="s">
        <v>38</v>
      </c>
      <c r="Z92" s="15">
        <f t="shared" si="12"/>
        <v>15.789473684210526</v>
      </c>
      <c r="AA92" s="10"/>
    </row>
    <row r="93" spans="1:27">
      <c r="A93" s="10">
        <f>SUBTOTAL(3,C$2:C93)</f>
        <v>92</v>
      </c>
      <c r="B93" s="10" t="s">
        <v>213</v>
      </c>
      <c r="C93" s="11" t="s">
        <v>49</v>
      </c>
      <c r="D93" s="10" t="s">
        <v>29</v>
      </c>
      <c r="E93" s="10" t="s">
        <v>30</v>
      </c>
      <c r="F93" s="10" t="s">
        <v>245</v>
      </c>
      <c r="G93" s="10" t="s">
        <v>239</v>
      </c>
      <c r="H93" s="12" t="s">
        <v>246</v>
      </c>
      <c r="I93" s="13">
        <v>46150</v>
      </c>
      <c r="J93" s="10">
        <f t="shared" ca="1" si="9"/>
        <v>49</v>
      </c>
      <c r="K93" s="10">
        <f t="shared" ref="K93:K152" si="13">+U93</f>
        <v>46171</v>
      </c>
      <c r="L93" s="10" t="s">
        <v>247</v>
      </c>
      <c r="M93" s="10">
        <v>19000</v>
      </c>
      <c r="N93" s="10">
        <v>17000</v>
      </c>
      <c r="O93" s="13">
        <v>46151</v>
      </c>
      <c r="P93" s="10">
        <f t="shared" si="10"/>
        <v>2000</v>
      </c>
      <c r="Q93" s="14" t="s">
        <v>30</v>
      </c>
      <c r="R93" s="10" t="s">
        <v>34</v>
      </c>
      <c r="S93" s="10">
        <v>22000</v>
      </c>
      <c r="T93" s="10" t="str">
        <f>VLOOKUP(H93,'[1]MIS Sanjeev Auto'!$H$1:$T$168,13,0)</f>
        <v>VL/MH/26-27/0273</v>
      </c>
      <c r="U93" s="13">
        <f>VLOOKUP(H93,'[1]MIS Sanjeev Auto'!$H$1:$U$168,14,0)</f>
        <v>46171</v>
      </c>
      <c r="V93" s="10" t="s">
        <v>36</v>
      </c>
      <c r="W93" s="10">
        <f t="shared" si="11"/>
        <v>3000</v>
      </c>
      <c r="X93" s="10" t="s">
        <v>37</v>
      </c>
      <c r="Y93" s="10" t="s">
        <v>38</v>
      </c>
      <c r="Z93" s="15">
        <f t="shared" si="12"/>
        <v>15.789473684210526</v>
      </c>
      <c r="AA93" s="10"/>
    </row>
    <row r="94" spans="1:27">
      <c r="A94" s="10">
        <f>SUBTOTAL(3,C$2:C94)</f>
        <v>93</v>
      </c>
      <c r="B94" s="10" t="s">
        <v>213</v>
      </c>
      <c r="C94" s="11" t="s">
        <v>39</v>
      </c>
      <c r="D94" s="10" t="s">
        <v>29</v>
      </c>
      <c r="E94" s="10" t="s">
        <v>30</v>
      </c>
      <c r="F94" s="10" t="s">
        <v>248</v>
      </c>
      <c r="G94" s="10" t="s">
        <v>41</v>
      </c>
      <c r="H94" s="12" t="s">
        <v>249</v>
      </c>
      <c r="I94" s="13">
        <v>46150</v>
      </c>
      <c r="J94" s="10">
        <f t="shared" ca="1" si="9"/>
        <v>49</v>
      </c>
      <c r="K94" s="10">
        <f t="shared" si="13"/>
        <v>46171</v>
      </c>
      <c r="L94" s="10" t="s">
        <v>107</v>
      </c>
      <c r="M94" s="10">
        <v>19000</v>
      </c>
      <c r="N94" s="10">
        <v>17000</v>
      </c>
      <c r="O94" s="13">
        <v>46151</v>
      </c>
      <c r="P94" s="10">
        <f t="shared" si="10"/>
        <v>2000</v>
      </c>
      <c r="Q94" s="14" t="s">
        <v>30</v>
      </c>
      <c r="R94" s="10" t="s">
        <v>34</v>
      </c>
      <c r="S94" s="10">
        <v>22000</v>
      </c>
      <c r="T94" s="10" t="str">
        <f>VLOOKUP(H94,'[1]MIS Sanjeev Auto'!$H$1:$T$168,13,0)</f>
        <v>VL/MH/26-27/0273</v>
      </c>
      <c r="U94" s="13">
        <f>VLOOKUP(H94,'[1]MIS Sanjeev Auto'!$H$1:$U$168,14,0)</f>
        <v>46171</v>
      </c>
      <c r="V94" s="10" t="s">
        <v>36</v>
      </c>
      <c r="W94" s="10">
        <f t="shared" si="11"/>
        <v>3000</v>
      </c>
      <c r="X94" s="10" t="s">
        <v>37</v>
      </c>
      <c r="Y94" s="10" t="s">
        <v>38</v>
      </c>
      <c r="Z94" s="15">
        <f t="shared" si="12"/>
        <v>15.789473684210526</v>
      </c>
      <c r="AA94" s="10"/>
    </row>
    <row r="95" spans="1:27">
      <c r="A95" s="10">
        <f>SUBTOTAL(3,C$2:C95)</f>
        <v>94</v>
      </c>
      <c r="B95" s="10" t="s">
        <v>213</v>
      </c>
      <c r="C95" s="11" t="s">
        <v>45</v>
      </c>
      <c r="D95" s="10" t="s">
        <v>29</v>
      </c>
      <c r="E95" s="10" t="s">
        <v>30</v>
      </c>
      <c r="F95" s="10" t="s">
        <v>250</v>
      </c>
      <c r="G95" s="10" t="s">
        <v>239</v>
      </c>
      <c r="H95" s="12" t="s">
        <v>251</v>
      </c>
      <c r="I95" s="13">
        <v>46150</v>
      </c>
      <c r="J95" s="10">
        <f t="shared" ca="1" si="9"/>
        <v>49</v>
      </c>
      <c r="K95" s="10">
        <f t="shared" si="13"/>
        <v>46171</v>
      </c>
      <c r="L95" s="10" t="s">
        <v>107</v>
      </c>
      <c r="M95" s="10">
        <v>19000</v>
      </c>
      <c r="N95" s="10">
        <v>17000</v>
      </c>
      <c r="O95" s="13">
        <v>46151</v>
      </c>
      <c r="P95" s="10">
        <f t="shared" si="10"/>
        <v>2000</v>
      </c>
      <c r="Q95" s="14" t="s">
        <v>30</v>
      </c>
      <c r="R95" s="10" t="s">
        <v>34</v>
      </c>
      <c r="S95" s="10">
        <v>22000</v>
      </c>
      <c r="T95" s="10" t="str">
        <f>VLOOKUP(H95,'[1]MIS Sanjeev Auto'!$H$1:$T$168,13,0)</f>
        <v>VL/MH/26-27/0273</v>
      </c>
      <c r="U95" s="13">
        <f>VLOOKUP(H95,'[1]MIS Sanjeev Auto'!$H$1:$U$168,14,0)</f>
        <v>46171</v>
      </c>
      <c r="V95" s="10" t="s">
        <v>36</v>
      </c>
      <c r="W95" s="10">
        <f t="shared" si="11"/>
        <v>3000</v>
      </c>
      <c r="X95" s="10" t="s">
        <v>37</v>
      </c>
      <c r="Y95" s="10" t="s">
        <v>38</v>
      </c>
      <c r="Z95" s="15">
        <f t="shared" si="12"/>
        <v>15.789473684210526</v>
      </c>
      <c r="AA95" s="10"/>
    </row>
    <row r="96" spans="1:27">
      <c r="A96" s="10">
        <f>SUBTOTAL(3,C$2:C96)</f>
        <v>95</v>
      </c>
      <c r="B96" s="10" t="s">
        <v>213</v>
      </c>
      <c r="C96" s="11" t="s">
        <v>45</v>
      </c>
      <c r="D96" s="10" t="s">
        <v>29</v>
      </c>
      <c r="E96" s="10" t="s">
        <v>30</v>
      </c>
      <c r="F96" s="10" t="s">
        <v>252</v>
      </c>
      <c r="G96" s="10" t="s">
        <v>239</v>
      </c>
      <c r="H96" s="12" t="s">
        <v>253</v>
      </c>
      <c r="I96" s="13">
        <v>46150</v>
      </c>
      <c r="J96" s="10">
        <f t="shared" ca="1" si="9"/>
        <v>49</v>
      </c>
      <c r="K96" s="10">
        <f t="shared" si="13"/>
        <v>46171</v>
      </c>
      <c r="L96" s="10" t="s">
        <v>107</v>
      </c>
      <c r="M96" s="10">
        <v>19000</v>
      </c>
      <c r="N96" s="10">
        <v>17000</v>
      </c>
      <c r="O96" s="13">
        <v>46151</v>
      </c>
      <c r="P96" s="10">
        <f t="shared" si="10"/>
        <v>2000</v>
      </c>
      <c r="Q96" s="14" t="s">
        <v>30</v>
      </c>
      <c r="R96" s="10" t="s">
        <v>34</v>
      </c>
      <c r="S96" s="10">
        <v>22000</v>
      </c>
      <c r="T96" s="10" t="str">
        <f>VLOOKUP(H96,'[1]MIS Sanjeev Auto'!$H$1:$T$168,13,0)</f>
        <v>VL/MH/26-27/0273</v>
      </c>
      <c r="U96" s="13">
        <f>VLOOKUP(H96,'[1]MIS Sanjeev Auto'!$H$1:$U$168,14,0)</f>
        <v>46171</v>
      </c>
      <c r="V96" s="10" t="s">
        <v>36</v>
      </c>
      <c r="W96" s="10">
        <f t="shared" si="11"/>
        <v>3000</v>
      </c>
      <c r="X96" s="10" t="s">
        <v>37</v>
      </c>
      <c r="Y96" s="10" t="s">
        <v>38</v>
      </c>
      <c r="Z96" s="15">
        <f t="shared" si="12"/>
        <v>15.789473684210526</v>
      </c>
      <c r="AA96" s="10"/>
    </row>
    <row r="97" spans="1:27">
      <c r="A97" s="10">
        <f>SUBTOTAL(3,C$2:C97)</f>
        <v>96</v>
      </c>
      <c r="B97" s="10" t="s">
        <v>213</v>
      </c>
      <c r="C97" s="11" t="s">
        <v>28</v>
      </c>
      <c r="D97" s="10" t="s">
        <v>29</v>
      </c>
      <c r="E97" s="10" t="s">
        <v>30</v>
      </c>
      <c r="F97" s="10" t="s">
        <v>55</v>
      </c>
      <c r="G97" s="10" t="s">
        <v>83</v>
      </c>
      <c r="H97" s="12" t="s">
        <v>254</v>
      </c>
      <c r="I97" s="13">
        <v>46150</v>
      </c>
      <c r="J97" s="10">
        <f t="shared" ca="1" si="9"/>
        <v>49</v>
      </c>
      <c r="K97" s="10">
        <f t="shared" si="13"/>
        <v>46171</v>
      </c>
      <c r="L97" s="10" t="s">
        <v>225</v>
      </c>
      <c r="M97" s="10">
        <v>39000</v>
      </c>
      <c r="N97" s="10">
        <v>34000</v>
      </c>
      <c r="O97" s="13">
        <v>46151</v>
      </c>
      <c r="P97" s="10">
        <f t="shared" si="10"/>
        <v>5000</v>
      </c>
      <c r="Q97" s="14" t="s">
        <v>30</v>
      </c>
      <c r="R97" s="10" t="s">
        <v>34</v>
      </c>
      <c r="S97" s="10">
        <v>46000</v>
      </c>
      <c r="T97" s="10" t="str">
        <f>VLOOKUP(H97,'[1]MIS Sanjeev Auto'!$H$1:$T$168,13,0)</f>
        <v>VL/MH/26-27/0269</v>
      </c>
      <c r="U97" s="13">
        <f>VLOOKUP(H97,'[1]MIS Sanjeev Auto'!$H$1:$U$168,14,0)</f>
        <v>46171</v>
      </c>
      <c r="V97" s="10" t="s">
        <v>36</v>
      </c>
      <c r="W97" s="10">
        <f t="shared" si="11"/>
        <v>7000</v>
      </c>
      <c r="X97" s="10" t="s">
        <v>37</v>
      </c>
      <c r="Y97" s="10" t="s">
        <v>38</v>
      </c>
      <c r="Z97" s="15">
        <f t="shared" si="12"/>
        <v>17.948717948717949</v>
      </c>
      <c r="AA97" s="10"/>
    </row>
    <row r="98" spans="1:27">
      <c r="A98" s="10">
        <f>SUBTOTAL(3,C$2:C98)</f>
        <v>97</v>
      </c>
      <c r="B98" s="10" t="s">
        <v>213</v>
      </c>
      <c r="C98" s="11" t="s">
        <v>49</v>
      </c>
      <c r="D98" s="10" t="s">
        <v>29</v>
      </c>
      <c r="E98" s="10" t="s">
        <v>30</v>
      </c>
      <c r="F98" s="10" t="s">
        <v>255</v>
      </c>
      <c r="G98" s="10" t="s">
        <v>256</v>
      </c>
      <c r="H98" s="12" t="s">
        <v>257</v>
      </c>
      <c r="I98" s="13">
        <v>46149</v>
      </c>
      <c r="J98" s="10">
        <f t="shared" ca="1" si="9"/>
        <v>50</v>
      </c>
      <c r="K98" s="10">
        <f t="shared" si="13"/>
        <v>46171</v>
      </c>
      <c r="L98" s="10" t="s">
        <v>247</v>
      </c>
      <c r="M98" s="10">
        <v>33000</v>
      </c>
      <c r="N98" s="10">
        <v>30000</v>
      </c>
      <c r="O98" s="13">
        <v>46151</v>
      </c>
      <c r="P98" s="10">
        <f t="shared" si="10"/>
        <v>3000</v>
      </c>
      <c r="Q98" s="14" t="s">
        <v>30</v>
      </c>
      <c r="R98" s="10" t="s">
        <v>34</v>
      </c>
      <c r="S98" s="10">
        <v>38000</v>
      </c>
      <c r="T98" s="10" t="str">
        <f>VLOOKUP(H98,'[1]MIS Sanjeev Auto'!$H$1:$T$168,13,0)</f>
        <v>VL/MH/26-27/0271</v>
      </c>
      <c r="U98" s="13">
        <f>VLOOKUP(H98,'[1]MIS Sanjeev Auto'!$H$1:$U$168,14,0)</f>
        <v>46171</v>
      </c>
      <c r="V98" s="10" t="s">
        <v>36</v>
      </c>
      <c r="W98" s="10">
        <f t="shared" si="11"/>
        <v>5000</v>
      </c>
      <c r="X98" s="10" t="s">
        <v>37</v>
      </c>
      <c r="Y98" s="10" t="s">
        <v>38</v>
      </c>
      <c r="Z98" s="15">
        <f t="shared" si="12"/>
        <v>15.151515151515152</v>
      </c>
      <c r="AA98" s="10"/>
    </row>
    <row r="99" spans="1:27">
      <c r="A99" s="10">
        <f>SUBTOTAL(3,C$2:C99)</f>
        <v>98</v>
      </c>
      <c r="B99" s="10" t="s">
        <v>213</v>
      </c>
      <c r="C99" s="11" t="s">
        <v>49</v>
      </c>
      <c r="D99" s="10" t="s">
        <v>29</v>
      </c>
      <c r="E99" s="10" t="s">
        <v>30</v>
      </c>
      <c r="F99" s="10" t="s">
        <v>258</v>
      </c>
      <c r="G99" s="10" t="s">
        <v>32</v>
      </c>
      <c r="H99" s="12" t="s">
        <v>259</v>
      </c>
      <c r="I99" s="13">
        <v>46150</v>
      </c>
      <c r="J99" s="10">
        <f t="shared" ca="1" si="9"/>
        <v>49</v>
      </c>
      <c r="K99" s="10">
        <f t="shared" si="13"/>
        <v>46171</v>
      </c>
      <c r="L99" s="10" t="s">
        <v>142</v>
      </c>
      <c r="M99" s="10">
        <v>39000</v>
      </c>
      <c r="N99" s="10">
        <v>34000</v>
      </c>
      <c r="O99" s="13">
        <v>46151</v>
      </c>
      <c r="P99" s="10">
        <f t="shared" si="10"/>
        <v>5000</v>
      </c>
      <c r="Q99" s="14" t="s">
        <v>30</v>
      </c>
      <c r="R99" s="10" t="s">
        <v>34</v>
      </c>
      <c r="S99" s="10">
        <v>46000</v>
      </c>
      <c r="T99" s="10" t="str">
        <f>VLOOKUP(H99,'[1]MIS Sanjeev Auto'!$H$1:$T$168,13,0)</f>
        <v>VL/MH/26-27/0270</v>
      </c>
      <c r="U99" s="13">
        <f>VLOOKUP(H99,'[1]MIS Sanjeev Auto'!$H$1:$U$168,14,0)</f>
        <v>46171</v>
      </c>
      <c r="V99" s="10" t="s">
        <v>36</v>
      </c>
      <c r="W99" s="10">
        <f t="shared" si="11"/>
        <v>7000</v>
      </c>
      <c r="X99" s="10" t="s">
        <v>37</v>
      </c>
      <c r="Y99" s="10" t="s">
        <v>38</v>
      </c>
      <c r="Z99" s="15">
        <f t="shared" si="12"/>
        <v>17.948717948717949</v>
      </c>
      <c r="AA99" s="10"/>
    </row>
    <row r="100" spans="1:27">
      <c r="A100" s="10">
        <f>SUBTOTAL(3,C$2:C100)</f>
        <v>99</v>
      </c>
      <c r="B100" s="10" t="s">
        <v>213</v>
      </c>
      <c r="C100" s="11" t="s">
        <v>39</v>
      </c>
      <c r="D100" s="10" t="s">
        <v>29</v>
      </c>
      <c r="E100" s="10" t="s">
        <v>30</v>
      </c>
      <c r="F100" s="10" t="s">
        <v>137</v>
      </c>
      <c r="G100" s="10" t="s">
        <v>41</v>
      </c>
      <c r="H100" s="12" t="s">
        <v>260</v>
      </c>
      <c r="I100" s="13">
        <v>46152</v>
      </c>
      <c r="J100" s="10">
        <f t="shared" ca="1" si="9"/>
        <v>47</v>
      </c>
      <c r="K100" s="10" t="str">
        <f t="shared" si="13"/>
        <v>Pending</v>
      </c>
      <c r="L100" s="10" t="s">
        <v>107</v>
      </c>
      <c r="M100" s="10">
        <v>19000</v>
      </c>
      <c r="N100" s="10">
        <v>17000</v>
      </c>
      <c r="O100" s="13">
        <v>46152</v>
      </c>
      <c r="P100" s="10">
        <f t="shared" si="10"/>
        <v>2000</v>
      </c>
      <c r="Q100" s="14" t="s">
        <v>30</v>
      </c>
      <c r="R100" s="10" t="s">
        <v>34</v>
      </c>
      <c r="S100" s="10">
        <v>22000</v>
      </c>
      <c r="T100" s="10" t="str">
        <f>VLOOKUP(H100,'[1]MIS Sanjeev Auto'!$H$1:$T$168,13,0)</f>
        <v>Pending</v>
      </c>
      <c r="U100" s="13" t="str">
        <f>VLOOKUP(H100,'[1]MIS Sanjeev Auto'!$H$1:$U$168,14,0)</f>
        <v>Pending</v>
      </c>
      <c r="V100" s="10" t="s">
        <v>36</v>
      </c>
      <c r="W100" s="10">
        <f t="shared" si="11"/>
        <v>3000</v>
      </c>
      <c r="X100" s="10" t="s">
        <v>37</v>
      </c>
      <c r="Y100" s="10" t="s">
        <v>38</v>
      </c>
      <c r="Z100" s="15">
        <f t="shared" si="12"/>
        <v>15.789473684210526</v>
      </c>
      <c r="AA100" s="10"/>
    </row>
    <row r="101" spans="1:27">
      <c r="A101" s="10">
        <f>SUBTOTAL(3,C$2:C101)</f>
        <v>100</v>
      </c>
      <c r="B101" s="10" t="s">
        <v>213</v>
      </c>
      <c r="C101" s="11" t="s">
        <v>28</v>
      </c>
      <c r="D101" s="10" t="s">
        <v>29</v>
      </c>
      <c r="E101" s="10" t="s">
        <v>30</v>
      </c>
      <c r="F101" s="10" t="s">
        <v>74</v>
      </c>
      <c r="G101" s="10" t="s">
        <v>83</v>
      </c>
      <c r="H101" s="12" t="s">
        <v>261</v>
      </c>
      <c r="I101" s="13">
        <v>46152</v>
      </c>
      <c r="J101" s="10">
        <f t="shared" ca="1" si="9"/>
        <v>47</v>
      </c>
      <c r="K101" s="10">
        <f t="shared" si="13"/>
        <v>46171</v>
      </c>
      <c r="L101" s="10" t="s">
        <v>225</v>
      </c>
      <c r="M101" s="10">
        <v>39000</v>
      </c>
      <c r="N101" s="10">
        <v>34000</v>
      </c>
      <c r="O101" s="13">
        <v>46152</v>
      </c>
      <c r="P101" s="10">
        <f t="shared" si="10"/>
        <v>5000</v>
      </c>
      <c r="Q101" s="14" t="s">
        <v>30</v>
      </c>
      <c r="R101" s="10" t="s">
        <v>34</v>
      </c>
      <c r="S101" s="10">
        <v>46000</v>
      </c>
      <c r="T101" s="10" t="str">
        <f>VLOOKUP(H101,'[1]MIS Sanjeev Auto'!$H$1:$T$168,13,0)</f>
        <v>VL/MH/26-27/0270</v>
      </c>
      <c r="U101" s="13">
        <f>VLOOKUP(H101,'[1]MIS Sanjeev Auto'!$H$1:$U$168,14,0)</f>
        <v>46171</v>
      </c>
      <c r="V101" s="10" t="s">
        <v>36</v>
      </c>
      <c r="W101" s="10">
        <f t="shared" si="11"/>
        <v>7000</v>
      </c>
      <c r="X101" s="10" t="s">
        <v>37</v>
      </c>
      <c r="Y101" s="10" t="s">
        <v>38</v>
      </c>
      <c r="Z101" s="15">
        <f t="shared" si="12"/>
        <v>17.948717948717949</v>
      </c>
      <c r="AA101" s="10"/>
    </row>
    <row r="102" spans="1:27">
      <c r="A102" s="10">
        <f>SUBTOTAL(3,C$2:C102)</f>
        <v>101</v>
      </c>
      <c r="B102" s="10" t="s">
        <v>213</v>
      </c>
      <c r="C102" s="11" t="s">
        <v>45</v>
      </c>
      <c r="D102" s="10" t="s">
        <v>29</v>
      </c>
      <c r="E102" s="10" t="s">
        <v>30</v>
      </c>
      <c r="F102" s="10" t="s">
        <v>255</v>
      </c>
      <c r="G102" s="10" t="s">
        <v>256</v>
      </c>
      <c r="H102" s="12" t="s">
        <v>262</v>
      </c>
      <c r="I102" s="13">
        <v>46154</v>
      </c>
      <c r="J102" s="10">
        <f t="shared" ca="1" si="9"/>
        <v>45</v>
      </c>
      <c r="K102" s="10">
        <f t="shared" si="13"/>
        <v>46171</v>
      </c>
      <c r="L102" s="10" t="s">
        <v>196</v>
      </c>
      <c r="M102" s="10">
        <v>33000</v>
      </c>
      <c r="N102" s="10">
        <v>30000</v>
      </c>
      <c r="O102" s="13">
        <v>46155</v>
      </c>
      <c r="P102" s="10">
        <f t="shared" si="10"/>
        <v>3000</v>
      </c>
      <c r="Q102" s="14" t="s">
        <v>30</v>
      </c>
      <c r="R102" s="10" t="s">
        <v>34</v>
      </c>
      <c r="S102" s="10">
        <v>38000</v>
      </c>
      <c r="T102" s="10" t="str">
        <f>VLOOKUP(H102,'[1]MIS Sanjeev Auto'!$H$1:$T$168,13,0)</f>
        <v>VL/MH/26-27/0271</v>
      </c>
      <c r="U102" s="13">
        <f>VLOOKUP(H102,'[1]MIS Sanjeev Auto'!$H$1:$U$168,14,0)</f>
        <v>46171</v>
      </c>
      <c r="V102" s="10" t="s">
        <v>36</v>
      </c>
      <c r="W102" s="10">
        <f t="shared" si="11"/>
        <v>5000</v>
      </c>
      <c r="X102" s="10" t="s">
        <v>37</v>
      </c>
      <c r="Y102" s="10" t="s">
        <v>38</v>
      </c>
      <c r="Z102" s="15">
        <f t="shared" si="12"/>
        <v>15.151515151515152</v>
      </c>
      <c r="AA102" s="10"/>
    </row>
    <row r="103" spans="1:27">
      <c r="A103" s="10">
        <f>SUBTOTAL(3,C$2:C103)</f>
        <v>102</v>
      </c>
      <c r="B103" s="10" t="s">
        <v>213</v>
      </c>
      <c r="C103" s="11" t="s">
        <v>45</v>
      </c>
      <c r="D103" s="10" t="s">
        <v>29</v>
      </c>
      <c r="E103" s="10" t="s">
        <v>30</v>
      </c>
      <c r="F103" s="10" t="s">
        <v>250</v>
      </c>
      <c r="G103" s="10" t="s">
        <v>239</v>
      </c>
      <c r="H103" s="12" t="s">
        <v>263</v>
      </c>
      <c r="I103" s="13">
        <v>46154</v>
      </c>
      <c r="J103" s="10">
        <f t="shared" ca="1" si="9"/>
        <v>45</v>
      </c>
      <c r="K103" s="10">
        <f t="shared" si="13"/>
        <v>46171</v>
      </c>
      <c r="L103" s="10" t="s">
        <v>196</v>
      </c>
      <c r="M103" s="10">
        <v>19000</v>
      </c>
      <c r="N103" s="10">
        <v>17000</v>
      </c>
      <c r="O103" s="13">
        <v>46155</v>
      </c>
      <c r="P103" s="10">
        <f t="shared" si="10"/>
        <v>2000</v>
      </c>
      <c r="Q103" s="14" t="s">
        <v>30</v>
      </c>
      <c r="R103" s="10" t="s">
        <v>34</v>
      </c>
      <c r="S103" s="10">
        <v>22000</v>
      </c>
      <c r="T103" s="10" t="str">
        <f>VLOOKUP(H103,'[1]MIS Sanjeev Auto'!$H$1:$T$168,13,0)</f>
        <v>VL/MH/26-27/0274</v>
      </c>
      <c r="U103" s="13">
        <f>VLOOKUP(H103,'[1]MIS Sanjeev Auto'!$H$1:$U$168,14,0)</f>
        <v>46171</v>
      </c>
      <c r="V103" s="10" t="s">
        <v>36</v>
      </c>
      <c r="W103" s="10">
        <f t="shared" si="11"/>
        <v>3000</v>
      </c>
      <c r="X103" s="10" t="s">
        <v>37</v>
      </c>
      <c r="Y103" s="10" t="s">
        <v>38</v>
      </c>
      <c r="Z103" s="15">
        <f t="shared" si="12"/>
        <v>15.789473684210526</v>
      </c>
      <c r="AA103" s="10"/>
    </row>
    <row r="104" spans="1:27">
      <c r="A104" s="10">
        <f>SUBTOTAL(3,C$2:C104)</f>
        <v>103</v>
      </c>
      <c r="B104" s="10" t="s">
        <v>213</v>
      </c>
      <c r="C104" s="11" t="s">
        <v>45</v>
      </c>
      <c r="D104" s="10" t="s">
        <v>29</v>
      </c>
      <c r="E104" s="10" t="s">
        <v>30</v>
      </c>
      <c r="F104" s="10" t="s">
        <v>264</v>
      </c>
      <c r="G104" s="10" t="s">
        <v>239</v>
      </c>
      <c r="H104" s="12" t="s">
        <v>265</v>
      </c>
      <c r="I104" s="13">
        <v>46153</v>
      </c>
      <c r="J104" s="10">
        <f t="shared" ca="1" si="9"/>
        <v>46</v>
      </c>
      <c r="K104" s="10">
        <f t="shared" si="13"/>
        <v>46171</v>
      </c>
      <c r="L104" s="10" t="s">
        <v>196</v>
      </c>
      <c r="M104" s="10">
        <v>19000</v>
      </c>
      <c r="N104" s="10">
        <v>17000</v>
      </c>
      <c r="O104" s="13">
        <v>46155</v>
      </c>
      <c r="P104" s="10">
        <f t="shared" si="10"/>
        <v>2000</v>
      </c>
      <c r="Q104" s="14" t="s">
        <v>30</v>
      </c>
      <c r="R104" s="10" t="s">
        <v>34</v>
      </c>
      <c r="S104" s="10">
        <v>22000</v>
      </c>
      <c r="T104" s="10" t="str">
        <f>VLOOKUP(H104,'[1]MIS Sanjeev Auto'!$H$1:$T$168,13,0)</f>
        <v>VL/MH/26-27/0274</v>
      </c>
      <c r="U104" s="13">
        <f>VLOOKUP(H104,'[1]MIS Sanjeev Auto'!$H$1:$U$168,14,0)</f>
        <v>46171</v>
      </c>
      <c r="V104" s="10" t="s">
        <v>36</v>
      </c>
      <c r="W104" s="10">
        <f t="shared" si="11"/>
        <v>3000</v>
      </c>
      <c r="X104" s="10" t="s">
        <v>37</v>
      </c>
      <c r="Y104" s="10" t="s">
        <v>38</v>
      </c>
      <c r="Z104" s="15">
        <f t="shared" si="12"/>
        <v>15.789473684210526</v>
      </c>
      <c r="AA104" s="10"/>
    </row>
    <row r="105" spans="1:27">
      <c r="A105" s="10">
        <f>SUBTOTAL(3,C$2:C105)</f>
        <v>104</v>
      </c>
      <c r="B105" s="10" t="s">
        <v>213</v>
      </c>
      <c r="C105" s="11" t="s">
        <v>39</v>
      </c>
      <c r="D105" s="10" t="s">
        <v>29</v>
      </c>
      <c r="E105" s="10" t="s">
        <v>30</v>
      </c>
      <c r="F105" s="10" t="s">
        <v>62</v>
      </c>
      <c r="G105" s="10" t="s">
        <v>41</v>
      </c>
      <c r="H105" s="12" t="s">
        <v>266</v>
      </c>
      <c r="I105" s="13">
        <v>46154</v>
      </c>
      <c r="J105" s="10">
        <f t="shared" ca="1" si="9"/>
        <v>45</v>
      </c>
      <c r="K105" s="10">
        <f t="shared" si="13"/>
        <v>46171</v>
      </c>
      <c r="L105" s="10" t="s">
        <v>107</v>
      </c>
      <c r="M105" s="10">
        <v>19000</v>
      </c>
      <c r="N105" s="10">
        <v>17000</v>
      </c>
      <c r="O105" s="13">
        <v>46155</v>
      </c>
      <c r="P105" s="10">
        <f t="shared" si="10"/>
        <v>2000</v>
      </c>
      <c r="Q105" s="14" t="s">
        <v>30</v>
      </c>
      <c r="R105" s="10" t="s">
        <v>34</v>
      </c>
      <c r="S105" s="10">
        <v>22000</v>
      </c>
      <c r="T105" s="10" t="str">
        <f>VLOOKUP(H105,'[1]MIS Sanjeev Auto'!$H$1:$T$168,13,0)</f>
        <v>VL/MH/26-27/0274</v>
      </c>
      <c r="U105" s="13">
        <f>VLOOKUP(H105,'[1]MIS Sanjeev Auto'!$H$1:$U$168,14,0)</f>
        <v>46171</v>
      </c>
      <c r="V105" s="10" t="s">
        <v>36</v>
      </c>
      <c r="W105" s="10">
        <f t="shared" si="11"/>
        <v>3000</v>
      </c>
      <c r="X105" s="10" t="s">
        <v>37</v>
      </c>
      <c r="Y105" s="10" t="s">
        <v>38</v>
      </c>
      <c r="Z105" s="15">
        <f t="shared" si="12"/>
        <v>15.789473684210526</v>
      </c>
      <c r="AA105" s="10"/>
    </row>
    <row r="106" spans="1:27">
      <c r="A106" s="10">
        <f>SUBTOTAL(3,C$2:C106)</f>
        <v>105</v>
      </c>
      <c r="B106" s="10" t="s">
        <v>213</v>
      </c>
      <c r="C106" s="11" t="s">
        <v>45</v>
      </c>
      <c r="D106" s="10" t="s">
        <v>29</v>
      </c>
      <c r="E106" s="10" t="s">
        <v>30</v>
      </c>
      <c r="F106" s="10" t="s">
        <v>267</v>
      </c>
      <c r="G106" s="10" t="s">
        <v>256</v>
      </c>
      <c r="H106" s="12" t="s">
        <v>268</v>
      </c>
      <c r="I106" s="13">
        <v>46155</v>
      </c>
      <c r="J106" s="10">
        <f t="shared" ca="1" si="9"/>
        <v>44</v>
      </c>
      <c r="K106" s="10">
        <f t="shared" si="13"/>
        <v>46171</v>
      </c>
      <c r="L106" s="10" t="s">
        <v>196</v>
      </c>
      <c r="M106" s="10">
        <v>33000</v>
      </c>
      <c r="N106" s="10">
        <v>30000</v>
      </c>
      <c r="O106" s="13">
        <v>46155</v>
      </c>
      <c r="P106" s="10">
        <f t="shared" si="10"/>
        <v>3000</v>
      </c>
      <c r="Q106" s="14" t="s">
        <v>30</v>
      </c>
      <c r="R106" s="10" t="s">
        <v>34</v>
      </c>
      <c r="S106" s="10">
        <v>38000</v>
      </c>
      <c r="T106" s="10" t="str">
        <f>VLOOKUP(H106,'[1]MIS Sanjeev Auto'!$H$1:$T$168,13,0)</f>
        <v>VL/MH/26-27/0271</v>
      </c>
      <c r="U106" s="13">
        <f>VLOOKUP(H106,'[1]MIS Sanjeev Auto'!$H$1:$U$168,14,0)</f>
        <v>46171</v>
      </c>
      <c r="V106" s="10" t="s">
        <v>36</v>
      </c>
      <c r="W106" s="10">
        <f t="shared" si="11"/>
        <v>5000</v>
      </c>
      <c r="X106" s="10" t="s">
        <v>37</v>
      </c>
      <c r="Y106" s="10" t="s">
        <v>38</v>
      </c>
      <c r="Z106" s="15">
        <f t="shared" si="12"/>
        <v>15.151515151515152</v>
      </c>
      <c r="AA106" s="10"/>
    </row>
    <row r="107" spans="1:27">
      <c r="A107" s="10">
        <f>SUBTOTAL(3,C$2:C107)</f>
        <v>106</v>
      </c>
      <c r="B107" s="10" t="s">
        <v>213</v>
      </c>
      <c r="C107" s="11" t="s">
        <v>45</v>
      </c>
      <c r="D107" s="10" t="s">
        <v>29</v>
      </c>
      <c r="E107" s="10" t="s">
        <v>30</v>
      </c>
      <c r="F107" s="10" t="s">
        <v>269</v>
      </c>
      <c r="G107" s="10" t="s">
        <v>239</v>
      </c>
      <c r="H107" s="12" t="s">
        <v>270</v>
      </c>
      <c r="I107" s="13">
        <v>46154</v>
      </c>
      <c r="J107" s="10">
        <f t="shared" ca="1" si="9"/>
        <v>45</v>
      </c>
      <c r="K107" s="10">
        <f t="shared" si="13"/>
        <v>46171</v>
      </c>
      <c r="L107" s="10" t="s">
        <v>196</v>
      </c>
      <c r="M107" s="10">
        <v>19000</v>
      </c>
      <c r="N107" s="10">
        <v>17000</v>
      </c>
      <c r="O107" s="13">
        <v>46155</v>
      </c>
      <c r="P107" s="10">
        <f t="shared" si="10"/>
        <v>2000</v>
      </c>
      <c r="Q107" s="14" t="s">
        <v>30</v>
      </c>
      <c r="R107" s="10" t="s">
        <v>34</v>
      </c>
      <c r="S107" s="10">
        <v>22000</v>
      </c>
      <c r="T107" s="10" t="str">
        <f>VLOOKUP(H107,'[1]MIS Sanjeev Auto'!$H$1:$T$168,13,0)</f>
        <v>VL/MH/26-27/0275</v>
      </c>
      <c r="U107" s="13">
        <f>VLOOKUP(H107,'[1]MIS Sanjeev Auto'!$H$1:$U$168,14,0)</f>
        <v>46171</v>
      </c>
      <c r="V107" s="10" t="s">
        <v>36</v>
      </c>
      <c r="W107" s="10">
        <f t="shared" si="11"/>
        <v>3000</v>
      </c>
      <c r="X107" s="10" t="s">
        <v>37</v>
      </c>
      <c r="Y107" s="10" t="s">
        <v>38</v>
      </c>
      <c r="Z107" s="15">
        <f t="shared" si="12"/>
        <v>15.789473684210526</v>
      </c>
      <c r="AA107" s="10"/>
    </row>
    <row r="108" spans="1:27">
      <c r="A108" s="10">
        <f>SUBTOTAL(3,C$2:C108)</f>
        <v>107</v>
      </c>
      <c r="B108" s="10" t="s">
        <v>213</v>
      </c>
      <c r="C108" s="11" t="s">
        <v>45</v>
      </c>
      <c r="D108" s="10" t="s">
        <v>29</v>
      </c>
      <c r="E108" s="10" t="s">
        <v>30</v>
      </c>
      <c r="F108" s="10" t="s">
        <v>271</v>
      </c>
      <c r="G108" s="10" t="s">
        <v>239</v>
      </c>
      <c r="H108" s="12" t="s">
        <v>272</v>
      </c>
      <c r="I108" s="13">
        <v>46155</v>
      </c>
      <c r="J108" s="10">
        <f t="shared" ca="1" si="9"/>
        <v>44</v>
      </c>
      <c r="K108" s="10">
        <f t="shared" si="13"/>
        <v>46171</v>
      </c>
      <c r="L108" s="10" t="s">
        <v>196</v>
      </c>
      <c r="M108" s="10">
        <v>19000</v>
      </c>
      <c r="N108" s="10">
        <v>17000</v>
      </c>
      <c r="O108" s="13">
        <v>46157</v>
      </c>
      <c r="P108" s="10">
        <f t="shared" si="10"/>
        <v>2000</v>
      </c>
      <c r="Q108" s="14" t="s">
        <v>30</v>
      </c>
      <c r="R108" s="10" t="s">
        <v>34</v>
      </c>
      <c r="S108" s="10">
        <v>22000</v>
      </c>
      <c r="T108" s="10" t="str">
        <f>VLOOKUP(H108,'[1]MIS Sanjeev Auto'!$H$1:$T$168,13,0)</f>
        <v>VL/MH/26-27/0275</v>
      </c>
      <c r="U108" s="13">
        <f>VLOOKUP(H108,'[1]MIS Sanjeev Auto'!$H$1:$U$168,14,0)</f>
        <v>46171</v>
      </c>
      <c r="V108" s="10" t="s">
        <v>36</v>
      </c>
      <c r="W108" s="10">
        <f t="shared" si="11"/>
        <v>3000</v>
      </c>
      <c r="X108" s="10" t="s">
        <v>37</v>
      </c>
      <c r="Y108" s="10" t="s">
        <v>38</v>
      </c>
      <c r="Z108" s="15">
        <f t="shared" si="12"/>
        <v>15.789473684210526</v>
      </c>
      <c r="AA108" s="10"/>
    </row>
    <row r="109" spans="1:27">
      <c r="A109" s="10">
        <f>SUBTOTAL(3,C$2:C109)</f>
        <v>108</v>
      </c>
      <c r="B109" s="10" t="s">
        <v>213</v>
      </c>
      <c r="C109" s="11" t="s">
        <v>39</v>
      </c>
      <c r="D109" s="10" t="s">
        <v>29</v>
      </c>
      <c r="E109" s="10" t="s">
        <v>30</v>
      </c>
      <c r="F109" s="10" t="s">
        <v>273</v>
      </c>
      <c r="G109" s="10" t="s">
        <v>41</v>
      </c>
      <c r="H109" s="12" t="s">
        <v>274</v>
      </c>
      <c r="I109" s="13">
        <v>46155</v>
      </c>
      <c r="J109" s="10">
        <f t="shared" ca="1" si="9"/>
        <v>44</v>
      </c>
      <c r="K109" s="10">
        <f t="shared" si="13"/>
        <v>46171</v>
      </c>
      <c r="L109" s="10" t="s">
        <v>107</v>
      </c>
      <c r="M109" s="10">
        <v>19000</v>
      </c>
      <c r="N109" s="10">
        <v>17000</v>
      </c>
      <c r="O109" s="13">
        <v>46157</v>
      </c>
      <c r="P109" s="10">
        <f t="shared" si="10"/>
        <v>2000</v>
      </c>
      <c r="Q109" s="14" t="s">
        <v>30</v>
      </c>
      <c r="R109" s="10" t="s">
        <v>34</v>
      </c>
      <c r="S109" s="10">
        <v>22000</v>
      </c>
      <c r="T109" s="10" t="str">
        <f>VLOOKUP(H109,'[1]MIS Sanjeev Auto'!$H$1:$T$168,13,0)</f>
        <v>VL/MH/26-27/0275</v>
      </c>
      <c r="U109" s="13">
        <f>VLOOKUP(H109,'[1]MIS Sanjeev Auto'!$H$1:$U$168,14,0)</f>
        <v>46171</v>
      </c>
      <c r="V109" s="10" t="s">
        <v>36</v>
      </c>
      <c r="W109" s="10">
        <f t="shared" si="11"/>
        <v>3000</v>
      </c>
      <c r="X109" s="10" t="s">
        <v>37</v>
      </c>
      <c r="Y109" s="10" t="s">
        <v>38</v>
      </c>
      <c r="Z109" s="15">
        <f t="shared" si="12"/>
        <v>15.789473684210526</v>
      </c>
      <c r="AA109" s="10"/>
    </row>
    <row r="110" spans="1:27">
      <c r="A110" s="10">
        <f>SUBTOTAL(3,C$2:C110)</f>
        <v>109</v>
      </c>
      <c r="B110" s="10" t="s">
        <v>213</v>
      </c>
      <c r="C110" s="11" t="s">
        <v>39</v>
      </c>
      <c r="D110" s="10" t="s">
        <v>29</v>
      </c>
      <c r="E110" s="10" t="s">
        <v>30</v>
      </c>
      <c r="F110" s="10" t="s">
        <v>275</v>
      </c>
      <c r="G110" s="10" t="s">
        <v>41</v>
      </c>
      <c r="H110" s="12" t="s">
        <v>276</v>
      </c>
      <c r="I110" s="13">
        <v>46156</v>
      </c>
      <c r="J110" s="10">
        <f t="shared" ca="1" si="9"/>
        <v>43</v>
      </c>
      <c r="K110" s="10">
        <f t="shared" si="13"/>
        <v>46171</v>
      </c>
      <c r="L110" s="10" t="s">
        <v>107</v>
      </c>
      <c r="M110" s="10">
        <v>19000</v>
      </c>
      <c r="N110" s="10">
        <v>17000</v>
      </c>
      <c r="O110" s="13">
        <v>46157</v>
      </c>
      <c r="P110" s="10">
        <f t="shared" si="10"/>
        <v>2000</v>
      </c>
      <c r="Q110" s="14" t="s">
        <v>30</v>
      </c>
      <c r="R110" s="10" t="s">
        <v>34</v>
      </c>
      <c r="S110" s="10">
        <v>22000</v>
      </c>
      <c r="T110" s="10" t="str">
        <f>VLOOKUP(H110,'[1]MIS Sanjeev Auto'!$H$1:$T$168,13,0)</f>
        <v>VL/MH/26-27/0276</v>
      </c>
      <c r="U110" s="13">
        <f>VLOOKUP(H110,'[1]MIS Sanjeev Auto'!$H$1:$U$168,14,0)</f>
        <v>46171</v>
      </c>
      <c r="V110" s="10" t="s">
        <v>36</v>
      </c>
      <c r="W110" s="10">
        <f t="shared" si="11"/>
        <v>3000</v>
      </c>
      <c r="X110" s="10" t="s">
        <v>37</v>
      </c>
      <c r="Y110" s="10" t="s">
        <v>38</v>
      </c>
      <c r="Z110" s="15">
        <f t="shared" si="12"/>
        <v>15.789473684210526</v>
      </c>
      <c r="AA110" s="10"/>
    </row>
    <row r="111" spans="1:27">
      <c r="A111" s="10">
        <f>SUBTOTAL(3,C$2:C111)</f>
        <v>110</v>
      </c>
      <c r="B111" s="10" t="s">
        <v>213</v>
      </c>
      <c r="C111" s="11" t="s">
        <v>39</v>
      </c>
      <c r="D111" s="10" t="s">
        <v>29</v>
      </c>
      <c r="E111" s="10" t="s">
        <v>30</v>
      </c>
      <c r="F111" s="10" t="s">
        <v>277</v>
      </c>
      <c r="G111" s="10" t="s">
        <v>41</v>
      </c>
      <c r="H111" s="12" t="s">
        <v>278</v>
      </c>
      <c r="I111" s="13">
        <v>46156</v>
      </c>
      <c r="J111" s="10">
        <f t="shared" ca="1" si="9"/>
        <v>43</v>
      </c>
      <c r="K111" s="10" t="str">
        <f t="shared" si="13"/>
        <v>Pending</v>
      </c>
      <c r="L111" s="10" t="s">
        <v>107</v>
      </c>
      <c r="M111" s="10">
        <v>19000</v>
      </c>
      <c r="N111" s="10">
        <v>17000</v>
      </c>
      <c r="O111" s="13">
        <v>46157</v>
      </c>
      <c r="P111" s="10">
        <f t="shared" si="10"/>
        <v>2000</v>
      </c>
      <c r="Q111" s="14" t="s">
        <v>30</v>
      </c>
      <c r="R111" s="10" t="s">
        <v>34</v>
      </c>
      <c r="S111" s="10">
        <v>22000</v>
      </c>
      <c r="T111" s="10" t="str">
        <f>VLOOKUP(H111,'[1]MIS Sanjeev Auto'!$H$1:$T$168,13,0)</f>
        <v>Pending</v>
      </c>
      <c r="U111" s="13" t="str">
        <f>VLOOKUP(H111,'[1]MIS Sanjeev Auto'!$H$1:$U$168,14,0)</f>
        <v>Pending</v>
      </c>
      <c r="V111" s="10" t="s">
        <v>36</v>
      </c>
      <c r="W111" s="10">
        <f t="shared" si="11"/>
        <v>3000</v>
      </c>
      <c r="X111" s="10" t="s">
        <v>37</v>
      </c>
      <c r="Y111" s="10" t="s">
        <v>38</v>
      </c>
      <c r="Z111" s="15">
        <f t="shared" si="12"/>
        <v>15.789473684210526</v>
      </c>
      <c r="AA111" s="10"/>
    </row>
    <row r="112" spans="1:27">
      <c r="A112" s="10">
        <f>SUBTOTAL(3,C$2:C112)</f>
        <v>111</v>
      </c>
      <c r="B112" s="10" t="s">
        <v>213</v>
      </c>
      <c r="C112" s="11" t="s">
        <v>45</v>
      </c>
      <c r="D112" s="10" t="s">
        <v>29</v>
      </c>
      <c r="E112" s="10" t="s">
        <v>30</v>
      </c>
      <c r="F112" s="10" t="s">
        <v>102</v>
      </c>
      <c r="G112" s="10" t="s">
        <v>32</v>
      </c>
      <c r="H112" s="12" t="s">
        <v>279</v>
      </c>
      <c r="I112" s="13">
        <v>46156</v>
      </c>
      <c r="J112" s="10">
        <f t="shared" ca="1" si="9"/>
        <v>43</v>
      </c>
      <c r="K112" s="10">
        <f t="shared" si="13"/>
        <v>46171</v>
      </c>
      <c r="L112" s="10" t="s">
        <v>196</v>
      </c>
      <c r="M112" s="10">
        <v>39000</v>
      </c>
      <c r="N112" s="10">
        <v>35000</v>
      </c>
      <c r="O112" s="13">
        <v>46157</v>
      </c>
      <c r="P112" s="10">
        <f t="shared" si="10"/>
        <v>4000</v>
      </c>
      <c r="Q112" s="14" t="s">
        <v>30</v>
      </c>
      <c r="R112" s="10" t="s">
        <v>34</v>
      </c>
      <c r="S112" s="10">
        <v>46000</v>
      </c>
      <c r="T112" s="10" t="str">
        <f>VLOOKUP(H112,'[1]MIS Sanjeev Auto'!$H$1:$T$168,13,0)</f>
        <v>VL/MH/26-27/0270</v>
      </c>
      <c r="U112" s="13">
        <f>VLOOKUP(H112,'[1]MIS Sanjeev Auto'!$H$1:$U$168,14,0)</f>
        <v>46171</v>
      </c>
      <c r="V112" s="10" t="s">
        <v>36</v>
      </c>
      <c r="W112" s="10">
        <f t="shared" si="11"/>
        <v>7000</v>
      </c>
      <c r="X112" s="10" t="s">
        <v>37</v>
      </c>
      <c r="Y112" s="10" t="s">
        <v>38</v>
      </c>
      <c r="Z112" s="15">
        <f t="shared" si="12"/>
        <v>17.948717948717949</v>
      </c>
      <c r="AA112" s="10"/>
    </row>
    <row r="113" spans="1:27">
      <c r="A113" s="10">
        <f>SUBTOTAL(3,C$2:C113)</f>
        <v>112</v>
      </c>
      <c r="B113" s="10" t="s">
        <v>213</v>
      </c>
      <c r="C113" s="11" t="s">
        <v>45</v>
      </c>
      <c r="D113" s="10" t="s">
        <v>29</v>
      </c>
      <c r="E113" s="10" t="s">
        <v>30</v>
      </c>
      <c r="F113" s="10" t="s">
        <v>102</v>
      </c>
      <c r="G113" s="10" t="s">
        <v>32</v>
      </c>
      <c r="H113" s="12" t="s">
        <v>280</v>
      </c>
      <c r="I113" s="13">
        <v>46149</v>
      </c>
      <c r="J113" s="10">
        <f t="shared" ca="1" si="9"/>
        <v>50</v>
      </c>
      <c r="K113" s="10" t="str">
        <f t="shared" si="13"/>
        <v>Pending</v>
      </c>
      <c r="L113" s="10" t="s">
        <v>159</v>
      </c>
      <c r="M113" s="10">
        <v>27500</v>
      </c>
      <c r="N113" s="10">
        <v>24500</v>
      </c>
      <c r="O113" s="13">
        <v>46158</v>
      </c>
      <c r="P113" s="10">
        <f t="shared" si="10"/>
        <v>3000</v>
      </c>
      <c r="Q113" s="14" t="s">
        <v>30</v>
      </c>
      <c r="R113" s="10" t="s">
        <v>34</v>
      </c>
      <c r="S113" s="10">
        <v>32000</v>
      </c>
      <c r="T113" s="10" t="str">
        <f>VLOOKUP(H113,'[1]MIS Sanjeev Auto'!$H$1:$T$168,13,0)</f>
        <v>Pending</v>
      </c>
      <c r="U113" s="13" t="str">
        <f>VLOOKUP(H113,'[1]MIS Sanjeev Auto'!$H$1:$U$168,14,0)</f>
        <v>Pending</v>
      </c>
      <c r="V113" s="10" t="s">
        <v>36</v>
      </c>
      <c r="W113" s="10">
        <f t="shared" si="11"/>
        <v>4500</v>
      </c>
      <c r="X113" s="10" t="s">
        <v>37</v>
      </c>
      <c r="Y113" s="10" t="s">
        <v>38</v>
      </c>
      <c r="Z113" s="15">
        <f t="shared" si="12"/>
        <v>16.363636363636363</v>
      </c>
      <c r="AA113" s="10"/>
    </row>
    <row r="114" spans="1:27">
      <c r="A114" s="10">
        <f>SUBTOTAL(3,C$2:C114)</f>
        <v>113</v>
      </c>
      <c r="B114" s="10" t="s">
        <v>213</v>
      </c>
      <c r="C114" s="11" t="s">
        <v>45</v>
      </c>
      <c r="D114" s="10" t="s">
        <v>29</v>
      </c>
      <c r="E114" s="10" t="s">
        <v>30</v>
      </c>
      <c r="F114" s="10" t="s">
        <v>140</v>
      </c>
      <c r="G114" s="10" t="s">
        <v>32</v>
      </c>
      <c r="H114" s="16" t="s">
        <v>281</v>
      </c>
      <c r="I114" s="13">
        <v>46150</v>
      </c>
      <c r="J114" s="10">
        <f t="shared" ca="1" si="9"/>
        <v>49</v>
      </c>
      <c r="K114" s="10" t="str">
        <f t="shared" si="13"/>
        <v>Pending</v>
      </c>
      <c r="L114" s="10" t="s">
        <v>159</v>
      </c>
      <c r="M114" s="10">
        <v>27500</v>
      </c>
      <c r="N114" s="10">
        <v>24500</v>
      </c>
      <c r="O114" s="13">
        <v>46158</v>
      </c>
      <c r="P114" s="10">
        <f t="shared" si="10"/>
        <v>3000</v>
      </c>
      <c r="Q114" s="14" t="s">
        <v>30</v>
      </c>
      <c r="R114" s="10" t="s">
        <v>34</v>
      </c>
      <c r="S114" s="10">
        <v>32000</v>
      </c>
      <c r="T114" s="10" t="str">
        <f>VLOOKUP(H114,'[1]MIS Sanjeev Auto'!$H$1:$T$168,13,0)</f>
        <v>Pending</v>
      </c>
      <c r="U114" s="13" t="str">
        <f>VLOOKUP(H114,'[1]MIS Sanjeev Auto'!$H$1:$U$168,14,0)</f>
        <v>Pending</v>
      </c>
      <c r="V114" s="10" t="s">
        <v>36</v>
      </c>
      <c r="W114" s="10">
        <f t="shared" si="11"/>
        <v>4500</v>
      </c>
      <c r="X114" s="10" t="s">
        <v>37</v>
      </c>
      <c r="Y114" s="10" t="s">
        <v>38</v>
      </c>
      <c r="Z114" s="15">
        <f t="shared" si="12"/>
        <v>16.363636363636363</v>
      </c>
      <c r="AA114" s="10"/>
    </row>
    <row r="115" spans="1:27">
      <c r="A115" s="10">
        <f>SUBTOTAL(3,C$2:C115)</f>
        <v>114</v>
      </c>
      <c r="B115" s="10" t="s">
        <v>213</v>
      </c>
      <c r="C115" s="11" t="s">
        <v>45</v>
      </c>
      <c r="D115" s="10" t="s">
        <v>29</v>
      </c>
      <c r="E115" s="10" t="s">
        <v>30</v>
      </c>
      <c r="F115" s="10" t="s">
        <v>152</v>
      </c>
      <c r="G115" s="10" t="s">
        <v>32</v>
      </c>
      <c r="H115" s="12" t="s">
        <v>282</v>
      </c>
      <c r="I115" s="13">
        <v>46152</v>
      </c>
      <c r="J115" s="10">
        <f t="shared" ca="1" si="9"/>
        <v>47</v>
      </c>
      <c r="K115" s="10" t="str">
        <f t="shared" si="13"/>
        <v>Pending</v>
      </c>
      <c r="L115" s="10" t="s">
        <v>159</v>
      </c>
      <c r="M115" s="10">
        <v>27500</v>
      </c>
      <c r="N115" s="10">
        <v>24500</v>
      </c>
      <c r="O115" s="13">
        <v>46158</v>
      </c>
      <c r="P115" s="10">
        <f t="shared" si="10"/>
        <v>3000</v>
      </c>
      <c r="Q115" s="14" t="s">
        <v>30</v>
      </c>
      <c r="R115" s="10" t="s">
        <v>34</v>
      </c>
      <c r="S115" s="10">
        <v>32000</v>
      </c>
      <c r="T115" s="10" t="str">
        <f>VLOOKUP(H115,'[1]MIS Sanjeev Auto'!$H$1:$T$168,13,0)</f>
        <v>Pending</v>
      </c>
      <c r="U115" s="13" t="str">
        <f>VLOOKUP(H115,'[1]MIS Sanjeev Auto'!$H$1:$U$168,14,0)</f>
        <v>Pending</v>
      </c>
      <c r="V115" s="10" t="s">
        <v>36</v>
      </c>
      <c r="W115" s="10">
        <f t="shared" si="11"/>
        <v>4500</v>
      </c>
      <c r="X115" s="10" t="s">
        <v>37</v>
      </c>
      <c r="Y115" s="10" t="s">
        <v>38</v>
      </c>
      <c r="Z115" s="15">
        <f t="shared" si="12"/>
        <v>16.363636363636363</v>
      </c>
      <c r="AA115" s="10"/>
    </row>
    <row r="116" spans="1:27">
      <c r="A116" s="10">
        <f>SUBTOTAL(3,C$2:C116)</f>
        <v>115</v>
      </c>
      <c r="B116" s="10" t="s">
        <v>213</v>
      </c>
      <c r="C116" s="11" t="s">
        <v>45</v>
      </c>
      <c r="D116" s="10" t="s">
        <v>29</v>
      </c>
      <c r="E116" s="10" t="s">
        <v>30</v>
      </c>
      <c r="F116" s="10" t="s">
        <v>283</v>
      </c>
      <c r="G116" s="10" t="s">
        <v>32</v>
      </c>
      <c r="H116" s="12" t="s">
        <v>284</v>
      </c>
      <c r="I116" s="13">
        <v>46154</v>
      </c>
      <c r="J116" s="10">
        <f t="shared" ca="1" si="9"/>
        <v>45</v>
      </c>
      <c r="K116" s="10" t="str">
        <f t="shared" si="13"/>
        <v>Pending</v>
      </c>
      <c r="L116" s="10" t="s">
        <v>159</v>
      </c>
      <c r="M116" s="10">
        <v>27500</v>
      </c>
      <c r="N116" s="10">
        <v>24500</v>
      </c>
      <c r="O116" s="13">
        <v>46158</v>
      </c>
      <c r="P116" s="10">
        <f t="shared" si="10"/>
        <v>3000</v>
      </c>
      <c r="Q116" s="14" t="s">
        <v>30</v>
      </c>
      <c r="R116" s="10" t="s">
        <v>34</v>
      </c>
      <c r="S116" s="10">
        <v>32000</v>
      </c>
      <c r="T116" s="10" t="str">
        <f>VLOOKUP(H116,'[1]MIS Sanjeev Auto'!$H$1:$T$168,13,0)</f>
        <v>Pending</v>
      </c>
      <c r="U116" s="13" t="str">
        <f>VLOOKUP(H116,'[1]MIS Sanjeev Auto'!$H$1:$U$168,14,0)</f>
        <v>Pending</v>
      </c>
      <c r="V116" s="10" t="s">
        <v>36</v>
      </c>
      <c r="W116" s="10">
        <f t="shared" si="11"/>
        <v>4500</v>
      </c>
      <c r="X116" s="10" t="s">
        <v>37</v>
      </c>
      <c r="Y116" s="10" t="s">
        <v>38</v>
      </c>
      <c r="Z116" s="15">
        <f t="shared" si="12"/>
        <v>16.363636363636363</v>
      </c>
      <c r="AA116" s="10"/>
    </row>
    <row r="117" spans="1:27">
      <c r="A117" s="10">
        <f>SUBTOTAL(3,C$2:C117)</f>
        <v>116</v>
      </c>
      <c r="B117" s="10" t="s">
        <v>213</v>
      </c>
      <c r="C117" s="11" t="s">
        <v>45</v>
      </c>
      <c r="D117" s="10" t="s">
        <v>29</v>
      </c>
      <c r="E117" s="10" t="s">
        <v>30</v>
      </c>
      <c r="F117" s="10" t="s">
        <v>285</v>
      </c>
      <c r="G117" s="10" t="s">
        <v>32</v>
      </c>
      <c r="H117" s="12" t="s">
        <v>286</v>
      </c>
      <c r="I117" s="13">
        <v>46147</v>
      </c>
      <c r="J117" s="10">
        <f t="shared" ca="1" si="9"/>
        <v>52</v>
      </c>
      <c r="K117" s="10" t="str">
        <f t="shared" si="13"/>
        <v>Pending</v>
      </c>
      <c r="L117" s="10" t="s">
        <v>159</v>
      </c>
      <c r="M117" s="10">
        <v>27500</v>
      </c>
      <c r="N117" s="10">
        <v>24500</v>
      </c>
      <c r="O117" s="13">
        <v>46158</v>
      </c>
      <c r="P117" s="10">
        <f t="shared" si="10"/>
        <v>3000</v>
      </c>
      <c r="Q117" s="14" t="s">
        <v>30</v>
      </c>
      <c r="R117" s="10" t="s">
        <v>34</v>
      </c>
      <c r="S117" s="10">
        <v>32000</v>
      </c>
      <c r="T117" s="10" t="str">
        <f>VLOOKUP(H117,'[1]MIS Sanjeev Auto'!$H$1:$T$168,13,0)</f>
        <v>Pending</v>
      </c>
      <c r="U117" s="13" t="str">
        <f>VLOOKUP(H117,'[1]MIS Sanjeev Auto'!$H$1:$U$168,14,0)</f>
        <v>Pending</v>
      </c>
      <c r="V117" s="10" t="s">
        <v>36</v>
      </c>
      <c r="W117" s="10">
        <f t="shared" si="11"/>
        <v>4500</v>
      </c>
      <c r="X117" s="10" t="s">
        <v>37</v>
      </c>
      <c r="Y117" s="10" t="s">
        <v>38</v>
      </c>
      <c r="Z117" s="15">
        <f t="shared" si="12"/>
        <v>16.363636363636363</v>
      </c>
      <c r="AA117" s="10"/>
    </row>
    <row r="118" spans="1:27">
      <c r="A118" s="10">
        <f>SUBTOTAL(3,C$2:C118)</f>
        <v>117</v>
      </c>
      <c r="B118" s="10" t="s">
        <v>213</v>
      </c>
      <c r="C118" s="11" t="s">
        <v>39</v>
      </c>
      <c r="D118" s="10" t="s">
        <v>29</v>
      </c>
      <c r="E118" s="10" t="s">
        <v>30</v>
      </c>
      <c r="F118" s="10" t="s">
        <v>60</v>
      </c>
      <c r="G118" s="10" t="s">
        <v>41</v>
      </c>
      <c r="H118" s="12" t="s">
        <v>287</v>
      </c>
      <c r="I118" s="13">
        <v>46157</v>
      </c>
      <c r="J118" s="10">
        <f t="shared" ca="1" si="9"/>
        <v>42</v>
      </c>
      <c r="K118" s="10">
        <f t="shared" si="13"/>
        <v>46171</v>
      </c>
      <c r="L118" s="10" t="s">
        <v>107</v>
      </c>
      <c r="M118" s="10">
        <v>19000</v>
      </c>
      <c r="N118" s="10">
        <v>17000</v>
      </c>
      <c r="O118" s="13">
        <v>46159</v>
      </c>
      <c r="P118" s="10">
        <f t="shared" si="10"/>
        <v>2000</v>
      </c>
      <c r="Q118" s="14" t="s">
        <v>30</v>
      </c>
      <c r="R118" s="10" t="s">
        <v>34</v>
      </c>
      <c r="S118" s="10">
        <v>22000</v>
      </c>
      <c r="T118" s="10" t="str">
        <f>VLOOKUP(H118,'[1]MIS Sanjeev Auto'!$H$1:$T$168,13,0)</f>
        <v>VL/MH/26-27/0276</v>
      </c>
      <c r="U118" s="13">
        <f>VLOOKUP(H118,'[1]MIS Sanjeev Auto'!$H$1:$U$168,14,0)</f>
        <v>46171</v>
      </c>
      <c r="V118" s="10" t="s">
        <v>36</v>
      </c>
      <c r="W118" s="10">
        <f t="shared" si="11"/>
        <v>3000</v>
      </c>
      <c r="X118" s="10" t="s">
        <v>37</v>
      </c>
      <c r="Y118" s="10" t="s">
        <v>38</v>
      </c>
      <c r="Z118" s="15">
        <f t="shared" si="12"/>
        <v>15.789473684210526</v>
      </c>
      <c r="AA118" s="10"/>
    </row>
    <row r="119" spans="1:27">
      <c r="A119" s="10">
        <f>SUBTOTAL(3,C$2:C119)</f>
        <v>118</v>
      </c>
      <c r="B119" s="10" t="s">
        <v>213</v>
      </c>
      <c r="C119" s="11" t="s">
        <v>39</v>
      </c>
      <c r="D119" s="10" t="s">
        <v>29</v>
      </c>
      <c r="E119" s="10" t="s">
        <v>30</v>
      </c>
      <c r="F119" s="10" t="s">
        <v>288</v>
      </c>
      <c r="G119" s="10" t="s">
        <v>41</v>
      </c>
      <c r="H119" s="12" t="s">
        <v>289</v>
      </c>
      <c r="I119" s="13">
        <v>46157</v>
      </c>
      <c r="J119" s="10">
        <f t="shared" ca="1" si="9"/>
        <v>42</v>
      </c>
      <c r="K119" s="10">
        <f t="shared" si="13"/>
        <v>46171</v>
      </c>
      <c r="L119" s="10" t="s">
        <v>107</v>
      </c>
      <c r="M119" s="10">
        <v>19000</v>
      </c>
      <c r="N119" s="10">
        <v>17000</v>
      </c>
      <c r="O119" s="13">
        <v>46159</v>
      </c>
      <c r="P119" s="10">
        <f t="shared" si="10"/>
        <v>2000</v>
      </c>
      <c r="Q119" s="14" t="s">
        <v>30</v>
      </c>
      <c r="R119" s="10" t="s">
        <v>34</v>
      </c>
      <c r="S119" s="10">
        <v>22000</v>
      </c>
      <c r="T119" s="10" t="str">
        <f>VLOOKUP(H119,'[1]MIS Sanjeev Auto'!$H$1:$T$168,13,0)</f>
        <v>VL/MH/26-27/0276</v>
      </c>
      <c r="U119" s="13">
        <f>VLOOKUP(H119,'[1]MIS Sanjeev Auto'!$H$1:$U$168,14,0)</f>
        <v>46171</v>
      </c>
      <c r="V119" s="10" t="s">
        <v>36</v>
      </c>
      <c r="W119" s="10">
        <f t="shared" si="11"/>
        <v>3000</v>
      </c>
      <c r="X119" s="10" t="s">
        <v>37</v>
      </c>
      <c r="Y119" s="10" t="s">
        <v>38</v>
      </c>
      <c r="Z119" s="15">
        <f t="shared" si="12"/>
        <v>15.789473684210526</v>
      </c>
      <c r="AA119" s="10"/>
    </row>
    <row r="120" spans="1:27">
      <c r="A120" s="10">
        <f>SUBTOTAL(3,C$2:C120)</f>
        <v>119</v>
      </c>
      <c r="B120" s="10" t="s">
        <v>213</v>
      </c>
      <c r="C120" s="11" t="s">
        <v>45</v>
      </c>
      <c r="D120" s="10" t="s">
        <v>29</v>
      </c>
      <c r="E120" s="10" t="s">
        <v>30</v>
      </c>
      <c r="F120" s="10" t="s">
        <v>290</v>
      </c>
      <c r="G120" s="10" t="s">
        <v>256</v>
      </c>
      <c r="H120" s="12" t="s">
        <v>291</v>
      </c>
      <c r="I120" s="13">
        <v>46157</v>
      </c>
      <c r="J120" s="10">
        <f t="shared" ca="1" si="9"/>
        <v>42</v>
      </c>
      <c r="K120" s="10" t="str">
        <f t="shared" si="13"/>
        <v>Pending</v>
      </c>
      <c r="L120" s="10" t="s">
        <v>222</v>
      </c>
      <c r="M120" s="10">
        <v>33000</v>
      </c>
      <c r="N120" s="10">
        <v>30000</v>
      </c>
      <c r="O120" s="13">
        <v>46159</v>
      </c>
      <c r="P120" s="10">
        <f t="shared" si="10"/>
        <v>3000</v>
      </c>
      <c r="Q120" s="14" t="s">
        <v>30</v>
      </c>
      <c r="R120" s="10" t="s">
        <v>34</v>
      </c>
      <c r="S120" s="10">
        <v>38000</v>
      </c>
      <c r="T120" s="10" t="str">
        <f>VLOOKUP(H120,'[1]MIS Sanjeev Auto'!$H$1:$T$168,13,0)</f>
        <v>Pending</v>
      </c>
      <c r="U120" s="13" t="str">
        <f>VLOOKUP(H120,'[1]MIS Sanjeev Auto'!$H$1:$U$168,14,0)</f>
        <v>Pending</v>
      </c>
      <c r="V120" s="10" t="s">
        <v>36</v>
      </c>
      <c r="W120" s="10">
        <f t="shared" si="11"/>
        <v>5000</v>
      </c>
      <c r="X120" s="10" t="s">
        <v>37</v>
      </c>
      <c r="Y120" s="10" t="s">
        <v>38</v>
      </c>
      <c r="Z120" s="15">
        <f t="shared" si="12"/>
        <v>15.151515151515152</v>
      </c>
      <c r="AA120" s="10"/>
    </row>
    <row r="121" spans="1:27">
      <c r="A121" s="10">
        <f>SUBTOTAL(3,C$2:C121)</f>
        <v>120</v>
      </c>
      <c r="B121" s="10" t="s">
        <v>213</v>
      </c>
      <c r="C121" s="11" t="s">
        <v>28</v>
      </c>
      <c r="D121" s="10" t="s">
        <v>29</v>
      </c>
      <c r="E121" s="10" t="s">
        <v>30</v>
      </c>
      <c r="F121" s="10" t="s">
        <v>74</v>
      </c>
      <c r="G121" s="10" t="s">
        <v>256</v>
      </c>
      <c r="H121" s="12" t="s">
        <v>292</v>
      </c>
      <c r="I121" s="13">
        <v>46158</v>
      </c>
      <c r="J121" s="10">
        <f t="shared" ca="1" si="9"/>
        <v>41</v>
      </c>
      <c r="K121" s="10" t="str">
        <f t="shared" si="13"/>
        <v>Pending</v>
      </c>
      <c r="L121" s="10" t="s">
        <v>225</v>
      </c>
      <c r="M121" s="10">
        <v>33000</v>
      </c>
      <c r="N121" s="10">
        <v>30000</v>
      </c>
      <c r="O121" s="13">
        <v>46159</v>
      </c>
      <c r="P121" s="10">
        <f t="shared" si="10"/>
        <v>3000</v>
      </c>
      <c r="Q121" s="14" t="s">
        <v>30</v>
      </c>
      <c r="R121" s="10" t="s">
        <v>34</v>
      </c>
      <c r="S121" s="10">
        <v>38000</v>
      </c>
      <c r="T121" s="10" t="str">
        <f>VLOOKUP(H121,'[1]MIS Sanjeev Auto'!$H$1:$T$168,13,0)</f>
        <v>Pending</v>
      </c>
      <c r="U121" s="13" t="str">
        <f>VLOOKUP(H121,'[1]MIS Sanjeev Auto'!$H$1:$U$168,14,0)</f>
        <v>Pending</v>
      </c>
      <c r="V121" s="10" t="s">
        <v>36</v>
      </c>
      <c r="W121" s="10">
        <f t="shared" si="11"/>
        <v>5000</v>
      </c>
      <c r="X121" s="10" t="s">
        <v>37</v>
      </c>
      <c r="Y121" s="10" t="s">
        <v>38</v>
      </c>
      <c r="Z121" s="15">
        <f t="shared" si="12"/>
        <v>15.151515151515152</v>
      </c>
      <c r="AA121" s="10"/>
    </row>
    <row r="122" spans="1:27">
      <c r="A122" s="10">
        <f>SUBTOTAL(3,C$2:C122)</f>
        <v>121</v>
      </c>
      <c r="B122" s="10" t="s">
        <v>213</v>
      </c>
      <c r="C122" s="11" t="s">
        <v>45</v>
      </c>
      <c r="D122" s="10" t="s">
        <v>29</v>
      </c>
      <c r="E122" s="10" t="s">
        <v>30</v>
      </c>
      <c r="F122" s="10" t="s">
        <v>102</v>
      </c>
      <c r="G122" s="10" t="s">
        <v>83</v>
      </c>
      <c r="H122" s="12" t="s">
        <v>293</v>
      </c>
      <c r="I122" s="13">
        <v>46158</v>
      </c>
      <c r="J122" s="10">
        <f t="shared" ca="1" si="9"/>
        <v>41</v>
      </c>
      <c r="K122" s="10" t="str">
        <f t="shared" si="13"/>
        <v>Pending</v>
      </c>
      <c r="L122" s="10" t="s">
        <v>159</v>
      </c>
      <c r="M122" s="10">
        <v>27500</v>
      </c>
      <c r="N122" s="10">
        <v>24500</v>
      </c>
      <c r="O122" s="13">
        <v>46160</v>
      </c>
      <c r="P122" s="10">
        <f t="shared" si="10"/>
        <v>3000</v>
      </c>
      <c r="Q122" s="14" t="s">
        <v>30</v>
      </c>
      <c r="R122" s="10" t="s">
        <v>34</v>
      </c>
      <c r="S122" s="10">
        <v>32000</v>
      </c>
      <c r="T122" s="10" t="str">
        <f>VLOOKUP(H122,'[1]MIS Sanjeev Auto'!$H$1:$T$168,13,0)</f>
        <v>Pending</v>
      </c>
      <c r="U122" s="13" t="str">
        <f>VLOOKUP(H122,'[1]MIS Sanjeev Auto'!$H$1:$U$168,14,0)</f>
        <v>Pending</v>
      </c>
      <c r="V122" s="10" t="s">
        <v>36</v>
      </c>
      <c r="W122" s="10">
        <f t="shared" si="11"/>
        <v>4500</v>
      </c>
      <c r="X122" s="10" t="s">
        <v>37</v>
      </c>
      <c r="Y122" s="10" t="s">
        <v>38</v>
      </c>
      <c r="Z122" s="15">
        <f t="shared" si="12"/>
        <v>16.363636363636363</v>
      </c>
      <c r="AA122" s="10"/>
    </row>
    <row r="123" spans="1:27">
      <c r="A123" s="10">
        <f>SUBTOTAL(3,C$2:C123)</f>
        <v>122</v>
      </c>
      <c r="B123" s="10" t="s">
        <v>213</v>
      </c>
      <c r="C123" s="11" t="s">
        <v>39</v>
      </c>
      <c r="D123" s="10" t="s">
        <v>29</v>
      </c>
      <c r="E123" s="10" t="s">
        <v>30</v>
      </c>
      <c r="F123" s="10" t="s">
        <v>62</v>
      </c>
      <c r="G123" s="10" t="s">
        <v>41</v>
      </c>
      <c r="H123" s="12" t="s">
        <v>294</v>
      </c>
      <c r="I123" s="13">
        <v>46158</v>
      </c>
      <c r="J123" s="10">
        <f t="shared" ca="1" si="9"/>
        <v>41</v>
      </c>
      <c r="K123" s="10">
        <f t="shared" si="13"/>
        <v>46171</v>
      </c>
      <c r="L123" s="10" t="s">
        <v>107</v>
      </c>
      <c r="M123" s="10">
        <v>19000</v>
      </c>
      <c r="N123" s="10">
        <v>17000</v>
      </c>
      <c r="O123" s="13">
        <v>46160</v>
      </c>
      <c r="P123" s="10">
        <f t="shared" si="10"/>
        <v>2000</v>
      </c>
      <c r="Q123" s="14" t="s">
        <v>30</v>
      </c>
      <c r="R123" s="10" t="s">
        <v>34</v>
      </c>
      <c r="S123" s="10">
        <v>22000</v>
      </c>
      <c r="T123" s="10" t="str">
        <f>VLOOKUP(H123,'[1]MIS Sanjeev Auto'!$H$1:$T$168,13,0)</f>
        <v>VL/MH/26-27/0277</v>
      </c>
      <c r="U123" s="13">
        <f>VLOOKUP(H123,'[1]MIS Sanjeev Auto'!$H$1:$U$168,14,0)</f>
        <v>46171</v>
      </c>
      <c r="V123" s="10" t="s">
        <v>36</v>
      </c>
      <c r="W123" s="10">
        <f t="shared" si="11"/>
        <v>3000</v>
      </c>
      <c r="X123" s="10" t="s">
        <v>37</v>
      </c>
      <c r="Y123" s="10" t="s">
        <v>38</v>
      </c>
      <c r="Z123" s="15">
        <f t="shared" si="12"/>
        <v>15.789473684210526</v>
      </c>
      <c r="AA123" s="10"/>
    </row>
    <row r="124" spans="1:27">
      <c r="A124" s="10">
        <f>SUBTOTAL(3,C$2:C124)</f>
        <v>123</v>
      </c>
      <c r="B124" s="10" t="s">
        <v>213</v>
      </c>
      <c r="C124" s="11" t="s">
        <v>45</v>
      </c>
      <c r="D124" s="10" t="s">
        <v>29</v>
      </c>
      <c r="E124" s="10" t="s">
        <v>30</v>
      </c>
      <c r="F124" s="10" t="s">
        <v>250</v>
      </c>
      <c r="G124" s="10" t="s">
        <v>239</v>
      </c>
      <c r="H124" s="12" t="s">
        <v>295</v>
      </c>
      <c r="I124" s="13">
        <v>46158</v>
      </c>
      <c r="J124" s="10">
        <f t="shared" ca="1" si="9"/>
        <v>41</v>
      </c>
      <c r="K124" s="10">
        <f t="shared" si="13"/>
        <v>46171</v>
      </c>
      <c r="L124" s="10" t="s">
        <v>296</v>
      </c>
      <c r="M124" s="10">
        <v>19000</v>
      </c>
      <c r="N124" s="10">
        <v>17000</v>
      </c>
      <c r="O124" s="13">
        <v>46160</v>
      </c>
      <c r="P124" s="10">
        <f t="shared" si="10"/>
        <v>2000</v>
      </c>
      <c r="Q124" s="14" t="s">
        <v>30</v>
      </c>
      <c r="R124" s="10" t="s">
        <v>34</v>
      </c>
      <c r="S124" s="10">
        <v>22000</v>
      </c>
      <c r="T124" s="10" t="str">
        <f>VLOOKUP(H124,'[1]MIS Sanjeev Auto'!$H$1:$T$168,13,0)</f>
        <v>VL/MH/26-27/0277</v>
      </c>
      <c r="U124" s="13">
        <f>VLOOKUP(H124,'[1]MIS Sanjeev Auto'!$H$1:$U$168,14,0)</f>
        <v>46171</v>
      </c>
      <c r="V124" s="10" t="s">
        <v>36</v>
      </c>
      <c r="W124" s="10">
        <f t="shared" si="11"/>
        <v>3000</v>
      </c>
      <c r="X124" s="10" t="s">
        <v>37</v>
      </c>
      <c r="Y124" s="10" t="s">
        <v>38</v>
      </c>
      <c r="Z124" s="15">
        <f t="shared" si="12"/>
        <v>15.789473684210526</v>
      </c>
      <c r="AA124" s="10"/>
    </row>
    <row r="125" spans="1:27">
      <c r="A125" s="10">
        <f>SUBTOTAL(3,C$2:C125)</f>
        <v>124</v>
      </c>
      <c r="B125" s="10" t="s">
        <v>213</v>
      </c>
      <c r="C125" s="11" t="s">
        <v>28</v>
      </c>
      <c r="D125" s="10" t="s">
        <v>29</v>
      </c>
      <c r="E125" s="10" t="s">
        <v>30</v>
      </c>
      <c r="F125" s="10" t="s">
        <v>210</v>
      </c>
      <c r="G125" s="10" t="s">
        <v>32</v>
      </c>
      <c r="H125" s="12" t="s">
        <v>297</v>
      </c>
      <c r="I125" s="13">
        <v>46158</v>
      </c>
      <c r="J125" s="10">
        <f t="shared" ca="1" si="9"/>
        <v>41</v>
      </c>
      <c r="K125" s="10">
        <f t="shared" si="13"/>
        <v>46171</v>
      </c>
      <c r="L125" s="10" t="s">
        <v>225</v>
      </c>
      <c r="M125" s="10">
        <v>39000</v>
      </c>
      <c r="N125" s="10">
        <v>34000</v>
      </c>
      <c r="O125" s="13">
        <v>46164</v>
      </c>
      <c r="P125" s="10">
        <f t="shared" si="10"/>
        <v>5000</v>
      </c>
      <c r="Q125" s="14" t="s">
        <v>30</v>
      </c>
      <c r="R125" s="10" t="s">
        <v>34</v>
      </c>
      <c r="S125" s="10">
        <v>46000</v>
      </c>
      <c r="T125" s="10" t="str">
        <f>VLOOKUP(H125,'[1]MIS Sanjeev Auto'!$H$1:$T$168,13,0)</f>
        <v>VL/MH/26-27/0278</v>
      </c>
      <c r="U125" s="13">
        <f>VLOOKUP(H125,'[1]MIS Sanjeev Auto'!$H$1:$U$168,14,0)</f>
        <v>46171</v>
      </c>
      <c r="V125" s="10" t="s">
        <v>36</v>
      </c>
      <c r="W125" s="10">
        <f t="shared" si="11"/>
        <v>7000</v>
      </c>
      <c r="X125" s="10" t="s">
        <v>37</v>
      </c>
      <c r="Y125" s="10" t="s">
        <v>38</v>
      </c>
      <c r="Z125" s="15">
        <f t="shared" si="12"/>
        <v>17.948717948717949</v>
      </c>
      <c r="AA125" s="10"/>
    </row>
    <row r="126" spans="1:27">
      <c r="A126" s="10">
        <f>SUBTOTAL(3,C$2:C126)</f>
        <v>125</v>
      </c>
      <c r="B126" s="10" t="s">
        <v>213</v>
      </c>
      <c r="C126" s="11" t="s">
        <v>45</v>
      </c>
      <c r="D126" s="10" t="s">
        <v>29</v>
      </c>
      <c r="E126" s="10" t="s">
        <v>30</v>
      </c>
      <c r="F126" s="10" t="s">
        <v>210</v>
      </c>
      <c r="G126" s="10" t="s">
        <v>83</v>
      </c>
      <c r="H126" s="12" t="s">
        <v>298</v>
      </c>
      <c r="I126" s="13">
        <v>46159</v>
      </c>
      <c r="J126" s="10">
        <f t="shared" ca="1" si="9"/>
        <v>40</v>
      </c>
      <c r="K126" s="10" t="str">
        <f t="shared" si="13"/>
        <v>Pending</v>
      </c>
      <c r="L126" s="10" t="s">
        <v>159</v>
      </c>
      <c r="M126" s="10">
        <v>27500</v>
      </c>
      <c r="N126" s="10">
        <v>24500</v>
      </c>
      <c r="O126" s="13">
        <v>46164</v>
      </c>
      <c r="P126" s="10">
        <f t="shared" si="10"/>
        <v>3000</v>
      </c>
      <c r="Q126" s="14" t="s">
        <v>30</v>
      </c>
      <c r="R126" s="10" t="s">
        <v>34</v>
      </c>
      <c r="S126" s="10">
        <v>32000</v>
      </c>
      <c r="T126" s="10" t="str">
        <f>VLOOKUP(H126,'[1]MIS Sanjeev Auto'!$H$1:$T$168,13,0)</f>
        <v>Pending</v>
      </c>
      <c r="U126" s="13" t="str">
        <f>VLOOKUP(H126,'[1]MIS Sanjeev Auto'!$H$1:$U$168,14,0)</f>
        <v>Pending</v>
      </c>
      <c r="V126" s="10" t="s">
        <v>36</v>
      </c>
      <c r="W126" s="10">
        <f t="shared" si="11"/>
        <v>4500</v>
      </c>
      <c r="X126" s="10" t="s">
        <v>37</v>
      </c>
      <c r="Y126" s="10" t="s">
        <v>38</v>
      </c>
      <c r="Z126" s="15">
        <f t="shared" si="12"/>
        <v>16.363636363636363</v>
      </c>
      <c r="AA126" s="10"/>
    </row>
    <row r="127" spans="1:27">
      <c r="A127" s="10">
        <f>SUBTOTAL(3,C$2:C127)</f>
        <v>126</v>
      </c>
      <c r="B127" s="10" t="s">
        <v>213</v>
      </c>
      <c r="C127" s="11" t="s">
        <v>45</v>
      </c>
      <c r="D127" s="10" t="s">
        <v>29</v>
      </c>
      <c r="E127" s="10" t="s">
        <v>30</v>
      </c>
      <c r="F127" s="10" t="s">
        <v>299</v>
      </c>
      <c r="G127" s="10" t="s">
        <v>83</v>
      </c>
      <c r="H127" s="12" t="s">
        <v>300</v>
      </c>
      <c r="I127" s="13">
        <v>46160</v>
      </c>
      <c r="J127" s="10">
        <f t="shared" ca="1" si="9"/>
        <v>39</v>
      </c>
      <c r="K127" s="10" t="str">
        <f t="shared" si="13"/>
        <v>Pending</v>
      </c>
      <c r="L127" s="10" t="s">
        <v>159</v>
      </c>
      <c r="M127" s="10">
        <v>27500</v>
      </c>
      <c r="N127" s="10">
        <v>24500</v>
      </c>
      <c r="O127" s="13">
        <v>46164</v>
      </c>
      <c r="P127" s="10">
        <f t="shared" si="10"/>
        <v>3000</v>
      </c>
      <c r="Q127" s="14" t="s">
        <v>30</v>
      </c>
      <c r="R127" s="10" t="s">
        <v>34</v>
      </c>
      <c r="S127" s="10">
        <v>32000</v>
      </c>
      <c r="T127" s="10" t="str">
        <f>VLOOKUP(H127,'[1]MIS Sanjeev Auto'!$H$1:$T$168,13,0)</f>
        <v>Pending</v>
      </c>
      <c r="U127" s="13" t="str">
        <f>VLOOKUP(H127,'[1]MIS Sanjeev Auto'!$H$1:$U$168,14,0)</f>
        <v>Pending</v>
      </c>
      <c r="V127" s="10" t="s">
        <v>36</v>
      </c>
      <c r="W127" s="10">
        <f t="shared" si="11"/>
        <v>4500</v>
      </c>
      <c r="X127" s="10" t="s">
        <v>37</v>
      </c>
      <c r="Y127" s="10" t="s">
        <v>38</v>
      </c>
      <c r="Z127" s="15">
        <f t="shared" si="12"/>
        <v>16.363636363636363</v>
      </c>
      <c r="AA127" s="10"/>
    </row>
    <row r="128" spans="1:27">
      <c r="A128" s="10">
        <f>SUBTOTAL(3,C$2:C128)</f>
        <v>127</v>
      </c>
      <c r="B128" s="10" t="s">
        <v>213</v>
      </c>
      <c r="C128" s="11" t="s">
        <v>39</v>
      </c>
      <c r="D128" s="10" t="s">
        <v>29</v>
      </c>
      <c r="E128" s="10" t="s">
        <v>30</v>
      </c>
      <c r="F128" s="10" t="s">
        <v>301</v>
      </c>
      <c r="G128" s="10" t="s">
        <v>41</v>
      </c>
      <c r="H128" s="12" t="s">
        <v>302</v>
      </c>
      <c r="I128" s="13">
        <v>46159</v>
      </c>
      <c r="J128" s="10">
        <f t="shared" ca="1" si="9"/>
        <v>40</v>
      </c>
      <c r="K128" s="10">
        <f t="shared" si="13"/>
        <v>46171</v>
      </c>
      <c r="L128" s="10" t="s">
        <v>107</v>
      </c>
      <c r="M128" s="10">
        <v>19000</v>
      </c>
      <c r="N128" s="10">
        <v>17000</v>
      </c>
      <c r="O128" s="13">
        <v>46164</v>
      </c>
      <c r="P128" s="10">
        <f t="shared" si="10"/>
        <v>2000</v>
      </c>
      <c r="Q128" s="14" t="s">
        <v>30</v>
      </c>
      <c r="R128" s="10" t="s">
        <v>34</v>
      </c>
      <c r="S128" s="10">
        <v>22000</v>
      </c>
      <c r="T128" s="10" t="str">
        <f>VLOOKUP(H128,'[1]MIS Sanjeev Auto'!$H$1:$T$168,13,0)</f>
        <v>VL/MH/26-27/0277</v>
      </c>
      <c r="U128" s="13">
        <f>VLOOKUP(H128,'[1]MIS Sanjeev Auto'!$H$1:$U$168,14,0)</f>
        <v>46171</v>
      </c>
      <c r="V128" s="10" t="s">
        <v>36</v>
      </c>
      <c r="W128" s="10">
        <f t="shared" si="11"/>
        <v>3000</v>
      </c>
      <c r="X128" s="10" t="s">
        <v>37</v>
      </c>
      <c r="Y128" s="10" t="s">
        <v>38</v>
      </c>
      <c r="Z128" s="15">
        <f t="shared" si="12"/>
        <v>15.789473684210526</v>
      </c>
      <c r="AA128" s="10"/>
    </row>
    <row r="129" spans="1:27">
      <c r="A129" s="10">
        <f>SUBTOTAL(3,C$2:C129)</f>
        <v>128</v>
      </c>
      <c r="B129" s="10" t="s">
        <v>213</v>
      </c>
      <c r="C129" s="11" t="s">
        <v>39</v>
      </c>
      <c r="D129" s="10" t="s">
        <v>29</v>
      </c>
      <c r="E129" s="10" t="s">
        <v>30</v>
      </c>
      <c r="F129" s="10" t="s">
        <v>303</v>
      </c>
      <c r="G129" s="10" t="s">
        <v>41</v>
      </c>
      <c r="H129" s="12" t="s">
        <v>304</v>
      </c>
      <c r="I129" s="13">
        <v>46160</v>
      </c>
      <c r="J129" s="10">
        <f t="shared" ca="1" si="9"/>
        <v>39</v>
      </c>
      <c r="K129" s="10">
        <f t="shared" si="13"/>
        <v>46171</v>
      </c>
      <c r="L129" s="10" t="s">
        <v>107</v>
      </c>
      <c r="M129" s="10">
        <v>19000</v>
      </c>
      <c r="N129" s="10">
        <v>17000</v>
      </c>
      <c r="O129" s="13">
        <v>46164</v>
      </c>
      <c r="P129" s="10">
        <f t="shared" si="10"/>
        <v>2000</v>
      </c>
      <c r="Q129" s="14" t="s">
        <v>30</v>
      </c>
      <c r="R129" s="10" t="s">
        <v>34</v>
      </c>
      <c r="S129" s="10">
        <v>22000</v>
      </c>
      <c r="T129" s="10" t="str">
        <f>VLOOKUP(H129,'[1]MIS Sanjeev Auto'!$H$1:$T$168,13,0)</f>
        <v>VL/MH/26-27/0277</v>
      </c>
      <c r="U129" s="13">
        <f>VLOOKUP(H129,'[1]MIS Sanjeev Auto'!$H$1:$U$168,14,0)</f>
        <v>46171</v>
      </c>
      <c r="V129" s="10" t="s">
        <v>36</v>
      </c>
      <c r="W129" s="10">
        <f t="shared" si="11"/>
        <v>3000</v>
      </c>
      <c r="X129" s="10" t="s">
        <v>37</v>
      </c>
      <c r="Y129" s="10" t="s">
        <v>38</v>
      </c>
      <c r="Z129" s="15">
        <f t="shared" si="12"/>
        <v>15.789473684210526</v>
      </c>
      <c r="AA129" s="10"/>
    </row>
    <row r="130" spans="1:27">
      <c r="A130" s="10">
        <f>SUBTOTAL(3,C$2:C130)</f>
        <v>129</v>
      </c>
      <c r="B130" s="10" t="s">
        <v>213</v>
      </c>
      <c r="C130" s="11" t="s">
        <v>226</v>
      </c>
      <c r="D130" s="10" t="s">
        <v>29</v>
      </c>
      <c r="E130" s="10" t="s">
        <v>30</v>
      </c>
      <c r="F130" s="10" t="s">
        <v>305</v>
      </c>
      <c r="G130" s="10" t="s">
        <v>41</v>
      </c>
      <c r="H130" s="12" t="s">
        <v>306</v>
      </c>
      <c r="I130" s="13">
        <v>46160</v>
      </c>
      <c r="J130" s="10">
        <f t="shared" ref="J130:J152" ca="1" si="14">+TODAY()-I130</f>
        <v>39</v>
      </c>
      <c r="K130" s="10">
        <f t="shared" si="13"/>
        <v>46171</v>
      </c>
      <c r="L130" s="10" t="s">
        <v>307</v>
      </c>
      <c r="M130" s="10">
        <v>19000</v>
      </c>
      <c r="N130" s="10">
        <v>17000</v>
      </c>
      <c r="O130" s="13">
        <v>46164</v>
      </c>
      <c r="P130" s="10">
        <f t="shared" ref="P130:P152" si="15">+M130-N130</f>
        <v>2000</v>
      </c>
      <c r="Q130" s="14" t="s">
        <v>30</v>
      </c>
      <c r="R130" s="10" t="s">
        <v>34</v>
      </c>
      <c r="S130" s="10">
        <v>22000</v>
      </c>
      <c r="T130" s="10" t="str">
        <f>VLOOKUP(H130,'[1]MIS Sanjeev Auto'!$H$1:$T$168,13,0)</f>
        <v>VL/MH/26-27/0277</v>
      </c>
      <c r="U130" s="13">
        <f>VLOOKUP(H130,'[1]MIS Sanjeev Auto'!$H$1:$U$168,14,0)</f>
        <v>46171</v>
      </c>
      <c r="V130" s="10" t="s">
        <v>36</v>
      </c>
      <c r="W130" s="10">
        <f t="shared" ref="W130:W152" si="16">+S130-M130</f>
        <v>3000</v>
      </c>
      <c r="X130" s="10" t="s">
        <v>230</v>
      </c>
      <c r="Y130" s="10" t="s">
        <v>38</v>
      </c>
      <c r="Z130" s="15">
        <f t="shared" ref="Z130:Z152" si="17">+W130*100/M130</f>
        <v>15.789473684210526</v>
      </c>
      <c r="AA130" s="10"/>
    </row>
    <row r="131" spans="1:27">
      <c r="A131" s="10">
        <f>SUBTOTAL(3,C$2:C131)</f>
        <v>130</v>
      </c>
      <c r="B131" s="10" t="s">
        <v>213</v>
      </c>
      <c r="C131" s="11" t="s">
        <v>45</v>
      </c>
      <c r="D131" s="10" t="s">
        <v>29</v>
      </c>
      <c r="E131" s="10" t="s">
        <v>30</v>
      </c>
      <c r="F131" s="10" t="s">
        <v>102</v>
      </c>
      <c r="G131" s="10" t="s">
        <v>83</v>
      </c>
      <c r="H131" s="12" t="s">
        <v>308</v>
      </c>
      <c r="I131" s="13">
        <v>46161</v>
      </c>
      <c r="J131" s="10">
        <f t="shared" ca="1" si="14"/>
        <v>38</v>
      </c>
      <c r="K131" s="10">
        <f t="shared" si="13"/>
        <v>46171</v>
      </c>
      <c r="L131" s="10" t="s">
        <v>107</v>
      </c>
      <c r="M131" s="10">
        <v>39000</v>
      </c>
      <c r="N131" s="10">
        <v>35000</v>
      </c>
      <c r="O131" s="13">
        <v>46164</v>
      </c>
      <c r="P131" s="10">
        <f t="shared" si="15"/>
        <v>4000</v>
      </c>
      <c r="Q131" s="14" t="s">
        <v>30</v>
      </c>
      <c r="R131" s="10" t="s">
        <v>34</v>
      </c>
      <c r="S131" s="10">
        <v>46000</v>
      </c>
      <c r="T131" s="10" t="str">
        <f>VLOOKUP(H131,'[1]MIS Sanjeev Auto'!$H$1:$T$168,13,0)</f>
        <v>VL/MH/26-27/0270</v>
      </c>
      <c r="U131" s="13">
        <f>VLOOKUP(H131,'[1]MIS Sanjeev Auto'!$H$1:$U$168,14,0)</f>
        <v>46171</v>
      </c>
      <c r="V131" s="10" t="s">
        <v>36</v>
      </c>
      <c r="W131" s="10">
        <f t="shared" si="16"/>
        <v>7000</v>
      </c>
      <c r="X131" s="10" t="s">
        <v>37</v>
      </c>
      <c r="Y131" s="10" t="s">
        <v>38</v>
      </c>
      <c r="Z131" s="15">
        <f t="shared" si="17"/>
        <v>17.948717948717949</v>
      </c>
      <c r="AA131" s="10"/>
    </row>
    <row r="132" spans="1:27">
      <c r="A132" s="10">
        <f>SUBTOTAL(3,C$2:C132)</f>
        <v>131</v>
      </c>
      <c r="B132" s="10" t="s">
        <v>213</v>
      </c>
      <c r="C132" s="11" t="s">
        <v>39</v>
      </c>
      <c r="D132" s="10" t="s">
        <v>29</v>
      </c>
      <c r="E132" s="10" t="s">
        <v>30</v>
      </c>
      <c r="F132" s="10" t="s">
        <v>309</v>
      </c>
      <c r="G132" s="10" t="s">
        <v>41</v>
      </c>
      <c r="H132" s="12" t="s">
        <v>310</v>
      </c>
      <c r="I132" s="13">
        <v>46161</v>
      </c>
      <c r="J132" s="10">
        <f t="shared" ca="1" si="14"/>
        <v>38</v>
      </c>
      <c r="K132" s="10" t="str">
        <f t="shared" si="13"/>
        <v>Pending</v>
      </c>
      <c r="L132" s="10" t="s">
        <v>107</v>
      </c>
      <c r="M132" s="10">
        <v>19000</v>
      </c>
      <c r="N132" s="10">
        <v>17000</v>
      </c>
      <c r="O132" s="13">
        <v>46164</v>
      </c>
      <c r="P132" s="10">
        <f t="shared" si="15"/>
        <v>2000</v>
      </c>
      <c r="Q132" s="14" t="s">
        <v>30</v>
      </c>
      <c r="R132" s="10" t="s">
        <v>34</v>
      </c>
      <c r="S132" s="10">
        <v>22000</v>
      </c>
      <c r="T132" s="10" t="str">
        <f>VLOOKUP(H132,'[1]MIS Sanjeev Auto'!$H$1:$T$168,13,0)</f>
        <v>Pending</v>
      </c>
      <c r="U132" s="13" t="str">
        <f>VLOOKUP(H132,'[1]MIS Sanjeev Auto'!$H$1:$U$168,14,0)</f>
        <v>Pending</v>
      </c>
      <c r="V132" s="10" t="s">
        <v>36</v>
      </c>
      <c r="W132" s="10">
        <f t="shared" si="16"/>
        <v>3000</v>
      </c>
      <c r="X132" s="10" t="s">
        <v>37</v>
      </c>
      <c r="Y132" s="10" t="s">
        <v>38</v>
      </c>
      <c r="Z132" s="15">
        <f t="shared" si="17"/>
        <v>15.789473684210526</v>
      </c>
      <c r="AA132" s="10"/>
    </row>
    <row r="133" spans="1:27">
      <c r="A133" s="10">
        <f>SUBTOTAL(3,C$2:C133)</f>
        <v>132</v>
      </c>
      <c r="B133" s="10" t="s">
        <v>213</v>
      </c>
      <c r="C133" s="11" t="s">
        <v>45</v>
      </c>
      <c r="D133" s="10" t="s">
        <v>29</v>
      </c>
      <c r="E133" s="10" t="s">
        <v>30</v>
      </c>
      <c r="F133" s="10" t="s">
        <v>311</v>
      </c>
      <c r="G133" s="10" t="s">
        <v>256</v>
      </c>
      <c r="H133" s="12" t="s">
        <v>312</v>
      </c>
      <c r="I133" s="13">
        <v>46161</v>
      </c>
      <c r="J133" s="10">
        <f t="shared" ca="1" si="14"/>
        <v>38</v>
      </c>
      <c r="K133" s="10" t="str">
        <f t="shared" si="13"/>
        <v>Pending</v>
      </c>
      <c r="L133" s="10" t="s">
        <v>107</v>
      </c>
      <c r="M133" s="10">
        <v>33000</v>
      </c>
      <c r="N133" s="10">
        <v>30000</v>
      </c>
      <c r="O133" s="13">
        <v>46164</v>
      </c>
      <c r="P133" s="10">
        <f t="shared" si="15"/>
        <v>3000</v>
      </c>
      <c r="Q133" s="14" t="s">
        <v>30</v>
      </c>
      <c r="R133" s="10" t="s">
        <v>34</v>
      </c>
      <c r="S133" s="10">
        <v>38000</v>
      </c>
      <c r="T133" s="10" t="str">
        <f>VLOOKUP(H133,'[1]MIS Sanjeev Auto'!$H$1:$T$168,13,0)</f>
        <v>Pending</v>
      </c>
      <c r="U133" s="13" t="str">
        <f>VLOOKUP(H133,'[1]MIS Sanjeev Auto'!$H$1:$U$168,14,0)</f>
        <v>Pending</v>
      </c>
      <c r="V133" s="10" t="s">
        <v>36</v>
      </c>
      <c r="W133" s="10">
        <f t="shared" si="16"/>
        <v>5000</v>
      </c>
      <c r="X133" s="10" t="s">
        <v>37</v>
      </c>
      <c r="Y133" s="10" t="s">
        <v>38</v>
      </c>
      <c r="Z133" s="15">
        <f t="shared" si="17"/>
        <v>15.151515151515152</v>
      </c>
      <c r="AA133" s="10"/>
    </row>
    <row r="134" spans="1:27">
      <c r="A134" s="10">
        <f>SUBTOTAL(3,C$2:C134)</f>
        <v>133</v>
      </c>
      <c r="B134" s="10" t="s">
        <v>213</v>
      </c>
      <c r="C134" s="11" t="s">
        <v>49</v>
      </c>
      <c r="D134" s="10" t="s">
        <v>29</v>
      </c>
      <c r="E134" s="10" t="s">
        <v>30</v>
      </c>
      <c r="F134" s="10" t="s">
        <v>313</v>
      </c>
      <c r="G134" s="10" t="s">
        <v>314</v>
      </c>
      <c r="H134" s="12" t="s">
        <v>315</v>
      </c>
      <c r="I134" s="13">
        <v>46161</v>
      </c>
      <c r="J134" s="10">
        <f t="shared" ca="1" si="14"/>
        <v>38</v>
      </c>
      <c r="K134" s="10" t="str">
        <f t="shared" si="13"/>
        <v>Pending</v>
      </c>
      <c r="L134" s="10" t="s">
        <v>316</v>
      </c>
      <c r="M134" s="10">
        <v>33000</v>
      </c>
      <c r="N134" s="10">
        <v>30000</v>
      </c>
      <c r="O134" s="13">
        <v>46164</v>
      </c>
      <c r="P134" s="10">
        <f t="shared" si="15"/>
        <v>3000</v>
      </c>
      <c r="Q134" s="14" t="s">
        <v>30</v>
      </c>
      <c r="R134" s="10" t="s">
        <v>34</v>
      </c>
      <c r="S134" s="10">
        <v>38000</v>
      </c>
      <c r="T134" s="10" t="str">
        <f>VLOOKUP(H134,'[1]MIS Sanjeev Auto'!$H$1:$T$168,13,0)</f>
        <v>Pending</v>
      </c>
      <c r="U134" s="13" t="str">
        <f>VLOOKUP(H134,'[1]MIS Sanjeev Auto'!$H$1:$U$168,14,0)</f>
        <v>Pending</v>
      </c>
      <c r="V134" s="10" t="s">
        <v>36</v>
      </c>
      <c r="W134" s="10">
        <f t="shared" si="16"/>
        <v>5000</v>
      </c>
      <c r="X134" s="10" t="s">
        <v>37</v>
      </c>
      <c r="Y134" s="10" t="s">
        <v>38</v>
      </c>
      <c r="Z134" s="15">
        <f t="shared" si="17"/>
        <v>15.151515151515152</v>
      </c>
      <c r="AA134" s="10"/>
    </row>
    <row r="135" spans="1:27">
      <c r="A135" s="10">
        <f>SUBTOTAL(3,C$2:C135)</f>
        <v>134</v>
      </c>
      <c r="B135" s="10" t="s">
        <v>213</v>
      </c>
      <c r="C135" s="11" t="s">
        <v>39</v>
      </c>
      <c r="D135" s="10" t="s">
        <v>29</v>
      </c>
      <c r="E135" s="10" t="s">
        <v>30</v>
      </c>
      <c r="F135" s="10" t="s">
        <v>288</v>
      </c>
      <c r="G135" s="10" t="s">
        <v>41</v>
      </c>
      <c r="H135" s="12" t="s">
        <v>317</v>
      </c>
      <c r="I135" s="13">
        <v>46162</v>
      </c>
      <c r="J135" s="10">
        <f t="shared" ca="1" si="14"/>
        <v>37</v>
      </c>
      <c r="K135" s="10" t="str">
        <f t="shared" si="13"/>
        <v>Pending</v>
      </c>
      <c r="L135" s="10" t="s">
        <v>107</v>
      </c>
      <c r="M135" s="10">
        <v>19000</v>
      </c>
      <c r="N135" s="10">
        <v>17000</v>
      </c>
      <c r="O135" s="13">
        <v>46164</v>
      </c>
      <c r="P135" s="10">
        <f t="shared" si="15"/>
        <v>2000</v>
      </c>
      <c r="Q135" s="14" t="s">
        <v>30</v>
      </c>
      <c r="R135" s="10" t="s">
        <v>34</v>
      </c>
      <c r="S135" s="10">
        <v>22000</v>
      </c>
      <c r="T135" s="10" t="str">
        <f>VLOOKUP(H135,'[1]MIS Sanjeev Auto'!$H$1:$T$168,13,0)</f>
        <v>Pending</v>
      </c>
      <c r="U135" s="13" t="str">
        <f>VLOOKUP(H135,'[1]MIS Sanjeev Auto'!$H$1:$U$168,14,0)</f>
        <v>Pending</v>
      </c>
      <c r="V135" s="10" t="s">
        <v>36</v>
      </c>
      <c r="W135" s="10">
        <f t="shared" si="16"/>
        <v>3000</v>
      </c>
      <c r="X135" s="10" t="s">
        <v>37</v>
      </c>
      <c r="Y135" s="10" t="s">
        <v>38</v>
      </c>
      <c r="Z135" s="15">
        <f t="shared" si="17"/>
        <v>15.789473684210526</v>
      </c>
      <c r="AA135" s="10"/>
    </row>
    <row r="136" spans="1:27">
      <c r="A136" s="10">
        <f>SUBTOTAL(3,C$2:C136)</f>
        <v>135</v>
      </c>
      <c r="B136" s="10" t="s">
        <v>213</v>
      </c>
      <c r="C136" s="11" t="s">
        <v>49</v>
      </c>
      <c r="D136" s="10" t="s">
        <v>29</v>
      </c>
      <c r="E136" s="10" t="s">
        <v>30</v>
      </c>
      <c r="F136" s="10" t="s">
        <v>318</v>
      </c>
      <c r="G136" s="10" t="s">
        <v>32</v>
      </c>
      <c r="H136" s="12" t="s">
        <v>319</v>
      </c>
      <c r="I136" s="13">
        <v>46163</v>
      </c>
      <c r="J136" s="10">
        <f t="shared" ca="1" si="14"/>
        <v>36</v>
      </c>
      <c r="K136" s="10" t="str">
        <f t="shared" si="13"/>
        <v>Pending</v>
      </c>
      <c r="L136" s="10" t="s">
        <v>142</v>
      </c>
      <c r="M136" s="10">
        <v>39000</v>
      </c>
      <c r="N136" s="10">
        <v>34000</v>
      </c>
      <c r="O136" s="13">
        <v>46164</v>
      </c>
      <c r="P136" s="10">
        <f t="shared" si="15"/>
        <v>5000</v>
      </c>
      <c r="Q136" s="14" t="s">
        <v>30</v>
      </c>
      <c r="R136" s="10" t="s">
        <v>34</v>
      </c>
      <c r="S136" s="10">
        <v>46000</v>
      </c>
      <c r="T136" s="10" t="str">
        <f>VLOOKUP(H136,'[1]MIS Sanjeev Auto'!$H$1:$T$168,13,0)</f>
        <v>Pending</v>
      </c>
      <c r="U136" s="13" t="str">
        <f>VLOOKUP(H136,'[1]MIS Sanjeev Auto'!$H$1:$U$168,14,0)</f>
        <v>Pending</v>
      </c>
      <c r="V136" s="10" t="s">
        <v>36</v>
      </c>
      <c r="W136" s="10">
        <f t="shared" si="16"/>
        <v>7000</v>
      </c>
      <c r="X136" s="10" t="s">
        <v>37</v>
      </c>
      <c r="Y136" s="10" t="s">
        <v>38</v>
      </c>
      <c r="Z136" s="15">
        <f t="shared" si="17"/>
        <v>17.948717948717949</v>
      </c>
      <c r="AA136" s="10"/>
    </row>
    <row r="137" spans="1:27">
      <c r="A137" s="10">
        <f>SUBTOTAL(3,C$2:C137)</f>
        <v>136</v>
      </c>
      <c r="B137" s="10" t="s">
        <v>213</v>
      </c>
      <c r="C137" s="11" t="s">
        <v>49</v>
      </c>
      <c r="D137" s="10" t="s">
        <v>29</v>
      </c>
      <c r="E137" s="10" t="s">
        <v>30</v>
      </c>
      <c r="F137" s="10" t="s">
        <v>320</v>
      </c>
      <c r="G137" s="10" t="s">
        <v>32</v>
      </c>
      <c r="H137" s="12" t="s">
        <v>321</v>
      </c>
      <c r="I137" s="13">
        <v>46162</v>
      </c>
      <c r="J137" s="10">
        <f t="shared" ca="1" si="14"/>
        <v>37</v>
      </c>
      <c r="K137" s="10" t="str">
        <f t="shared" si="13"/>
        <v>Pending</v>
      </c>
      <c r="L137" s="10" t="s">
        <v>142</v>
      </c>
      <c r="M137" s="10">
        <v>39000</v>
      </c>
      <c r="N137" s="10">
        <v>34000</v>
      </c>
      <c r="O137" s="13">
        <v>46164</v>
      </c>
      <c r="P137" s="10">
        <f t="shared" si="15"/>
        <v>5000</v>
      </c>
      <c r="Q137" s="14" t="s">
        <v>30</v>
      </c>
      <c r="R137" s="10" t="s">
        <v>34</v>
      </c>
      <c r="S137" s="10">
        <v>46000</v>
      </c>
      <c r="T137" s="10" t="str">
        <f>VLOOKUP(H137,'[1]MIS Sanjeev Auto'!$H$1:$T$168,13,0)</f>
        <v>Pending</v>
      </c>
      <c r="U137" s="13" t="str">
        <f>VLOOKUP(H137,'[1]MIS Sanjeev Auto'!$H$1:$U$168,14,0)</f>
        <v>Pending</v>
      </c>
      <c r="V137" s="10" t="s">
        <v>36</v>
      </c>
      <c r="W137" s="10">
        <f t="shared" si="16"/>
        <v>7000</v>
      </c>
      <c r="X137" s="10" t="s">
        <v>37</v>
      </c>
      <c r="Y137" s="10" t="s">
        <v>38</v>
      </c>
      <c r="Z137" s="15">
        <f t="shared" si="17"/>
        <v>17.948717948717949</v>
      </c>
      <c r="AA137" s="10"/>
    </row>
    <row r="138" spans="1:27">
      <c r="A138" s="10">
        <f>SUBTOTAL(3,C$2:C138)</f>
        <v>137</v>
      </c>
      <c r="B138" s="10" t="s">
        <v>213</v>
      </c>
      <c r="C138" s="11" t="s">
        <v>39</v>
      </c>
      <c r="D138" s="10" t="s">
        <v>29</v>
      </c>
      <c r="E138" s="10" t="s">
        <v>30</v>
      </c>
      <c r="F138" s="10" t="s">
        <v>322</v>
      </c>
      <c r="G138" s="10" t="s">
        <v>41</v>
      </c>
      <c r="H138" s="12" t="s">
        <v>323</v>
      </c>
      <c r="I138" s="13">
        <v>46164</v>
      </c>
      <c r="J138" s="10">
        <f t="shared" ca="1" si="14"/>
        <v>35</v>
      </c>
      <c r="K138" s="10" t="str">
        <f t="shared" si="13"/>
        <v>Pending</v>
      </c>
      <c r="L138" s="10" t="s">
        <v>107</v>
      </c>
      <c r="M138" s="10">
        <v>19000</v>
      </c>
      <c r="N138" s="10">
        <v>17000</v>
      </c>
      <c r="O138" s="13">
        <v>46164</v>
      </c>
      <c r="P138" s="10">
        <f t="shared" si="15"/>
        <v>2000</v>
      </c>
      <c r="Q138" s="14" t="s">
        <v>30</v>
      </c>
      <c r="R138" s="10" t="s">
        <v>34</v>
      </c>
      <c r="S138" s="10">
        <v>22000</v>
      </c>
      <c r="T138" s="10" t="str">
        <f>VLOOKUP(H138,'[1]MIS Sanjeev Auto'!$H$1:$T$168,13,0)</f>
        <v>Pending</v>
      </c>
      <c r="U138" s="13" t="str">
        <f>VLOOKUP(H138,'[1]MIS Sanjeev Auto'!$H$1:$U$168,14,0)</f>
        <v>Pending</v>
      </c>
      <c r="V138" s="10" t="s">
        <v>36</v>
      </c>
      <c r="W138" s="10">
        <f t="shared" si="16"/>
        <v>3000</v>
      </c>
      <c r="X138" s="10" t="s">
        <v>37</v>
      </c>
      <c r="Y138" s="10" t="s">
        <v>38</v>
      </c>
      <c r="Z138" s="15">
        <f t="shared" si="17"/>
        <v>15.789473684210526</v>
      </c>
      <c r="AA138" s="10"/>
    </row>
    <row r="139" spans="1:27">
      <c r="A139" s="10">
        <f>SUBTOTAL(3,C$2:C139)</f>
        <v>138</v>
      </c>
      <c r="B139" s="10" t="s">
        <v>213</v>
      </c>
      <c r="C139" s="11" t="s">
        <v>39</v>
      </c>
      <c r="D139" s="10" t="s">
        <v>29</v>
      </c>
      <c r="E139" s="10" t="s">
        <v>30</v>
      </c>
      <c r="F139" s="10" t="s">
        <v>324</v>
      </c>
      <c r="G139" s="10" t="s">
        <v>41</v>
      </c>
      <c r="H139" s="12" t="s">
        <v>325</v>
      </c>
      <c r="I139" s="13">
        <v>46164</v>
      </c>
      <c r="J139" s="10">
        <f t="shared" ca="1" si="14"/>
        <v>35</v>
      </c>
      <c r="K139" s="10" t="str">
        <f t="shared" si="13"/>
        <v>Pending</v>
      </c>
      <c r="L139" s="10" t="s">
        <v>107</v>
      </c>
      <c r="M139" s="10">
        <v>19000</v>
      </c>
      <c r="N139" s="10">
        <v>17000</v>
      </c>
      <c r="O139" s="13">
        <v>46164</v>
      </c>
      <c r="P139" s="10">
        <f t="shared" si="15"/>
        <v>2000</v>
      </c>
      <c r="Q139" s="14" t="s">
        <v>30</v>
      </c>
      <c r="R139" s="10" t="s">
        <v>34</v>
      </c>
      <c r="S139" s="10">
        <v>22000</v>
      </c>
      <c r="T139" s="10" t="str">
        <f>VLOOKUP(H139,'[1]MIS Sanjeev Auto'!$H$1:$T$168,13,0)</f>
        <v>Pending</v>
      </c>
      <c r="U139" s="13" t="str">
        <f>VLOOKUP(H139,'[1]MIS Sanjeev Auto'!$H$1:$U$168,14,0)</f>
        <v>Pending</v>
      </c>
      <c r="V139" s="10" t="s">
        <v>36</v>
      </c>
      <c r="W139" s="10">
        <f t="shared" si="16"/>
        <v>3000</v>
      </c>
      <c r="X139" s="10" t="s">
        <v>37</v>
      </c>
      <c r="Y139" s="10" t="s">
        <v>38</v>
      </c>
      <c r="Z139" s="15">
        <f t="shared" si="17"/>
        <v>15.789473684210526</v>
      </c>
      <c r="AA139" s="10"/>
    </row>
    <row r="140" spans="1:27">
      <c r="A140" s="10">
        <f>SUBTOTAL(3,C$2:C140)</f>
        <v>139</v>
      </c>
      <c r="B140" s="10" t="s">
        <v>213</v>
      </c>
      <c r="C140" s="11" t="s">
        <v>39</v>
      </c>
      <c r="D140" s="10" t="s">
        <v>29</v>
      </c>
      <c r="E140" s="10" t="s">
        <v>30</v>
      </c>
      <c r="F140" s="10" t="s">
        <v>326</v>
      </c>
      <c r="G140" s="10" t="s">
        <v>41</v>
      </c>
      <c r="H140" s="12" t="s">
        <v>327</v>
      </c>
      <c r="I140" s="13">
        <v>46164</v>
      </c>
      <c r="J140" s="10">
        <f t="shared" ca="1" si="14"/>
        <v>35</v>
      </c>
      <c r="K140" s="10" t="str">
        <f t="shared" si="13"/>
        <v>Pending</v>
      </c>
      <c r="L140" s="10" t="s">
        <v>107</v>
      </c>
      <c r="M140" s="10">
        <v>19000</v>
      </c>
      <c r="N140" s="10">
        <v>17000</v>
      </c>
      <c r="O140" s="13">
        <v>46165</v>
      </c>
      <c r="P140" s="10">
        <f t="shared" si="15"/>
        <v>2000</v>
      </c>
      <c r="Q140" s="14" t="s">
        <v>30</v>
      </c>
      <c r="R140" s="10" t="s">
        <v>34</v>
      </c>
      <c r="S140" s="10">
        <v>22000</v>
      </c>
      <c r="T140" s="10" t="str">
        <f>VLOOKUP(H140,'[1]MIS Sanjeev Auto'!$H$1:$T$168,13,0)</f>
        <v>Pending</v>
      </c>
      <c r="U140" s="13" t="str">
        <f>VLOOKUP(H140,'[1]MIS Sanjeev Auto'!$H$1:$U$168,14,0)</f>
        <v>Pending</v>
      </c>
      <c r="V140" s="10" t="s">
        <v>36</v>
      </c>
      <c r="W140" s="10">
        <f t="shared" si="16"/>
        <v>3000</v>
      </c>
      <c r="X140" s="10" t="s">
        <v>37</v>
      </c>
      <c r="Y140" s="10" t="s">
        <v>38</v>
      </c>
      <c r="Z140" s="15">
        <f t="shared" si="17"/>
        <v>15.789473684210526</v>
      </c>
      <c r="AA140" s="10"/>
    </row>
    <row r="141" spans="1:27">
      <c r="A141" s="10">
        <f>SUBTOTAL(3,C$2:C141)</f>
        <v>140</v>
      </c>
      <c r="B141" s="10" t="s">
        <v>213</v>
      </c>
      <c r="C141" s="11" t="s">
        <v>39</v>
      </c>
      <c r="D141" s="10" t="s">
        <v>29</v>
      </c>
      <c r="E141" s="10" t="s">
        <v>30</v>
      </c>
      <c r="F141" s="10" t="s">
        <v>149</v>
      </c>
      <c r="G141" s="10" t="s">
        <v>41</v>
      </c>
      <c r="H141" s="12" t="s">
        <v>328</v>
      </c>
      <c r="I141" s="13">
        <v>46165</v>
      </c>
      <c r="J141" s="10">
        <f t="shared" ca="1" si="14"/>
        <v>34</v>
      </c>
      <c r="K141" s="10" t="str">
        <f t="shared" si="13"/>
        <v>Pending</v>
      </c>
      <c r="L141" s="10" t="s">
        <v>107</v>
      </c>
      <c r="M141" s="10">
        <v>19000</v>
      </c>
      <c r="N141" s="10">
        <v>17000</v>
      </c>
      <c r="O141" s="13">
        <v>46165</v>
      </c>
      <c r="P141" s="10">
        <f t="shared" si="15"/>
        <v>2000</v>
      </c>
      <c r="Q141" s="14" t="s">
        <v>30</v>
      </c>
      <c r="R141" s="10" t="s">
        <v>34</v>
      </c>
      <c r="S141" s="10">
        <v>22000</v>
      </c>
      <c r="T141" s="10" t="str">
        <f>VLOOKUP(H141,'[1]MIS Sanjeev Auto'!$H$1:$T$168,13,0)</f>
        <v>Pending</v>
      </c>
      <c r="U141" s="13" t="str">
        <f>VLOOKUP(H141,'[1]MIS Sanjeev Auto'!$H$1:$U$168,14,0)</f>
        <v>Pending</v>
      </c>
      <c r="V141" s="10" t="s">
        <v>36</v>
      </c>
      <c r="W141" s="10">
        <f t="shared" si="16"/>
        <v>3000</v>
      </c>
      <c r="X141" s="10" t="s">
        <v>37</v>
      </c>
      <c r="Y141" s="10" t="s">
        <v>38</v>
      </c>
      <c r="Z141" s="15">
        <f t="shared" si="17"/>
        <v>15.789473684210526</v>
      </c>
      <c r="AA141" s="10"/>
    </row>
    <row r="142" spans="1:27">
      <c r="A142" s="10">
        <f>SUBTOTAL(3,C$2:C142)</f>
        <v>141</v>
      </c>
      <c r="B142" s="10" t="s">
        <v>213</v>
      </c>
      <c r="C142" s="11" t="s">
        <v>28</v>
      </c>
      <c r="D142" s="10" t="s">
        <v>29</v>
      </c>
      <c r="E142" s="10" t="s">
        <v>30</v>
      </c>
      <c r="F142" s="10" t="s">
        <v>223</v>
      </c>
      <c r="G142" s="10" t="s">
        <v>32</v>
      </c>
      <c r="H142" s="12" t="s">
        <v>329</v>
      </c>
      <c r="I142" s="13">
        <v>46165</v>
      </c>
      <c r="J142" s="10">
        <f t="shared" ca="1" si="14"/>
        <v>34</v>
      </c>
      <c r="K142" s="10" t="str">
        <f t="shared" si="13"/>
        <v>Pending</v>
      </c>
      <c r="L142" s="10" t="s">
        <v>225</v>
      </c>
      <c r="M142" s="10">
        <v>39000</v>
      </c>
      <c r="N142" s="10">
        <v>34000</v>
      </c>
      <c r="O142" s="13">
        <v>46165</v>
      </c>
      <c r="P142" s="10">
        <f t="shared" si="15"/>
        <v>5000</v>
      </c>
      <c r="Q142" s="14" t="s">
        <v>30</v>
      </c>
      <c r="R142" s="10" t="s">
        <v>34</v>
      </c>
      <c r="S142" s="10">
        <v>46000</v>
      </c>
      <c r="T142" s="10" t="str">
        <f>VLOOKUP(H142,'[1]MIS Sanjeev Auto'!$H$1:$T$168,13,0)</f>
        <v>Pending</v>
      </c>
      <c r="U142" s="13" t="str">
        <f>VLOOKUP(H142,'[1]MIS Sanjeev Auto'!$H$1:$U$168,14,0)</f>
        <v>Pending</v>
      </c>
      <c r="V142" s="10" t="s">
        <v>36</v>
      </c>
      <c r="W142" s="10">
        <f t="shared" si="16"/>
        <v>7000</v>
      </c>
      <c r="X142" s="10" t="s">
        <v>37</v>
      </c>
      <c r="Y142" s="10" t="s">
        <v>38</v>
      </c>
      <c r="Z142" s="15">
        <f t="shared" si="17"/>
        <v>17.948717948717949</v>
      </c>
      <c r="AA142" s="10"/>
    </row>
    <row r="143" spans="1:27">
      <c r="A143" s="10">
        <f>SUBTOTAL(3,C$2:C143)</f>
        <v>142</v>
      </c>
      <c r="B143" s="10" t="s">
        <v>213</v>
      </c>
      <c r="C143" s="11" t="s">
        <v>45</v>
      </c>
      <c r="D143" s="10" t="s">
        <v>29</v>
      </c>
      <c r="E143" s="10" t="s">
        <v>30</v>
      </c>
      <c r="F143" s="10" t="s">
        <v>102</v>
      </c>
      <c r="G143" s="10" t="s">
        <v>32</v>
      </c>
      <c r="H143" s="12" t="s">
        <v>330</v>
      </c>
      <c r="I143" s="13">
        <v>46165</v>
      </c>
      <c r="J143" s="10">
        <f t="shared" ca="1" si="14"/>
        <v>34</v>
      </c>
      <c r="K143" s="10" t="str">
        <f t="shared" si="13"/>
        <v>Pending</v>
      </c>
      <c r="L143" s="10" t="s">
        <v>159</v>
      </c>
      <c r="M143" s="10">
        <v>27500</v>
      </c>
      <c r="N143" s="10">
        <v>24500</v>
      </c>
      <c r="O143" s="13">
        <v>46165</v>
      </c>
      <c r="P143" s="10">
        <f t="shared" si="15"/>
        <v>3000</v>
      </c>
      <c r="Q143" s="14" t="s">
        <v>30</v>
      </c>
      <c r="R143" s="10" t="s">
        <v>34</v>
      </c>
      <c r="S143" s="10">
        <v>32000</v>
      </c>
      <c r="T143" s="10" t="str">
        <f>VLOOKUP(H143,'[1]MIS Sanjeev Auto'!$H$1:$T$168,13,0)</f>
        <v>Pending</v>
      </c>
      <c r="U143" s="13" t="str">
        <f>VLOOKUP(H143,'[1]MIS Sanjeev Auto'!$H$1:$U$168,14,0)</f>
        <v>Pending</v>
      </c>
      <c r="V143" s="10" t="s">
        <v>36</v>
      </c>
      <c r="W143" s="10">
        <f t="shared" si="16"/>
        <v>4500</v>
      </c>
      <c r="X143" s="10" t="s">
        <v>37</v>
      </c>
      <c r="Y143" s="10" t="s">
        <v>38</v>
      </c>
      <c r="Z143" s="15">
        <f t="shared" si="17"/>
        <v>16.363636363636363</v>
      </c>
      <c r="AA143" s="10"/>
    </row>
    <row r="144" spans="1:27">
      <c r="A144" s="10">
        <f>SUBTOTAL(3,C$2:C144)</f>
        <v>143</v>
      </c>
      <c r="B144" s="10" t="s">
        <v>213</v>
      </c>
      <c r="C144" s="11" t="s">
        <v>45</v>
      </c>
      <c r="D144" s="10" t="s">
        <v>29</v>
      </c>
      <c r="E144" s="10" t="s">
        <v>30</v>
      </c>
      <c r="F144" s="10" t="s">
        <v>31</v>
      </c>
      <c r="G144" s="10" t="s">
        <v>32</v>
      </c>
      <c r="H144" s="12" t="s">
        <v>331</v>
      </c>
      <c r="I144" s="13">
        <v>46165</v>
      </c>
      <c r="J144" s="10">
        <f t="shared" ca="1" si="14"/>
        <v>34</v>
      </c>
      <c r="K144" s="10" t="str">
        <f t="shared" si="13"/>
        <v>Pending</v>
      </c>
      <c r="L144" s="10" t="s">
        <v>159</v>
      </c>
      <c r="M144" s="10">
        <v>27500</v>
      </c>
      <c r="N144" s="10">
        <v>24500</v>
      </c>
      <c r="O144" s="13">
        <v>46167</v>
      </c>
      <c r="P144" s="10">
        <f t="shared" si="15"/>
        <v>3000</v>
      </c>
      <c r="Q144" s="14" t="s">
        <v>30</v>
      </c>
      <c r="R144" s="10" t="s">
        <v>34</v>
      </c>
      <c r="S144" s="10">
        <v>32000</v>
      </c>
      <c r="T144" s="10" t="str">
        <f>VLOOKUP(H144,'[1]MIS Sanjeev Auto'!$H$1:$T$168,13,0)</f>
        <v>Pending</v>
      </c>
      <c r="U144" s="13" t="str">
        <f>VLOOKUP(H144,'[1]MIS Sanjeev Auto'!$H$1:$U$168,14,0)</f>
        <v>Pending</v>
      </c>
      <c r="V144" s="10" t="s">
        <v>36</v>
      </c>
      <c r="W144" s="10">
        <f t="shared" si="16"/>
        <v>4500</v>
      </c>
      <c r="X144" s="10" t="s">
        <v>37</v>
      </c>
      <c r="Y144" s="10" t="s">
        <v>38</v>
      </c>
      <c r="Z144" s="15">
        <f t="shared" si="17"/>
        <v>16.363636363636363</v>
      </c>
      <c r="AA144" s="10"/>
    </row>
    <row r="145" spans="1:27">
      <c r="A145" s="10">
        <f>SUBTOTAL(3,C$2:C145)</f>
        <v>144</v>
      </c>
      <c r="B145" s="10" t="s">
        <v>213</v>
      </c>
      <c r="C145" s="11" t="s">
        <v>49</v>
      </c>
      <c r="D145" s="10" t="s">
        <v>29</v>
      </c>
      <c r="E145" s="10" t="s">
        <v>30</v>
      </c>
      <c r="F145" s="10" t="s">
        <v>332</v>
      </c>
      <c r="G145" s="10" t="s">
        <v>32</v>
      </c>
      <c r="H145" s="12" t="s">
        <v>333</v>
      </c>
      <c r="I145" s="13">
        <v>46165</v>
      </c>
      <c r="J145" s="10">
        <f t="shared" ca="1" si="14"/>
        <v>34</v>
      </c>
      <c r="K145" s="10" t="str">
        <f t="shared" si="13"/>
        <v>Pending</v>
      </c>
      <c r="L145" s="10" t="s">
        <v>334</v>
      </c>
      <c r="M145" s="10">
        <v>39000</v>
      </c>
      <c r="N145" s="10">
        <v>34000</v>
      </c>
      <c r="O145" s="13">
        <v>46169</v>
      </c>
      <c r="P145" s="10">
        <f t="shared" si="15"/>
        <v>5000</v>
      </c>
      <c r="Q145" s="14" t="s">
        <v>30</v>
      </c>
      <c r="R145" s="10" t="s">
        <v>34</v>
      </c>
      <c r="S145" s="10">
        <v>46000</v>
      </c>
      <c r="T145" s="10" t="str">
        <f>VLOOKUP(H145,'[1]MIS Sanjeev Auto'!$H$1:$T$168,13,0)</f>
        <v>Pending</v>
      </c>
      <c r="U145" s="13" t="str">
        <f>VLOOKUP(H145,'[1]MIS Sanjeev Auto'!$H$1:$U$168,14,0)</f>
        <v>Pending</v>
      </c>
      <c r="V145" s="10" t="s">
        <v>36</v>
      </c>
      <c r="W145" s="10">
        <f t="shared" si="16"/>
        <v>7000</v>
      </c>
      <c r="X145" s="10" t="s">
        <v>37</v>
      </c>
      <c r="Y145" s="10" t="s">
        <v>38</v>
      </c>
      <c r="Z145" s="15">
        <f t="shared" si="17"/>
        <v>17.948717948717949</v>
      </c>
      <c r="AA145" s="10"/>
    </row>
    <row r="146" spans="1:27">
      <c r="A146" s="10">
        <f>SUBTOTAL(3,C$2:C146)</f>
        <v>145</v>
      </c>
      <c r="B146" s="10" t="s">
        <v>213</v>
      </c>
      <c r="C146" s="11" t="s">
        <v>49</v>
      </c>
      <c r="D146" s="10" t="s">
        <v>29</v>
      </c>
      <c r="E146" s="10" t="s">
        <v>30</v>
      </c>
      <c r="F146" s="10" t="s">
        <v>140</v>
      </c>
      <c r="G146" s="10" t="s">
        <v>32</v>
      </c>
      <c r="H146" s="16" t="s">
        <v>335</v>
      </c>
      <c r="I146" s="13">
        <v>46167</v>
      </c>
      <c r="J146" s="10">
        <f t="shared" ca="1" si="14"/>
        <v>32</v>
      </c>
      <c r="K146" s="10" t="str">
        <f t="shared" si="13"/>
        <v>Pending</v>
      </c>
      <c r="L146" s="10" t="s">
        <v>334</v>
      </c>
      <c r="M146" s="10">
        <v>39000</v>
      </c>
      <c r="N146" s="10">
        <v>34000</v>
      </c>
      <c r="O146" s="13">
        <v>46169</v>
      </c>
      <c r="P146" s="10">
        <f t="shared" si="15"/>
        <v>5000</v>
      </c>
      <c r="Q146" s="14" t="s">
        <v>30</v>
      </c>
      <c r="R146" s="10" t="s">
        <v>34</v>
      </c>
      <c r="S146" s="10">
        <v>46000</v>
      </c>
      <c r="T146" s="10" t="str">
        <f>VLOOKUP(H146,'[1]MIS Sanjeev Auto'!$H$1:$T$168,13,0)</f>
        <v>Pending</v>
      </c>
      <c r="U146" s="13" t="str">
        <f>VLOOKUP(H146,'[1]MIS Sanjeev Auto'!$H$1:$U$168,14,0)</f>
        <v>Pending</v>
      </c>
      <c r="V146" s="10" t="s">
        <v>36</v>
      </c>
      <c r="W146" s="10">
        <f t="shared" si="16"/>
        <v>7000</v>
      </c>
      <c r="X146" s="10" t="s">
        <v>37</v>
      </c>
      <c r="Y146" s="10" t="s">
        <v>38</v>
      </c>
      <c r="Z146" s="15">
        <f t="shared" si="17"/>
        <v>17.948717948717949</v>
      </c>
      <c r="AA146" s="10"/>
    </row>
    <row r="147" spans="1:27">
      <c r="A147" s="10">
        <f>SUBTOTAL(3,C$2:C147)</f>
        <v>146</v>
      </c>
      <c r="B147" s="10" t="s">
        <v>213</v>
      </c>
      <c r="C147" s="11" t="s">
        <v>39</v>
      </c>
      <c r="D147" s="10" t="s">
        <v>29</v>
      </c>
      <c r="E147" s="10" t="s">
        <v>30</v>
      </c>
      <c r="F147" s="10" t="s">
        <v>336</v>
      </c>
      <c r="G147" s="10" t="s">
        <v>41</v>
      </c>
      <c r="H147" s="12" t="s">
        <v>337</v>
      </c>
      <c r="I147" s="13">
        <v>46165</v>
      </c>
      <c r="J147" s="10">
        <f t="shared" ca="1" si="14"/>
        <v>34</v>
      </c>
      <c r="K147" s="10" t="str">
        <f t="shared" si="13"/>
        <v>Pending</v>
      </c>
      <c r="L147" s="10" t="s">
        <v>107</v>
      </c>
      <c r="M147" s="10">
        <v>19000</v>
      </c>
      <c r="N147" s="10">
        <v>17000</v>
      </c>
      <c r="O147" s="13">
        <v>46169</v>
      </c>
      <c r="P147" s="10">
        <f t="shared" si="15"/>
        <v>2000</v>
      </c>
      <c r="Q147" s="14" t="s">
        <v>30</v>
      </c>
      <c r="R147" s="10" t="s">
        <v>34</v>
      </c>
      <c r="S147" s="10">
        <v>22000</v>
      </c>
      <c r="T147" s="10" t="str">
        <f>VLOOKUP(H147,'[1]MIS Sanjeev Auto'!$H$1:$T$168,13,0)</f>
        <v>Pending</v>
      </c>
      <c r="U147" s="13" t="str">
        <f>VLOOKUP(H147,'[1]MIS Sanjeev Auto'!$H$1:$U$168,14,0)</f>
        <v>Pending</v>
      </c>
      <c r="V147" s="10" t="s">
        <v>36</v>
      </c>
      <c r="W147" s="10">
        <f t="shared" si="16"/>
        <v>3000</v>
      </c>
      <c r="X147" s="10" t="s">
        <v>37</v>
      </c>
      <c r="Y147" s="10" t="s">
        <v>38</v>
      </c>
      <c r="Z147" s="15">
        <f t="shared" si="17"/>
        <v>15.789473684210526</v>
      </c>
      <c r="AA147" s="10"/>
    </row>
    <row r="148" spans="1:27">
      <c r="A148" s="10">
        <f>SUBTOTAL(3,C$2:C148)</f>
        <v>147</v>
      </c>
      <c r="B148" s="10" t="s">
        <v>213</v>
      </c>
      <c r="C148" s="11" t="s">
        <v>39</v>
      </c>
      <c r="D148" s="10" t="s">
        <v>29</v>
      </c>
      <c r="E148" s="10" t="s">
        <v>30</v>
      </c>
      <c r="F148" s="10" t="s">
        <v>125</v>
      </c>
      <c r="G148" s="10" t="s">
        <v>41</v>
      </c>
      <c r="H148" s="12" t="s">
        <v>338</v>
      </c>
      <c r="I148" s="13">
        <v>46165</v>
      </c>
      <c r="J148" s="10">
        <f t="shared" ca="1" si="14"/>
        <v>34</v>
      </c>
      <c r="K148" s="10" t="str">
        <f t="shared" si="13"/>
        <v>Pending</v>
      </c>
      <c r="L148" s="10" t="s">
        <v>107</v>
      </c>
      <c r="M148" s="10">
        <v>19000</v>
      </c>
      <c r="N148" s="10">
        <v>17000</v>
      </c>
      <c r="O148" s="13">
        <v>46169</v>
      </c>
      <c r="P148" s="10">
        <f t="shared" si="15"/>
        <v>2000</v>
      </c>
      <c r="Q148" s="14" t="s">
        <v>30</v>
      </c>
      <c r="R148" s="10" t="s">
        <v>34</v>
      </c>
      <c r="S148" s="10">
        <v>22000</v>
      </c>
      <c r="T148" s="10" t="str">
        <f>VLOOKUP(H148,'[1]MIS Sanjeev Auto'!$H$1:$T$168,13,0)</f>
        <v>Pending</v>
      </c>
      <c r="U148" s="13" t="str">
        <f>VLOOKUP(H148,'[1]MIS Sanjeev Auto'!$H$1:$U$168,14,0)</f>
        <v>Pending</v>
      </c>
      <c r="V148" s="10" t="s">
        <v>36</v>
      </c>
      <c r="W148" s="10">
        <f t="shared" si="16"/>
        <v>3000</v>
      </c>
      <c r="X148" s="10" t="s">
        <v>37</v>
      </c>
      <c r="Y148" s="10" t="s">
        <v>38</v>
      </c>
      <c r="Z148" s="15">
        <f t="shared" si="17"/>
        <v>15.789473684210526</v>
      </c>
      <c r="AA148" s="10"/>
    </row>
    <row r="149" spans="1:27">
      <c r="A149" s="10">
        <f>SUBTOTAL(3,C$2:C149)</f>
        <v>148</v>
      </c>
      <c r="B149" s="10" t="s">
        <v>213</v>
      </c>
      <c r="C149" s="11" t="s">
        <v>39</v>
      </c>
      <c r="D149" s="10" t="s">
        <v>29</v>
      </c>
      <c r="E149" s="10" t="s">
        <v>30</v>
      </c>
      <c r="F149" s="10" t="s">
        <v>339</v>
      </c>
      <c r="G149" s="10" t="s">
        <v>41</v>
      </c>
      <c r="H149" s="16" t="s">
        <v>340</v>
      </c>
      <c r="I149" s="13">
        <v>46167</v>
      </c>
      <c r="J149" s="10">
        <f t="shared" ca="1" si="14"/>
        <v>32</v>
      </c>
      <c r="K149" s="10" t="str">
        <f t="shared" si="13"/>
        <v>Pending</v>
      </c>
      <c r="L149" s="10" t="s">
        <v>107</v>
      </c>
      <c r="M149" s="10">
        <v>19000</v>
      </c>
      <c r="N149" s="10">
        <v>17000</v>
      </c>
      <c r="O149" s="13">
        <v>46169</v>
      </c>
      <c r="P149" s="10">
        <f t="shared" si="15"/>
        <v>2000</v>
      </c>
      <c r="Q149" s="14" t="s">
        <v>30</v>
      </c>
      <c r="R149" s="10" t="s">
        <v>34</v>
      </c>
      <c r="S149" s="10">
        <v>22000</v>
      </c>
      <c r="T149" s="10" t="str">
        <f>VLOOKUP(H149,'[1]MIS Sanjeev Auto'!$H$1:$T$168,13,0)</f>
        <v>Pending</v>
      </c>
      <c r="U149" s="13" t="str">
        <f>VLOOKUP(H149,'[1]MIS Sanjeev Auto'!$H$1:$U$168,14,0)</f>
        <v>Pending</v>
      </c>
      <c r="V149" s="10" t="s">
        <v>36</v>
      </c>
      <c r="W149" s="10">
        <f t="shared" si="16"/>
        <v>3000</v>
      </c>
      <c r="X149" s="10" t="s">
        <v>37</v>
      </c>
      <c r="Y149" s="10" t="s">
        <v>38</v>
      </c>
      <c r="Z149" s="15">
        <f t="shared" si="17"/>
        <v>15.789473684210526</v>
      </c>
      <c r="AA149" s="10"/>
    </row>
    <row r="150" spans="1:27">
      <c r="A150" s="10">
        <f>SUBTOTAL(3,C$2:C150)</f>
        <v>149</v>
      </c>
      <c r="B150" s="10" t="s">
        <v>213</v>
      </c>
      <c r="C150" s="11" t="s">
        <v>39</v>
      </c>
      <c r="D150" s="10" t="s">
        <v>29</v>
      </c>
      <c r="E150" s="10" t="s">
        <v>30</v>
      </c>
      <c r="F150" s="10" t="s">
        <v>200</v>
      </c>
      <c r="G150" s="10" t="s">
        <v>41</v>
      </c>
      <c r="H150" s="16" t="s">
        <v>341</v>
      </c>
      <c r="I150" s="13">
        <v>46167</v>
      </c>
      <c r="J150" s="10">
        <f t="shared" ca="1" si="14"/>
        <v>32</v>
      </c>
      <c r="K150" s="10" t="str">
        <f t="shared" si="13"/>
        <v>Pending</v>
      </c>
      <c r="L150" s="10" t="s">
        <v>107</v>
      </c>
      <c r="M150" s="10">
        <v>19000</v>
      </c>
      <c r="N150" s="10">
        <v>17000</v>
      </c>
      <c r="O150" s="13">
        <v>46169</v>
      </c>
      <c r="P150" s="10">
        <f t="shared" si="15"/>
        <v>2000</v>
      </c>
      <c r="Q150" s="14" t="s">
        <v>30</v>
      </c>
      <c r="R150" s="10" t="s">
        <v>34</v>
      </c>
      <c r="S150" s="10">
        <v>22000</v>
      </c>
      <c r="T150" s="10" t="str">
        <f>VLOOKUP(H150,'[1]MIS Sanjeev Auto'!$H$1:$T$168,13,0)</f>
        <v>Pending</v>
      </c>
      <c r="U150" s="13" t="str">
        <f>VLOOKUP(H150,'[1]MIS Sanjeev Auto'!$H$1:$U$168,14,0)</f>
        <v>Pending</v>
      </c>
      <c r="V150" s="10" t="s">
        <v>36</v>
      </c>
      <c r="W150" s="10">
        <f t="shared" si="16"/>
        <v>3000</v>
      </c>
      <c r="X150" s="10" t="s">
        <v>37</v>
      </c>
      <c r="Y150" s="10" t="s">
        <v>38</v>
      </c>
      <c r="Z150" s="15">
        <f t="shared" si="17"/>
        <v>15.789473684210526</v>
      </c>
      <c r="AA150" s="10"/>
    </row>
    <row r="151" spans="1:27">
      <c r="A151" s="10">
        <f>SUBTOTAL(3,C$2:C151)</f>
        <v>150</v>
      </c>
      <c r="B151" s="10" t="s">
        <v>213</v>
      </c>
      <c r="C151" s="11" t="s">
        <v>39</v>
      </c>
      <c r="D151" s="10" t="s">
        <v>29</v>
      </c>
      <c r="E151" s="10" t="s">
        <v>30</v>
      </c>
      <c r="F151" s="10" t="s">
        <v>342</v>
      </c>
      <c r="G151" s="10" t="s">
        <v>41</v>
      </c>
      <c r="H151" s="16" t="s">
        <v>343</v>
      </c>
      <c r="I151" s="13">
        <v>46168</v>
      </c>
      <c r="J151" s="10">
        <f t="shared" ca="1" si="14"/>
        <v>31</v>
      </c>
      <c r="K151" s="10" t="str">
        <f t="shared" si="13"/>
        <v>Pending</v>
      </c>
      <c r="L151" s="10" t="s">
        <v>107</v>
      </c>
      <c r="M151" s="10">
        <v>19000</v>
      </c>
      <c r="N151" s="10">
        <v>17000</v>
      </c>
      <c r="O151" s="13">
        <v>46169</v>
      </c>
      <c r="P151" s="10">
        <f t="shared" si="15"/>
        <v>2000</v>
      </c>
      <c r="Q151" s="14" t="s">
        <v>30</v>
      </c>
      <c r="R151" s="10" t="s">
        <v>34</v>
      </c>
      <c r="S151" s="10">
        <v>22000</v>
      </c>
      <c r="T151" s="10" t="str">
        <f>VLOOKUP(H151,'[1]MIS Sanjeev Auto'!$H$1:$T$168,13,0)</f>
        <v>Pending</v>
      </c>
      <c r="U151" s="13" t="str">
        <f>VLOOKUP(H151,'[1]MIS Sanjeev Auto'!$H$1:$U$168,14,0)</f>
        <v>Pending</v>
      </c>
      <c r="V151" s="10" t="s">
        <v>36</v>
      </c>
      <c r="W151" s="10">
        <f t="shared" si="16"/>
        <v>3000</v>
      </c>
      <c r="X151" s="10" t="s">
        <v>37</v>
      </c>
      <c r="Y151" s="10" t="s">
        <v>38</v>
      </c>
      <c r="Z151" s="15">
        <f t="shared" si="17"/>
        <v>15.789473684210526</v>
      </c>
      <c r="AA151" s="10"/>
    </row>
    <row r="152" spans="1:27">
      <c r="A152" s="10">
        <f>SUBTOTAL(3,C$2:C152)</f>
        <v>151</v>
      </c>
      <c r="B152" s="10" t="s">
        <v>213</v>
      </c>
      <c r="C152" s="11" t="s">
        <v>39</v>
      </c>
      <c r="D152" s="10" t="s">
        <v>29</v>
      </c>
      <c r="E152" s="10" t="s">
        <v>30</v>
      </c>
      <c r="F152" s="10" t="s">
        <v>344</v>
      </c>
      <c r="G152" s="10" t="s">
        <v>41</v>
      </c>
      <c r="H152" s="16" t="s">
        <v>345</v>
      </c>
      <c r="I152" s="13">
        <v>46168</v>
      </c>
      <c r="J152" s="10">
        <f t="shared" ca="1" si="14"/>
        <v>31</v>
      </c>
      <c r="K152" s="10" t="str">
        <f t="shared" si="13"/>
        <v>Pending</v>
      </c>
      <c r="L152" s="10" t="s">
        <v>107</v>
      </c>
      <c r="M152" s="10">
        <v>19000</v>
      </c>
      <c r="N152" s="10">
        <v>17000</v>
      </c>
      <c r="O152" s="13">
        <v>46169</v>
      </c>
      <c r="P152" s="10">
        <f t="shared" si="15"/>
        <v>2000</v>
      </c>
      <c r="Q152" s="14" t="s">
        <v>30</v>
      </c>
      <c r="R152" s="10" t="s">
        <v>34</v>
      </c>
      <c r="S152" s="10">
        <v>22000</v>
      </c>
      <c r="T152" s="10" t="str">
        <f>VLOOKUP(H152,'[1]MIS Sanjeev Auto'!$H$1:$T$168,13,0)</f>
        <v>Pending</v>
      </c>
      <c r="U152" s="13" t="str">
        <f>VLOOKUP(H152,'[1]MIS Sanjeev Auto'!$H$1:$U$168,14,0)</f>
        <v>Pending</v>
      </c>
      <c r="V152" s="10" t="s">
        <v>36</v>
      </c>
      <c r="W152" s="10">
        <f t="shared" si="16"/>
        <v>3000</v>
      </c>
      <c r="X152" s="10" t="s">
        <v>37</v>
      </c>
      <c r="Y152" s="10" t="s">
        <v>38</v>
      </c>
      <c r="Z152" s="15">
        <f t="shared" si="17"/>
        <v>15.789473684210526</v>
      </c>
      <c r="AA152" s="10"/>
    </row>
  </sheetData>
  <conditionalFormatting sqref="E2:E152">
    <cfRule type="containsText" dxfId="31" priority="6" operator="containsText" text="Pending">
      <formula>NOT(ISERROR(SEARCH("Pending",E2)))</formula>
    </cfRule>
    <cfRule type="containsText" dxfId="32" priority="16" operator="containsText" text="Received">
      <formula>NOT(ISERROR(SEARCH("Received",E2)))</formula>
    </cfRule>
    <cfRule type="containsText" dxfId="33" priority="17" operator="containsText" text="Received ">
      <formula>NOT(ISERROR(SEARCH("Received ",E2)))</formula>
    </cfRule>
    <cfRule type="containsText" dxfId="47" priority="18" operator="containsText" text="Pending">
      <formula>NOT(ISERROR(SEARCH("Pending",E2)))</formula>
    </cfRule>
    <cfRule type="containsText" dxfId="46" priority="19" operator="containsText" text="Received">
      <formula>NOT(ISERROR(SEARCH("Received",E2)))</formula>
    </cfRule>
    <cfRule type="containsText" dxfId="45" priority="20" operator="containsText" text="Received ">
      <formula>NOT(ISERROR(SEARCH("Received ",E2)))</formula>
    </cfRule>
    <cfRule type="containsText" dxfId="44" priority="21" operator="containsText" text="Pending">
      <formula>NOT(ISERROR(SEARCH("Pending",E2)))</formula>
    </cfRule>
    <cfRule type="containsText" dxfId="43" priority="22" operator="containsText" text="Received">
      <formula>NOT(ISERROR(SEARCH("Received",E2)))</formula>
    </cfRule>
    <cfRule type="containsText" dxfId="42" priority="23" operator="containsText" text="Received ">
      <formula>NOT(ISERROR(SEARCH("Received ",E2)))</formula>
    </cfRule>
    <cfRule type="containsText" dxfId="41" priority="24" operator="containsText" text="Pending">
      <formula>NOT(ISERROR(SEARCH("Pending",E2)))</formula>
    </cfRule>
    <cfRule type="containsText" dxfId="40" priority="25" operator="containsText" text="Received">
      <formula>NOT(ISERROR(SEARCH("Received",E2)))</formula>
    </cfRule>
    <cfRule type="containsText" dxfId="39" priority="26" operator="containsText" text="Received ">
      <formula>NOT(ISERROR(SEARCH("Received ",E2)))</formula>
    </cfRule>
    <cfRule type="containsText" dxfId="38" priority="27" operator="containsText" text="Pending">
      <formula>NOT(ISERROR(SEARCH("Pending",E2)))</formula>
    </cfRule>
    <cfRule type="containsText" dxfId="35" priority="28" operator="containsText" text="Received">
      <formula>NOT(ISERROR(SEARCH("Received",E2)))</formula>
    </cfRule>
    <cfRule type="containsText" dxfId="34" priority="29" operator="containsText" text="Received ">
      <formula>NOT(ISERROR(SEARCH("Received ",E2)))</formula>
    </cfRule>
    <cfRule type="containsText" dxfId="37" priority="30" operator="containsText" text="Pending">
      <formula>NOT(ISERROR(SEARCH("Pending",E2)))</formula>
    </cfRule>
    <cfRule type="containsText" dxfId="36" priority="31" operator="containsText" text="Received">
      <formula>NOT(ISERROR(SEARCH("Received",E2)))</formula>
    </cfRule>
    <cfRule type="containsText" dxfId="48" priority="32" operator="containsText" text="Received ">
      <formula>NOT(ISERROR(SEARCH("Received ",E2)))</formula>
    </cfRule>
    <cfRule type="containsText" dxfId="30" priority="33" operator="containsText" text="Pending">
      <formula>NOT(ISERROR(SEARCH("Pending",E2)))</formula>
    </cfRule>
  </conditionalFormatting>
  <conditionalFormatting sqref="E2:E152">
    <cfRule type="containsText" dxfId="29" priority="4" operator="containsText" text="Pending">
      <formula>NOT(ISERROR(SEARCH("Pending",E2)))</formula>
    </cfRule>
  </conditionalFormatting>
  <conditionalFormatting sqref="Q2:Q152">
    <cfRule type="containsText" dxfId="28" priority="5" operator="containsText" text="Pending">
      <formula>NOT(ISERROR(SEARCH("Pending",Q2)))</formula>
    </cfRule>
  </conditionalFormatting>
  <conditionalFormatting sqref="H1">
    <cfRule type="duplicateValues" dxfId="24" priority="34"/>
    <cfRule type="duplicateValues" dxfId="20" priority="35"/>
    <cfRule type="duplicateValues" dxfId="21" priority="36"/>
    <cfRule type="duplicateValues" dxfId="22" priority="37"/>
    <cfRule type="duplicateValues" dxfId="27" priority="38"/>
    <cfRule type="duplicateValues" dxfId="12" priority="39"/>
    <cfRule type="duplicateValues" dxfId="13" priority="40"/>
    <cfRule type="duplicateValues" dxfId="16" priority="41"/>
    <cfRule type="duplicateValues" dxfId="25" priority="42"/>
    <cfRule type="duplicateValues" dxfId="26" priority="43"/>
    <cfRule type="duplicateValues" dxfId="19" priority="44"/>
    <cfRule type="duplicateValues" dxfId="18" priority="45"/>
    <cfRule type="duplicateValues" dxfId="17" priority="46"/>
    <cfRule type="duplicateValues" dxfId="15" priority="47"/>
    <cfRule type="duplicateValues" dxfId="23" priority="48"/>
    <cfRule type="duplicateValues" dxfId="14" priority="49"/>
  </conditionalFormatting>
  <conditionalFormatting sqref="H1:H152">
    <cfRule type="duplicateValues" dxfId="11" priority="2"/>
    <cfRule type="duplicateValues" dxfId="10" priority="3"/>
  </conditionalFormatting>
  <conditionalFormatting sqref="H1:H152">
    <cfRule type="duplicateValues" dxfId="6" priority="7"/>
    <cfRule type="duplicateValues" dxfId="9" priority="8"/>
    <cfRule type="duplicateValues" dxfId="8" priority="9"/>
    <cfRule type="duplicateValues" dxfId="7" priority="10"/>
    <cfRule type="duplicateValues" dxfId="5" priority="11"/>
    <cfRule type="duplicateValues" dxfId="4" priority="12"/>
    <cfRule type="duplicateValues" dxfId="3" priority="13"/>
    <cfRule type="duplicateValues" dxfId="2" priority="14"/>
    <cfRule type="duplicateValues" dxfId="1" priority="15"/>
  </conditionalFormatting>
  <conditionalFormatting sqref="T2:U152">
    <cfRule type="containsText" dxfId="0" priority="1" operator="containsText" text="Pending">
      <formula>NOT(ISERROR(SEARCH("Pending",T2)))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vistar Logitek</dc:creator>
  <cp:lastModifiedBy>vistar Logitek</cp:lastModifiedBy>
  <dcterms:created xsi:type="dcterms:W3CDTF">2026-06-26T09:41:53Z</dcterms:created>
  <dcterms:modified xsi:type="dcterms:W3CDTF">2026-06-26T09:42:02Z</dcterms:modified>
</cp:coreProperties>
</file>