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vistarlogitek-my.sharepoint.com/personal/manager_commercial_vistarlogitek_com/Documents/VISTAR LOGITEK PVT LTD/FINANCE/TRANSPORT/MIS/"/>
    </mc:Choice>
  </mc:AlternateContent>
  <xr:revisionPtr revIDLastSave="125" documentId="11_064C8FA699DCBD6B63D3F2A368071E3F6EF4FF56" xr6:coauthVersionLast="47" xr6:coauthVersionMax="47" xr10:uidLastSave="{76F8DFD9-3870-4D0F-8D82-AB0C8FF2D1F3}"/>
  <bookViews>
    <workbookView xWindow="-110" yWindow="-110" windowWidth="19420" windowHeight="10300" xr2:uid="{00000000-000D-0000-FFFF-FFFF00000000}"/>
  </bookViews>
  <sheets>
    <sheet name="MIS Aurangabad" sheetId="1" r:id="rId1"/>
    <sheet name="MIS Sanjeev Auto" sheetId="3" r:id="rId2"/>
    <sheet name="MIS Reliable" sheetId="2" r:id="rId3"/>
    <sheet name="MIS Eaton" sheetId="5" r:id="rId4"/>
    <sheet name="POD Pending Report" sheetId="6" r:id="rId5"/>
  </sheets>
  <externalReferences>
    <externalReference r:id="rId6"/>
  </externalReferences>
  <definedNames>
    <definedName name="_xlnm._FilterDatabase" localSheetId="0" hidden="1">'MIS Aurangabad'!$A$1:$AA$1295</definedName>
    <definedName name="_xlnm._FilterDatabase" localSheetId="2" hidden="1">'MIS Reliable'!$A$1:$AC$177</definedName>
    <definedName name="_xlnm._FilterDatabase" localSheetId="1" hidden="1">'MIS Sanjeev Auto'!$A$1:$AA$173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8" i="2" l="1"/>
  <c r="Z178" i="2" s="1"/>
  <c r="P178" i="2"/>
  <c r="K178" i="2"/>
  <c r="J178" i="2"/>
  <c r="A178" i="2"/>
  <c r="W185" i="3" l="1"/>
  <c r="Z185" i="3" s="1"/>
  <c r="P185" i="3"/>
  <c r="K185" i="3"/>
  <c r="J185" i="3"/>
  <c r="A185" i="3"/>
  <c r="S1293" i="1" l="1"/>
  <c r="M1293" i="1"/>
  <c r="P1293" i="1" s="1"/>
  <c r="K1293" i="1"/>
  <c r="J1293" i="1"/>
  <c r="A1293" i="1"/>
  <c r="W1292" i="1"/>
  <c r="Z1292" i="1" s="1"/>
  <c r="P1292" i="1"/>
  <c r="K1292" i="1"/>
  <c r="J1292" i="1"/>
  <c r="A1292" i="1"/>
  <c r="W1291" i="1"/>
  <c r="Z1291" i="1" s="1"/>
  <c r="P1291" i="1"/>
  <c r="K1291" i="1"/>
  <c r="J1291" i="1"/>
  <c r="A1291" i="1"/>
  <c r="W1290" i="1"/>
  <c r="Z1290" i="1" s="1"/>
  <c r="P1290" i="1"/>
  <c r="K1290" i="1"/>
  <c r="J1290" i="1"/>
  <c r="A1290" i="1"/>
  <c r="W1289" i="1"/>
  <c r="Z1289" i="1" s="1"/>
  <c r="P1289" i="1"/>
  <c r="K1289" i="1"/>
  <c r="J1289" i="1"/>
  <c r="A1289" i="1"/>
  <c r="W180" i="3"/>
  <c r="Z180" i="3" s="1"/>
  <c r="P180" i="3"/>
  <c r="K180" i="3"/>
  <c r="J180" i="3"/>
  <c r="A180" i="3"/>
  <c r="W179" i="3"/>
  <c r="Z179" i="3" s="1"/>
  <c r="P179" i="3"/>
  <c r="K179" i="3"/>
  <c r="J179" i="3"/>
  <c r="A179" i="3"/>
  <c r="W178" i="3"/>
  <c r="Z178" i="3" s="1"/>
  <c r="P178" i="3"/>
  <c r="K178" i="3"/>
  <c r="J178" i="3"/>
  <c r="A178" i="3"/>
  <c r="W184" i="3"/>
  <c r="Z184" i="3" s="1"/>
  <c r="P184" i="3"/>
  <c r="K184" i="3"/>
  <c r="J184" i="3"/>
  <c r="A184" i="3"/>
  <c r="W183" i="3"/>
  <c r="Z183" i="3" s="1"/>
  <c r="P183" i="3"/>
  <c r="K183" i="3"/>
  <c r="J183" i="3"/>
  <c r="A183" i="3"/>
  <c r="W182" i="3"/>
  <c r="Z182" i="3" s="1"/>
  <c r="P182" i="3"/>
  <c r="K182" i="3"/>
  <c r="J182" i="3"/>
  <c r="A182" i="3"/>
  <c r="W181" i="3"/>
  <c r="Z181" i="3" s="1"/>
  <c r="P181" i="3"/>
  <c r="K181" i="3"/>
  <c r="J181" i="3"/>
  <c r="A181" i="3"/>
  <c r="W177" i="3"/>
  <c r="Z177" i="3" s="1"/>
  <c r="P177" i="3"/>
  <c r="K177" i="3"/>
  <c r="J177" i="3"/>
  <c r="A177" i="3"/>
  <c r="W176" i="3"/>
  <c r="Z176" i="3" s="1"/>
  <c r="P176" i="3"/>
  <c r="K176" i="3"/>
  <c r="J176" i="3"/>
  <c r="A176" i="3"/>
  <c r="W1296" i="1"/>
  <c r="Z1296" i="1" s="1"/>
  <c r="P1296" i="1"/>
  <c r="K1296" i="1"/>
  <c r="J1296" i="1"/>
  <c r="A1296" i="1"/>
  <c r="W1295" i="1"/>
  <c r="Z1295" i="1" s="1"/>
  <c r="P1295" i="1"/>
  <c r="K1295" i="1"/>
  <c r="J1295" i="1"/>
  <c r="A1295" i="1"/>
  <c r="W1294" i="1"/>
  <c r="Z1294" i="1" s="1"/>
  <c r="P1294" i="1"/>
  <c r="K1294" i="1"/>
  <c r="J1294" i="1"/>
  <c r="A1294" i="1"/>
  <c r="W1288" i="1"/>
  <c r="Z1288" i="1" s="1"/>
  <c r="P1288" i="1"/>
  <c r="K1288" i="1"/>
  <c r="J1288" i="1"/>
  <c r="A1288" i="1"/>
  <c r="W1287" i="1"/>
  <c r="Z1287" i="1" s="1"/>
  <c r="P1287" i="1"/>
  <c r="K1287" i="1"/>
  <c r="J1287" i="1"/>
  <c r="A1287" i="1"/>
  <c r="W1286" i="1"/>
  <c r="Z1286" i="1" s="1"/>
  <c r="P1286" i="1"/>
  <c r="K1286" i="1"/>
  <c r="J1286" i="1"/>
  <c r="A1286" i="1"/>
  <c r="W1285" i="1"/>
  <c r="Z1285" i="1" s="1"/>
  <c r="P1285" i="1"/>
  <c r="K1285" i="1"/>
  <c r="J1285" i="1"/>
  <c r="A1285" i="1"/>
  <c r="W1284" i="1"/>
  <c r="Z1284" i="1" s="1"/>
  <c r="P1284" i="1"/>
  <c r="K1284" i="1"/>
  <c r="J1284" i="1"/>
  <c r="A1284" i="1"/>
  <c r="W1293" i="1" l="1"/>
  <c r="Z1293" i="1" s="1"/>
  <c r="W177" i="2"/>
  <c r="Z177" i="2" s="1"/>
  <c r="P177" i="2"/>
  <c r="K177" i="2"/>
  <c r="J177" i="2"/>
  <c r="A177" i="2"/>
  <c r="W176" i="2"/>
  <c r="Z176" i="2" s="1"/>
  <c r="P176" i="2"/>
  <c r="K176" i="2"/>
  <c r="J176" i="2"/>
  <c r="A176" i="2"/>
  <c r="W175" i="2"/>
  <c r="Z175" i="2" s="1"/>
  <c r="P175" i="2"/>
  <c r="K175" i="2"/>
  <c r="J175" i="2"/>
  <c r="A175" i="2"/>
  <c r="W174" i="2"/>
  <c r="Z174" i="2" s="1"/>
  <c r="P174" i="2"/>
  <c r="K174" i="2"/>
  <c r="J174" i="2"/>
  <c r="A174" i="2"/>
  <c r="W173" i="2"/>
  <c r="Z173" i="2" s="1"/>
  <c r="P173" i="2"/>
  <c r="K173" i="2"/>
  <c r="J173" i="2"/>
  <c r="A173" i="2"/>
  <c r="W1283" i="1" l="1"/>
  <c r="Z1283" i="1" s="1"/>
  <c r="P1283" i="1"/>
  <c r="K1283" i="1"/>
  <c r="J1283" i="1"/>
  <c r="A1283" i="1"/>
  <c r="W1282" i="1"/>
  <c r="Z1282" i="1" s="1"/>
  <c r="P1282" i="1"/>
  <c r="K1282" i="1"/>
  <c r="J1282" i="1"/>
  <c r="A1282" i="1"/>
  <c r="W1281" i="1"/>
  <c r="Z1281" i="1" s="1"/>
  <c r="P1281" i="1"/>
  <c r="K1281" i="1"/>
  <c r="J1281" i="1"/>
  <c r="A1281" i="1"/>
  <c r="W1280" i="1"/>
  <c r="Z1280" i="1" s="1"/>
  <c r="P1280" i="1"/>
  <c r="K1280" i="1"/>
  <c r="J1280" i="1"/>
  <c r="A1280" i="1"/>
  <c r="W1279" i="1"/>
  <c r="Z1279" i="1" s="1"/>
  <c r="P1279" i="1"/>
  <c r="K1279" i="1"/>
  <c r="J1279" i="1"/>
  <c r="A1279" i="1"/>
  <c r="W1278" i="1"/>
  <c r="Z1278" i="1" s="1"/>
  <c r="P1278" i="1"/>
  <c r="K1278" i="1"/>
  <c r="J1278" i="1"/>
  <c r="A1278" i="1"/>
  <c r="W1277" i="1"/>
  <c r="Z1277" i="1" s="1"/>
  <c r="P1277" i="1"/>
  <c r="K1277" i="1"/>
  <c r="J1277" i="1"/>
  <c r="A1277" i="1"/>
  <c r="W1276" i="1"/>
  <c r="Z1276" i="1" s="1"/>
  <c r="P1276" i="1"/>
  <c r="K1276" i="1"/>
  <c r="J1276" i="1"/>
  <c r="A1276" i="1"/>
  <c r="W1275" i="1"/>
  <c r="Z1275" i="1" s="1"/>
  <c r="P1275" i="1"/>
  <c r="K1275" i="1"/>
  <c r="J1275" i="1"/>
  <c r="A1275" i="1"/>
  <c r="S1274" i="1"/>
  <c r="M1274" i="1"/>
  <c r="P1274" i="1"/>
  <c r="K1274" i="1"/>
  <c r="J1274" i="1"/>
  <c r="A1274" i="1"/>
  <c r="W1273" i="1"/>
  <c r="Z1273" i="1" s="1"/>
  <c r="P1273" i="1"/>
  <c r="K1273" i="1"/>
  <c r="J1273" i="1"/>
  <c r="A1273" i="1"/>
  <c r="W1272" i="1"/>
  <c r="Z1272" i="1" s="1"/>
  <c r="P1272" i="1"/>
  <c r="K1272" i="1"/>
  <c r="J1272" i="1"/>
  <c r="A1272" i="1"/>
  <c r="W1271" i="1"/>
  <c r="Z1271" i="1" s="1"/>
  <c r="P1271" i="1"/>
  <c r="K1271" i="1"/>
  <c r="J1271" i="1"/>
  <c r="A1271" i="1"/>
  <c r="W1270" i="1"/>
  <c r="Z1270" i="1" s="1"/>
  <c r="P1270" i="1"/>
  <c r="K1270" i="1"/>
  <c r="J1270" i="1"/>
  <c r="A1270" i="1"/>
  <c r="W1269" i="1"/>
  <c r="Z1269" i="1" s="1"/>
  <c r="P1269" i="1"/>
  <c r="K1269" i="1"/>
  <c r="J1269" i="1"/>
  <c r="A1269" i="1"/>
  <c r="W1268" i="1"/>
  <c r="Z1268" i="1" s="1"/>
  <c r="P1268" i="1"/>
  <c r="K1268" i="1"/>
  <c r="J1268" i="1"/>
  <c r="A1268" i="1"/>
  <c r="W1267" i="1"/>
  <c r="Z1267" i="1" s="1"/>
  <c r="P1267" i="1"/>
  <c r="K1267" i="1"/>
  <c r="J1267" i="1"/>
  <c r="A1267" i="1"/>
  <c r="W1266" i="1"/>
  <c r="Z1266" i="1" s="1"/>
  <c r="P1266" i="1"/>
  <c r="K1266" i="1"/>
  <c r="J1266" i="1"/>
  <c r="A1266" i="1"/>
  <c r="W1265" i="1"/>
  <c r="Z1265" i="1" s="1"/>
  <c r="P1265" i="1"/>
  <c r="K1265" i="1"/>
  <c r="J1265" i="1"/>
  <c r="A1265" i="1"/>
  <c r="W1264" i="1"/>
  <c r="Z1264" i="1" s="1"/>
  <c r="P1264" i="1"/>
  <c r="K1264" i="1"/>
  <c r="J1264" i="1"/>
  <c r="A1264" i="1"/>
  <c r="W1263" i="1"/>
  <c r="Z1263" i="1" s="1"/>
  <c r="P1263" i="1"/>
  <c r="K1263" i="1"/>
  <c r="J1263" i="1"/>
  <c r="A1263" i="1"/>
  <c r="W1262" i="1"/>
  <c r="Z1262" i="1" s="1"/>
  <c r="P1262" i="1"/>
  <c r="K1262" i="1"/>
  <c r="J1262" i="1"/>
  <c r="A1262" i="1"/>
  <c r="W1261" i="1"/>
  <c r="Z1261" i="1" s="1"/>
  <c r="P1261" i="1"/>
  <c r="K1261" i="1"/>
  <c r="J1261" i="1"/>
  <c r="A1261" i="1"/>
  <c r="W1260" i="1"/>
  <c r="Z1260" i="1" s="1"/>
  <c r="P1260" i="1"/>
  <c r="K1260" i="1"/>
  <c r="J1260" i="1"/>
  <c r="A1260" i="1"/>
  <c r="W1259" i="1"/>
  <c r="Z1259" i="1" s="1"/>
  <c r="P1259" i="1"/>
  <c r="K1259" i="1"/>
  <c r="J1259" i="1"/>
  <c r="A1259" i="1"/>
  <c r="S1258" i="1"/>
  <c r="M1258" i="1"/>
  <c r="K1258" i="1"/>
  <c r="J1258" i="1"/>
  <c r="A1258" i="1"/>
  <c r="W172" i="2"/>
  <c r="Z172" i="2" s="1"/>
  <c r="P172" i="2"/>
  <c r="K172" i="2"/>
  <c r="J172" i="2"/>
  <c r="A172" i="2"/>
  <c r="W1274" i="1" l="1"/>
  <c r="Z1274" i="1" s="1"/>
  <c r="W1258" i="1"/>
  <c r="Z1258" i="1" s="1"/>
  <c r="P1258" i="1"/>
  <c r="U167" i="3"/>
  <c r="T167" i="3"/>
  <c r="U166" i="3"/>
  <c r="T166" i="3"/>
  <c r="U165" i="3"/>
  <c r="T165" i="3"/>
  <c r="U164" i="3"/>
  <c r="T164" i="3"/>
  <c r="U163" i="3"/>
  <c r="T163" i="3"/>
  <c r="U162" i="3"/>
  <c r="T162" i="3"/>
  <c r="U161" i="3"/>
  <c r="T161" i="3"/>
  <c r="U160" i="3"/>
  <c r="T160" i="3"/>
  <c r="U159" i="3"/>
  <c r="T159" i="3"/>
  <c r="U158" i="3"/>
  <c r="T158" i="3"/>
  <c r="U157" i="3"/>
  <c r="T157" i="3"/>
  <c r="U156" i="3"/>
  <c r="T156" i="3"/>
  <c r="U155" i="3"/>
  <c r="T155" i="3"/>
  <c r="U154" i="3"/>
  <c r="T154" i="3"/>
  <c r="U153" i="3"/>
  <c r="T153" i="3"/>
  <c r="U152" i="3"/>
  <c r="T152" i="3"/>
  <c r="U151" i="3"/>
  <c r="T151" i="3"/>
  <c r="U150" i="3"/>
  <c r="T150" i="3"/>
  <c r="U149" i="3"/>
  <c r="T149" i="3"/>
  <c r="U148" i="3"/>
  <c r="T148" i="3"/>
  <c r="U147" i="3"/>
  <c r="T147" i="3"/>
  <c r="U146" i="3"/>
  <c r="T146" i="3"/>
  <c r="U145" i="3"/>
  <c r="T145" i="3"/>
  <c r="U144" i="3"/>
  <c r="T144" i="3"/>
  <c r="U143" i="3"/>
  <c r="T143" i="3"/>
  <c r="U142" i="3"/>
  <c r="T142" i="3"/>
  <c r="U141" i="3"/>
  <c r="T141" i="3"/>
  <c r="U140" i="3"/>
  <c r="T140" i="3"/>
  <c r="U139" i="3"/>
  <c r="T139" i="3"/>
  <c r="U138" i="3"/>
  <c r="T138" i="3"/>
  <c r="U137" i="3"/>
  <c r="T137" i="3"/>
  <c r="U136" i="3"/>
  <c r="T136" i="3"/>
  <c r="U135" i="3"/>
  <c r="T135" i="3"/>
  <c r="U134" i="3"/>
  <c r="T134" i="3"/>
  <c r="U133" i="3"/>
  <c r="T133" i="3"/>
  <c r="U132" i="3"/>
  <c r="T132" i="3"/>
  <c r="U131" i="3"/>
  <c r="T131" i="3"/>
  <c r="U130" i="3"/>
  <c r="T130" i="3"/>
  <c r="U129" i="3"/>
  <c r="T129" i="3"/>
  <c r="U128" i="3"/>
  <c r="T128" i="3"/>
  <c r="U127" i="3"/>
  <c r="T127" i="3"/>
  <c r="U126" i="3"/>
  <c r="T126" i="3"/>
  <c r="U125" i="3"/>
  <c r="T125" i="3"/>
  <c r="U124" i="3"/>
  <c r="T124" i="3"/>
  <c r="U123" i="3"/>
  <c r="T123" i="3"/>
  <c r="U122" i="3"/>
  <c r="T122" i="3"/>
  <c r="U121" i="3"/>
  <c r="T121" i="3"/>
  <c r="U120" i="3"/>
  <c r="T120" i="3"/>
  <c r="U119" i="3"/>
  <c r="T119" i="3"/>
  <c r="U118" i="3"/>
  <c r="T118" i="3"/>
  <c r="U117" i="3"/>
  <c r="T117" i="3"/>
  <c r="U116" i="3"/>
  <c r="T116" i="3"/>
  <c r="U115" i="3"/>
  <c r="T115" i="3"/>
  <c r="U114" i="3"/>
  <c r="T114" i="3"/>
  <c r="U113" i="3"/>
  <c r="T113" i="3"/>
  <c r="U112" i="3"/>
  <c r="T112" i="3"/>
  <c r="U111" i="3"/>
  <c r="T111" i="3"/>
  <c r="U110" i="3"/>
  <c r="T110" i="3"/>
  <c r="U109" i="3"/>
  <c r="T109" i="3"/>
  <c r="U108" i="3"/>
  <c r="T108" i="3"/>
  <c r="U107" i="3"/>
  <c r="T107" i="3"/>
  <c r="U106" i="3"/>
  <c r="T106" i="3"/>
  <c r="U105" i="3"/>
  <c r="T105" i="3"/>
  <c r="U104" i="3"/>
  <c r="T104" i="3"/>
  <c r="U103" i="3"/>
  <c r="T103" i="3"/>
  <c r="U102" i="3"/>
  <c r="T102" i="3"/>
  <c r="U101" i="3"/>
  <c r="T101" i="3"/>
  <c r="U100" i="3"/>
  <c r="T100" i="3"/>
  <c r="U99" i="3"/>
  <c r="T99" i="3"/>
  <c r="U98" i="3"/>
  <c r="T98" i="3"/>
  <c r="U97" i="3"/>
  <c r="T97" i="3"/>
  <c r="U96" i="3"/>
  <c r="T96" i="3"/>
  <c r="U95" i="3"/>
  <c r="T95" i="3"/>
  <c r="U94" i="3"/>
  <c r="T94" i="3"/>
  <c r="U93" i="3"/>
  <c r="T93" i="3"/>
  <c r="U92" i="3"/>
  <c r="T92" i="3"/>
  <c r="U91" i="3"/>
  <c r="T91" i="3"/>
  <c r="U90" i="3"/>
  <c r="T90" i="3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78" i="3"/>
  <c r="T78" i="3"/>
  <c r="U71" i="3"/>
  <c r="T71" i="3"/>
  <c r="U54" i="3"/>
  <c r="T54" i="3"/>
  <c r="U37" i="3"/>
  <c r="T37" i="3"/>
  <c r="U27" i="3"/>
  <c r="T27" i="3"/>
  <c r="U26" i="3"/>
  <c r="T26" i="3"/>
  <c r="U24" i="3"/>
  <c r="T24" i="3"/>
  <c r="U18" i="3"/>
  <c r="T18" i="3"/>
  <c r="W1254" i="1" l="1"/>
  <c r="Z1254" i="1" s="1"/>
  <c r="P1254" i="1"/>
  <c r="K1254" i="1"/>
  <c r="J1254" i="1"/>
  <c r="A1254" i="1"/>
  <c r="W1253" i="1"/>
  <c r="Z1253" i="1" s="1"/>
  <c r="P1253" i="1"/>
  <c r="K1253" i="1"/>
  <c r="J1253" i="1"/>
  <c r="A1253" i="1"/>
  <c r="W1250" i="1"/>
  <c r="Z1250" i="1" s="1"/>
  <c r="P1250" i="1"/>
  <c r="K1250" i="1"/>
  <c r="J1250" i="1"/>
  <c r="A1250" i="1"/>
  <c r="W1245" i="1"/>
  <c r="Z1245" i="1" s="1"/>
  <c r="P1245" i="1"/>
  <c r="K1245" i="1"/>
  <c r="J1245" i="1"/>
  <c r="A1245" i="1"/>
  <c r="W171" i="2"/>
  <c r="Z171" i="2" s="1"/>
  <c r="P171" i="2"/>
  <c r="K171" i="2"/>
  <c r="J171" i="2"/>
  <c r="A171" i="2"/>
  <c r="W170" i="2"/>
  <c r="Z170" i="2" s="1"/>
  <c r="P170" i="2"/>
  <c r="K170" i="2"/>
  <c r="J170" i="2"/>
  <c r="A170" i="2"/>
  <c r="W1257" i="1"/>
  <c r="Z1257" i="1" s="1"/>
  <c r="P1257" i="1"/>
  <c r="K1257" i="1"/>
  <c r="J1257" i="1"/>
  <c r="A1257" i="1"/>
  <c r="W1256" i="1"/>
  <c r="Z1256" i="1" s="1"/>
  <c r="P1256" i="1"/>
  <c r="K1256" i="1"/>
  <c r="J1256" i="1"/>
  <c r="A1256" i="1"/>
  <c r="W1255" i="1"/>
  <c r="Z1255" i="1" s="1"/>
  <c r="P1255" i="1"/>
  <c r="K1255" i="1"/>
  <c r="J1255" i="1"/>
  <c r="A1255" i="1"/>
  <c r="W1252" i="1"/>
  <c r="Z1252" i="1" s="1"/>
  <c r="P1252" i="1"/>
  <c r="K1252" i="1"/>
  <c r="J1252" i="1"/>
  <c r="A1252" i="1"/>
  <c r="W1251" i="1"/>
  <c r="Z1251" i="1" s="1"/>
  <c r="P1251" i="1"/>
  <c r="K1251" i="1"/>
  <c r="J1251" i="1"/>
  <c r="A1251" i="1"/>
  <c r="S1249" i="1"/>
  <c r="W1249" i="1" s="1"/>
  <c r="Z1249" i="1" s="1"/>
  <c r="M1249" i="1"/>
  <c r="P1249" i="1" s="1"/>
  <c r="K1249" i="1"/>
  <c r="J1249" i="1"/>
  <c r="A1249" i="1"/>
  <c r="W1248" i="1"/>
  <c r="Z1248" i="1" s="1"/>
  <c r="P1248" i="1"/>
  <c r="K1248" i="1"/>
  <c r="J1248" i="1"/>
  <c r="A1248" i="1"/>
  <c r="W1247" i="1"/>
  <c r="Z1247" i="1" s="1"/>
  <c r="P1247" i="1"/>
  <c r="K1247" i="1"/>
  <c r="J1247" i="1"/>
  <c r="A1247" i="1"/>
  <c r="W169" i="2"/>
  <c r="Z169" i="2" s="1"/>
  <c r="P169" i="2"/>
  <c r="K169" i="2"/>
  <c r="J169" i="2"/>
  <c r="A169" i="2"/>
  <c r="W168" i="2"/>
  <c r="Z168" i="2" s="1"/>
  <c r="P168" i="2"/>
  <c r="K168" i="2"/>
  <c r="J168" i="2"/>
  <c r="A168" i="2"/>
  <c r="W1246" i="1"/>
  <c r="Z1246" i="1" s="1"/>
  <c r="P1246" i="1"/>
  <c r="K1246" i="1"/>
  <c r="J1246" i="1"/>
  <c r="A1246" i="1"/>
  <c r="W167" i="2"/>
  <c r="Z167" i="2" s="1"/>
  <c r="P167" i="2"/>
  <c r="K167" i="2"/>
  <c r="J167" i="2"/>
  <c r="A167" i="2"/>
  <c r="W1244" i="1"/>
  <c r="Z1244" i="1" s="1"/>
  <c r="P1244" i="1"/>
  <c r="K1244" i="1"/>
  <c r="J1244" i="1"/>
  <c r="A1244" i="1"/>
  <c r="W1243" i="1"/>
  <c r="Z1243" i="1" s="1"/>
  <c r="P1243" i="1"/>
  <c r="K1243" i="1"/>
  <c r="J1243" i="1"/>
  <c r="A1243" i="1"/>
  <c r="A1242" i="1"/>
  <c r="W1242" i="1"/>
  <c r="Z1242" i="1" s="1"/>
  <c r="P1242" i="1"/>
  <c r="K1242" i="1"/>
  <c r="J1242" i="1"/>
  <c r="W1241" i="1"/>
  <c r="Z1241" i="1" s="1"/>
  <c r="P1241" i="1"/>
  <c r="K1241" i="1"/>
  <c r="J1241" i="1"/>
  <c r="A1241" i="1"/>
  <c r="W166" i="2"/>
  <c r="Z166" i="2" s="1"/>
  <c r="P166" i="2"/>
  <c r="K166" i="2"/>
  <c r="J166" i="2"/>
  <c r="A166" i="2"/>
  <c r="W1240" i="1"/>
  <c r="Z1240" i="1" s="1"/>
  <c r="P1240" i="1"/>
  <c r="K1240" i="1"/>
  <c r="J1240" i="1"/>
  <c r="A1240" i="1"/>
  <c r="W1239" i="1"/>
  <c r="Z1239" i="1" s="1"/>
  <c r="P1239" i="1"/>
  <c r="K1239" i="1"/>
  <c r="J1239" i="1"/>
  <c r="A1239" i="1"/>
  <c r="P1238" i="1"/>
  <c r="W1238" i="1"/>
  <c r="Z1238" i="1" s="1"/>
  <c r="K1238" i="1"/>
  <c r="J1238" i="1"/>
  <c r="A1238" i="1"/>
  <c r="W1237" i="1"/>
  <c r="Z1237" i="1" s="1"/>
  <c r="P1237" i="1"/>
  <c r="K1237" i="1"/>
  <c r="J1237" i="1"/>
  <c r="A1237" i="1"/>
  <c r="W165" i="2"/>
  <c r="Z165" i="2" s="1"/>
  <c r="P165" i="2"/>
  <c r="K165" i="2"/>
  <c r="J165" i="2"/>
  <c r="A165" i="2"/>
  <c r="W1236" i="1"/>
  <c r="Z1236" i="1" s="1"/>
  <c r="P1236" i="1"/>
  <c r="K1236" i="1"/>
  <c r="J1236" i="1"/>
  <c r="A1236" i="1"/>
  <c r="W1235" i="1"/>
  <c r="Z1235" i="1" s="1"/>
  <c r="P1235" i="1"/>
  <c r="K1235" i="1"/>
  <c r="J1235" i="1"/>
  <c r="A1235" i="1"/>
  <c r="W1234" i="1"/>
  <c r="Z1234" i="1" s="1"/>
  <c r="P1234" i="1"/>
  <c r="K1234" i="1"/>
  <c r="J1234" i="1"/>
  <c r="A1234" i="1"/>
  <c r="W164" i="2"/>
  <c r="Z164" i="2" s="1"/>
  <c r="P164" i="2"/>
  <c r="K164" i="2"/>
  <c r="J164" i="2"/>
  <c r="A164" i="2"/>
  <c r="W1233" i="1"/>
  <c r="Z1233" i="1" s="1"/>
  <c r="P1233" i="1"/>
  <c r="K1233" i="1"/>
  <c r="J1233" i="1"/>
  <c r="A1233" i="1"/>
  <c r="W1232" i="1"/>
  <c r="Z1232" i="1" s="1"/>
  <c r="P1232" i="1"/>
  <c r="K1232" i="1"/>
  <c r="J1232" i="1"/>
  <c r="A1232" i="1"/>
  <c r="W163" i="2"/>
  <c r="Z163" i="2" s="1"/>
  <c r="P163" i="2"/>
  <c r="K163" i="2"/>
  <c r="J163" i="2"/>
  <c r="A163" i="2"/>
  <c r="W171" i="3" l="1"/>
  <c r="Z171" i="3" s="1"/>
  <c r="P171" i="3"/>
  <c r="K171" i="3"/>
  <c r="J171" i="3"/>
  <c r="A171" i="3"/>
  <c r="W174" i="3"/>
  <c r="Z174" i="3" s="1"/>
  <c r="P174" i="3"/>
  <c r="K174" i="3"/>
  <c r="J174" i="3"/>
  <c r="A174" i="3"/>
  <c r="W175" i="3"/>
  <c r="Z175" i="3" s="1"/>
  <c r="P175" i="3"/>
  <c r="K175" i="3"/>
  <c r="J175" i="3"/>
  <c r="A175" i="3"/>
  <c r="W173" i="3"/>
  <c r="Z173" i="3" s="1"/>
  <c r="P173" i="3"/>
  <c r="K173" i="3"/>
  <c r="J173" i="3"/>
  <c r="A173" i="3"/>
  <c r="W172" i="3"/>
  <c r="Z172" i="3" s="1"/>
  <c r="P172" i="3"/>
  <c r="K172" i="3"/>
  <c r="J172" i="3"/>
  <c r="A172" i="3"/>
  <c r="W170" i="3"/>
  <c r="Z170" i="3" s="1"/>
  <c r="P170" i="3"/>
  <c r="K170" i="3"/>
  <c r="J170" i="3"/>
  <c r="A170" i="3"/>
  <c r="W169" i="3"/>
  <c r="Z169" i="3" s="1"/>
  <c r="P169" i="3"/>
  <c r="K169" i="3"/>
  <c r="J169" i="3"/>
  <c r="A169" i="3"/>
  <c r="K1231" i="1"/>
  <c r="W1231" i="1"/>
  <c r="Z1231" i="1" s="1"/>
  <c r="P1231" i="1"/>
  <c r="J1231" i="1"/>
  <c r="A1231" i="1"/>
  <c r="W1230" i="1"/>
  <c r="Z1230" i="1" s="1"/>
  <c r="P1230" i="1"/>
  <c r="K1230" i="1"/>
  <c r="J1230" i="1"/>
  <c r="A1230" i="1"/>
  <c r="W1229" i="1"/>
  <c r="Z1229" i="1" s="1"/>
  <c r="P1229" i="1"/>
  <c r="K1229" i="1"/>
  <c r="J1229" i="1"/>
  <c r="A1229" i="1"/>
  <c r="W1228" i="1"/>
  <c r="Z1228" i="1" s="1"/>
  <c r="P1228" i="1"/>
  <c r="K1228" i="1"/>
  <c r="J1228" i="1"/>
  <c r="A1228" i="1"/>
  <c r="W1227" i="1"/>
  <c r="Z1227" i="1" s="1"/>
  <c r="P1227" i="1"/>
  <c r="K1227" i="1"/>
  <c r="J1227" i="1"/>
  <c r="A1227" i="1"/>
  <c r="W1226" i="1"/>
  <c r="Z1226" i="1" s="1"/>
  <c r="P1226" i="1"/>
  <c r="K1226" i="1"/>
  <c r="J1226" i="1"/>
  <c r="A1226" i="1"/>
  <c r="W1225" i="1"/>
  <c r="Z1225" i="1" s="1"/>
  <c r="P1225" i="1"/>
  <c r="K1225" i="1"/>
  <c r="J1225" i="1"/>
  <c r="A1225" i="1"/>
  <c r="W1224" i="1"/>
  <c r="Z1224" i="1" s="1"/>
  <c r="P1224" i="1"/>
  <c r="K1224" i="1"/>
  <c r="J1224" i="1"/>
  <c r="A1224" i="1"/>
  <c r="W1223" i="1"/>
  <c r="Z1223" i="1" s="1"/>
  <c r="P1223" i="1"/>
  <c r="K1223" i="1"/>
  <c r="J1223" i="1"/>
  <c r="A1223" i="1"/>
  <c r="W1222" i="1"/>
  <c r="Z1222" i="1" s="1"/>
  <c r="P1222" i="1"/>
  <c r="K1222" i="1"/>
  <c r="J1222" i="1"/>
  <c r="A1222" i="1"/>
  <c r="W1221" i="1"/>
  <c r="Z1221" i="1" s="1"/>
  <c r="P1221" i="1"/>
  <c r="K1221" i="1"/>
  <c r="J1221" i="1"/>
  <c r="A1221" i="1"/>
  <c r="W1220" i="1"/>
  <c r="Z1220" i="1" s="1"/>
  <c r="P1220" i="1"/>
  <c r="K1220" i="1"/>
  <c r="J1220" i="1"/>
  <c r="A1220" i="1"/>
  <c r="W1219" i="1"/>
  <c r="Z1219" i="1" s="1"/>
  <c r="P1219" i="1"/>
  <c r="K1219" i="1"/>
  <c r="J1219" i="1"/>
  <c r="A1219" i="1"/>
  <c r="W1218" i="1"/>
  <c r="Z1218" i="1" s="1"/>
  <c r="P1218" i="1"/>
  <c r="K1218" i="1"/>
  <c r="J1218" i="1"/>
  <c r="A1218" i="1"/>
  <c r="W1217" i="1"/>
  <c r="Z1217" i="1" s="1"/>
  <c r="P1217" i="1"/>
  <c r="K1217" i="1"/>
  <c r="J1217" i="1"/>
  <c r="A1217" i="1"/>
  <c r="W162" i="2"/>
  <c r="Z162" i="2" s="1"/>
  <c r="P162" i="2"/>
  <c r="K162" i="2"/>
  <c r="J162" i="2"/>
  <c r="A162" i="2"/>
  <c r="W161" i="2"/>
  <c r="Z161" i="2" s="1"/>
  <c r="P161" i="2"/>
  <c r="K161" i="2"/>
  <c r="J161" i="2"/>
  <c r="A161" i="2"/>
  <c r="W1216" i="1"/>
  <c r="Z1216" i="1" s="1"/>
  <c r="P1216" i="1"/>
  <c r="K1216" i="1"/>
  <c r="J1216" i="1"/>
  <c r="A1216" i="1"/>
  <c r="W1215" i="1"/>
  <c r="Z1215" i="1" s="1"/>
  <c r="P1215" i="1"/>
  <c r="K1215" i="1"/>
  <c r="J1215" i="1"/>
  <c r="A1215" i="1"/>
  <c r="W1214" i="1"/>
  <c r="Z1214" i="1" s="1"/>
  <c r="P1214" i="1"/>
  <c r="K1214" i="1"/>
  <c r="J1214" i="1"/>
  <c r="A1214" i="1"/>
  <c r="W1213" i="1"/>
  <c r="Z1213" i="1" s="1"/>
  <c r="P1213" i="1"/>
  <c r="K1213" i="1"/>
  <c r="J1213" i="1"/>
  <c r="A1213" i="1"/>
  <c r="W1212" i="1"/>
  <c r="Z1212" i="1" s="1"/>
  <c r="P1212" i="1"/>
  <c r="K1212" i="1"/>
  <c r="J1212" i="1"/>
  <c r="A1212" i="1"/>
  <c r="W1211" i="1"/>
  <c r="Z1211" i="1" s="1"/>
  <c r="P1211" i="1"/>
  <c r="K1211" i="1"/>
  <c r="J1211" i="1"/>
  <c r="A1211" i="1"/>
  <c r="W1210" i="1"/>
  <c r="Z1210" i="1" s="1"/>
  <c r="P1210" i="1"/>
  <c r="K1210" i="1"/>
  <c r="J1210" i="1"/>
  <c r="A1210" i="1"/>
  <c r="W159" i="2"/>
  <c r="Z159" i="2" s="1"/>
  <c r="P159" i="2"/>
  <c r="K159" i="2"/>
  <c r="J159" i="2"/>
  <c r="A159" i="2"/>
  <c r="W160" i="2"/>
  <c r="Z160" i="2" s="1"/>
  <c r="P160" i="2"/>
  <c r="K160" i="2"/>
  <c r="J160" i="2"/>
  <c r="A160" i="2"/>
  <c r="W158" i="2" l="1"/>
  <c r="Z158" i="2" s="1"/>
  <c r="P158" i="2"/>
  <c r="K158" i="2"/>
  <c r="J158" i="2"/>
  <c r="A158" i="2"/>
  <c r="A157" i="2"/>
  <c r="J157" i="2"/>
  <c r="K157" i="2"/>
  <c r="P157" i="2"/>
  <c r="W157" i="2"/>
  <c r="Z157" i="2" s="1"/>
  <c r="W156" i="2"/>
  <c r="Z156" i="2" s="1"/>
  <c r="P156" i="2"/>
  <c r="K156" i="2"/>
  <c r="J156" i="2"/>
  <c r="A156" i="2"/>
  <c r="A155" i="2"/>
  <c r="J155" i="2"/>
  <c r="K155" i="2"/>
  <c r="P155" i="2"/>
  <c r="W155" i="2"/>
  <c r="Z155" i="2" s="1"/>
  <c r="W1209" i="1"/>
  <c r="Z1209" i="1" s="1"/>
  <c r="P1209" i="1"/>
  <c r="K1209" i="1"/>
  <c r="J1209" i="1"/>
  <c r="A1209" i="1"/>
  <c r="W1208" i="1"/>
  <c r="Z1208" i="1" s="1"/>
  <c r="P1208" i="1"/>
  <c r="K1208" i="1"/>
  <c r="J1208" i="1"/>
  <c r="A1208" i="1"/>
  <c r="W1202" i="1" l="1"/>
  <c r="Z1202" i="1" s="1"/>
  <c r="P1202" i="1"/>
  <c r="K1202" i="1"/>
  <c r="J1202" i="1"/>
  <c r="A1202" i="1"/>
  <c r="W167" i="3"/>
  <c r="Z167" i="3" s="1"/>
  <c r="P167" i="3"/>
  <c r="K167" i="3"/>
  <c r="J167" i="3"/>
  <c r="A167" i="3"/>
  <c r="W1207" i="1"/>
  <c r="Z1207" i="1" s="1"/>
  <c r="P1207" i="1"/>
  <c r="K1207" i="1"/>
  <c r="J1207" i="1"/>
  <c r="A1207" i="1"/>
  <c r="A1206" i="1"/>
  <c r="J1206" i="1"/>
  <c r="K1206" i="1"/>
  <c r="P1206" i="1"/>
  <c r="W1206" i="1"/>
  <c r="Z1206" i="1" s="1"/>
  <c r="W1205" i="1"/>
  <c r="Z1205" i="1" s="1"/>
  <c r="P1205" i="1"/>
  <c r="K1205" i="1"/>
  <c r="J1205" i="1"/>
  <c r="A1205" i="1"/>
  <c r="W1204" i="1"/>
  <c r="Z1204" i="1" s="1"/>
  <c r="P1204" i="1"/>
  <c r="K1204" i="1"/>
  <c r="J1204" i="1"/>
  <c r="A1204" i="1"/>
  <c r="A168" i="3"/>
  <c r="J168" i="3"/>
  <c r="K168" i="3"/>
  <c r="P168" i="3"/>
  <c r="W168" i="3"/>
  <c r="Z168" i="3" s="1"/>
  <c r="W166" i="3"/>
  <c r="Z166" i="3" s="1"/>
  <c r="P166" i="3"/>
  <c r="K166" i="3"/>
  <c r="J166" i="3"/>
  <c r="A166" i="3"/>
  <c r="W1203" i="1"/>
  <c r="Z1203" i="1" s="1"/>
  <c r="P1203" i="1"/>
  <c r="K1203" i="1"/>
  <c r="J1203" i="1"/>
  <c r="A1203" i="1"/>
  <c r="W1201" i="1"/>
  <c r="Z1201" i="1" s="1"/>
  <c r="P1201" i="1"/>
  <c r="K1201" i="1"/>
  <c r="J1201" i="1"/>
  <c r="A1201" i="1"/>
  <c r="A1200" i="1"/>
  <c r="J1200" i="1"/>
  <c r="K1200" i="1"/>
  <c r="P1200" i="1"/>
  <c r="W1200" i="1"/>
  <c r="Z1200" i="1" s="1"/>
  <c r="W1199" i="1"/>
  <c r="Z1199" i="1" s="1"/>
  <c r="P1199" i="1"/>
  <c r="K1199" i="1"/>
  <c r="J1199" i="1"/>
  <c r="A1199" i="1"/>
  <c r="A1198" i="1"/>
  <c r="J1198" i="1"/>
  <c r="K1198" i="1"/>
  <c r="P1198" i="1"/>
  <c r="W1198" i="1"/>
  <c r="Z1198" i="1" s="1"/>
  <c r="A1197" i="1"/>
  <c r="J1197" i="1"/>
  <c r="K1197" i="1"/>
  <c r="P1197" i="1"/>
  <c r="W1197" i="1"/>
  <c r="Z1197" i="1" s="1"/>
  <c r="W1196" i="1"/>
  <c r="Z1196" i="1" s="1"/>
  <c r="P1196" i="1"/>
  <c r="K1196" i="1"/>
  <c r="J1196" i="1"/>
  <c r="A1196" i="1"/>
  <c r="A1195" i="1"/>
  <c r="J1195" i="1"/>
  <c r="K1195" i="1"/>
  <c r="P1195" i="1"/>
  <c r="W1195" i="1"/>
  <c r="Z1195" i="1" s="1"/>
  <c r="W165" i="3"/>
  <c r="Z165" i="3" s="1"/>
  <c r="P165" i="3"/>
  <c r="K165" i="3"/>
  <c r="J165" i="3"/>
  <c r="A165" i="3"/>
  <c r="W1194" i="1"/>
  <c r="Z1194" i="1" s="1"/>
  <c r="P1194" i="1"/>
  <c r="K1194" i="1"/>
  <c r="J1194" i="1"/>
  <c r="A1194" i="1"/>
  <c r="W1193" i="1"/>
  <c r="Z1193" i="1" s="1"/>
  <c r="P1193" i="1"/>
  <c r="K1193" i="1"/>
  <c r="J1193" i="1"/>
  <c r="A1193" i="1"/>
  <c r="W1192" i="1"/>
  <c r="Z1192" i="1" s="1"/>
  <c r="P1192" i="1"/>
  <c r="K1192" i="1"/>
  <c r="J1192" i="1"/>
  <c r="A1192" i="1"/>
  <c r="W1191" i="1"/>
  <c r="Z1191" i="1" s="1"/>
  <c r="P1191" i="1"/>
  <c r="K1191" i="1"/>
  <c r="J1191" i="1"/>
  <c r="A1191" i="1"/>
  <c r="W1190" i="1"/>
  <c r="Z1190" i="1" s="1"/>
  <c r="P1190" i="1"/>
  <c r="K1190" i="1"/>
  <c r="J1190" i="1"/>
  <c r="A1190" i="1"/>
  <c r="W1189" i="1"/>
  <c r="Z1189" i="1" s="1"/>
  <c r="P1189" i="1"/>
  <c r="K1189" i="1"/>
  <c r="J1189" i="1"/>
  <c r="A1189" i="1"/>
  <c r="W1188" i="1"/>
  <c r="Z1188" i="1" s="1"/>
  <c r="P1188" i="1"/>
  <c r="K1188" i="1"/>
  <c r="J1188" i="1"/>
  <c r="A1188" i="1"/>
  <c r="W1187" i="1"/>
  <c r="Z1187" i="1" s="1"/>
  <c r="P1187" i="1"/>
  <c r="K1187" i="1"/>
  <c r="J1187" i="1"/>
  <c r="A1187" i="1"/>
  <c r="W1186" i="1"/>
  <c r="Z1186" i="1" s="1"/>
  <c r="P1186" i="1"/>
  <c r="K1186" i="1"/>
  <c r="J1186" i="1"/>
  <c r="A1186" i="1"/>
  <c r="S1185" i="1"/>
  <c r="M1185" i="1"/>
  <c r="K1185" i="1"/>
  <c r="J1185" i="1"/>
  <c r="A1185" i="1"/>
  <c r="W154" i="2"/>
  <c r="Z154" i="2" s="1"/>
  <c r="P154" i="2"/>
  <c r="K154" i="2"/>
  <c r="J154" i="2"/>
  <c r="A154" i="2"/>
  <c r="A153" i="2"/>
  <c r="J153" i="2"/>
  <c r="K153" i="2"/>
  <c r="P153" i="2"/>
  <c r="W153" i="2"/>
  <c r="Z153" i="2" s="1"/>
  <c r="W1184" i="1"/>
  <c r="Z1184" i="1" s="1"/>
  <c r="P1184" i="1"/>
  <c r="K1184" i="1"/>
  <c r="J1184" i="1"/>
  <c r="A1184" i="1"/>
  <c r="W1178" i="1"/>
  <c r="Z1178" i="1" s="1"/>
  <c r="P1178" i="1"/>
  <c r="K1178" i="1"/>
  <c r="J1178" i="1"/>
  <c r="A1178" i="1"/>
  <c r="W1185" i="1" l="1"/>
  <c r="Z1185" i="1" s="1"/>
  <c r="P1185" i="1"/>
  <c r="W1183" i="1"/>
  <c r="Z1183" i="1" s="1"/>
  <c r="P1183" i="1"/>
  <c r="K1183" i="1"/>
  <c r="J1183" i="1"/>
  <c r="A1183" i="1"/>
  <c r="W1182" i="1"/>
  <c r="Z1182" i="1" s="1"/>
  <c r="P1182" i="1"/>
  <c r="K1182" i="1"/>
  <c r="J1182" i="1"/>
  <c r="A1182" i="1"/>
  <c r="W1181" i="1"/>
  <c r="Z1181" i="1" s="1"/>
  <c r="P1181" i="1"/>
  <c r="K1181" i="1"/>
  <c r="J1181" i="1"/>
  <c r="A1181" i="1"/>
  <c r="W1180" i="1"/>
  <c r="Z1180" i="1" s="1"/>
  <c r="P1180" i="1"/>
  <c r="K1180" i="1"/>
  <c r="J1180" i="1"/>
  <c r="A1180" i="1"/>
  <c r="W1179" i="1"/>
  <c r="Z1179" i="1" s="1"/>
  <c r="P1179" i="1"/>
  <c r="K1179" i="1"/>
  <c r="J1179" i="1"/>
  <c r="A1179" i="1"/>
  <c r="W1177" i="1"/>
  <c r="Z1177" i="1" s="1"/>
  <c r="P1177" i="1"/>
  <c r="K1177" i="1"/>
  <c r="J1177" i="1"/>
  <c r="A1177" i="1"/>
  <c r="W1176" i="1"/>
  <c r="Z1176" i="1" s="1"/>
  <c r="P1176" i="1"/>
  <c r="K1176" i="1"/>
  <c r="J1176" i="1"/>
  <c r="A1176" i="1"/>
  <c r="W1175" i="1"/>
  <c r="Z1175" i="1" s="1"/>
  <c r="P1175" i="1"/>
  <c r="K1175" i="1"/>
  <c r="J1175" i="1"/>
  <c r="A1175" i="1"/>
  <c r="S1174" i="1"/>
  <c r="P1174" i="1"/>
  <c r="M1174" i="1"/>
  <c r="K1174" i="1"/>
  <c r="J1174" i="1"/>
  <c r="A1174" i="1"/>
  <c r="W1168" i="1"/>
  <c r="Z1168" i="1" s="1"/>
  <c r="P1168" i="1"/>
  <c r="K1168" i="1"/>
  <c r="J1168" i="1"/>
  <c r="A1168" i="1"/>
  <c r="W1173" i="1"/>
  <c r="Z1173" i="1" s="1"/>
  <c r="P1173" i="1"/>
  <c r="K1173" i="1"/>
  <c r="J1173" i="1"/>
  <c r="A1173" i="1"/>
  <c r="W1172" i="1"/>
  <c r="Z1172" i="1" s="1"/>
  <c r="P1172" i="1"/>
  <c r="K1172" i="1"/>
  <c r="J1172" i="1"/>
  <c r="A1172" i="1"/>
  <c r="W1171" i="1"/>
  <c r="Z1171" i="1" s="1"/>
  <c r="P1171" i="1"/>
  <c r="K1171" i="1"/>
  <c r="J1171" i="1"/>
  <c r="A1171" i="1"/>
  <c r="W1170" i="1"/>
  <c r="Z1170" i="1" s="1"/>
  <c r="P1170" i="1"/>
  <c r="K1170" i="1"/>
  <c r="J1170" i="1"/>
  <c r="A1170" i="1"/>
  <c r="W1169" i="1"/>
  <c r="Z1169" i="1" s="1"/>
  <c r="P1169" i="1"/>
  <c r="K1169" i="1"/>
  <c r="J1169" i="1"/>
  <c r="A1169" i="1"/>
  <c r="W1167" i="1"/>
  <c r="Z1167" i="1" s="1"/>
  <c r="P1167" i="1"/>
  <c r="K1167" i="1"/>
  <c r="J1167" i="1"/>
  <c r="A1167" i="1"/>
  <c r="W1166" i="1"/>
  <c r="Z1166" i="1" s="1"/>
  <c r="P1166" i="1"/>
  <c r="K1166" i="1"/>
  <c r="J1166" i="1"/>
  <c r="A1166" i="1"/>
  <c r="W1165" i="1"/>
  <c r="Z1165" i="1" s="1"/>
  <c r="P1165" i="1"/>
  <c r="K1165" i="1"/>
  <c r="J1165" i="1"/>
  <c r="A1165" i="1"/>
  <c r="W1164" i="1"/>
  <c r="Z1164" i="1" s="1"/>
  <c r="P1164" i="1"/>
  <c r="K1164" i="1"/>
  <c r="J1164" i="1"/>
  <c r="A1164" i="1"/>
  <c r="W1163" i="1"/>
  <c r="Z1163" i="1" s="1"/>
  <c r="P1163" i="1"/>
  <c r="K1163" i="1"/>
  <c r="J1163" i="1"/>
  <c r="A1163" i="1"/>
  <c r="W1162" i="1"/>
  <c r="Z1162" i="1" s="1"/>
  <c r="P1162" i="1"/>
  <c r="K1162" i="1"/>
  <c r="J1162" i="1"/>
  <c r="A1162" i="1"/>
  <c r="S1161" i="1"/>
  <c r="M1161" i="1"/>
  <c r="P1161" i="1" s="1"/>
  <c r="K1161" i="1"/>
  <c r="J1161" i="1"/>
  <c r="A1161" i="1"/>
  <c r="W1160" i="1"/>
  <c r="Z1160" i="1" s="1"/>
  <c r="P1160" i="1"/>
  <c r="K1160" i="1"/>
  <c r="J1160" i="1"/>
  <c r="A1160" i="1"/>
  <c r="W1159" i="1"/>
  <c r="Z1159" i="1" s="1"/>
  <c r="P1159" i="1"/>
  <c r="K1159" i="1"/>
  <c r="J1159" i="1"/>
  <c r="A1159" i="1"/>
  <c r="W1158" i="1"/>
  <c r="Z1158" i="1" s="1"/>
  <c r="P1158" i="1"/>
  <c r="K1158" i="1"/>
  <c r="J1158" i="1"/>
  <c r="A1158" i="1"/>
  <c r="W164" i="3"/>
  <c r="Z164" i="3" s="1"/>
  <c r="P164" i="3"/>
  <c r="K164" i="3"/>
  <c r="J164" i="3"/>
  <c r="A164" i="3"/>
  <c r="W1157" i="1"/>
  <c r="Z1157" i="1" s="1"/>
  <c r="P1157" i="1"/>
  <c r="K1157" i="1"/>
  <c r="J1157" i="1"/>
  <c r="A1157" i="1"/>
  <c r="W1156" i="1"/>
  <c r="Z1156" i="1" s="1"/>
  <c r="P1156" i="1"/>
  <c r="K1156" i="1"/>
  <c r="J1156" i="1"/>
  <c r="A1156" i="1"/>
  <c r="W1155" i="1"/>
  <c r="Z1155" i="1" s="1"/>
  <c r="P1155" i="1"/>
  <c r="K1155" i="1"/>
  <c r="J1155" i="1"/>
  <c r="A1155" i="1"/>
  <c r="W1154" i="1"/>
  <c r="Z1154" i="1" s="1"/>
  <c r="P1154" i="1"/>
  <c r="K1154" i="1"/>
  <c r="J1154" i="1"/>
  <c r="A1154" i="1"/>
  <c r="W1153" i="1"/>
  <c r="Z1153" i="1" s="1"/>
  <c r="P1153" i="1"/>
  <c r="K1153" i="1"/>
  <c r="J1153" i="1"/>
  <c r="A1153" i="1"/>
  <c r="W152" i="2"/>
  <c r="Z152" i="2" s="1"/>
  <c r="P152" i="2"/>
  <c r="K152" i="2"/>
  <c r="J152" i="2"/>
  <c r="A152" i="2"/>
  <c r="W151" i="2"/>
  <c r="Z151" i="2" s="1"/>
  <c r="P151" i="2"/>
  <c r="K151" i="2"/>
  <c r="J151" i="2"/>
  <c r="A151" i="2"/>
  <c r="W150" i="2"/>
  <c r="Z150" i="2" s="1"/>
  <c r="P150" i="2"/>
  <c r="K150" i="2"/>
  <c r="J150" i="2"/>
  <c r="A150" i="2"/>
  <c r="W149" i="2"/>
  <c r="Z149" i="2" s="1"/>
  <c r="P149" i="2"/>
  <c r="K149" i="2"/>
  <c r="J149" i="2"/>
  <c r="A149" i="2"/>
  <c r="W148" i="2"/>
  <c r="Z148" i="2" s="1"/>
  <c r="P148" i="2"/>
  <c r="K148" i="2"/>
  <c r="J148" i="2"/>
  <c r="A148" i="2"/>
  <c r="W1152" i="1"/>
  <c r="Z1152" i="1" s="1"/>
  <c r="P1152" i="1"/>
  <c r="K1152" i="1"/>
  <c r="J1152" i="1"/>
  <c r="A1152" i="1"/>
  <c r="W1151" i="1"/>
  <c r="Z1151" i="1" s="1"/>
  <c r="P1151" i="1"/>
  <c r="K1151" i="1"/>
  <c r="J1151" i="1"/>
  <c r="A1151" i="1"/>
  <c r="W1174" i="1" l="1"/>
  <c r="Z1174" i="1" s="1"/>
  <c r="W1161" i="1"/>
  <c r="Z1161" i="1" s="1"/>
  <c r="W163" i="3"/>
  <c r="Z163" i="3" s="1"/>
  <c r="P163" i="3"/>
  <c r="K163" i="3"/>
  <c r="J163" i="3"/>
  <c r="A163" i="3"/>
  <c r="W162" i="3"/>
  <c r="Z162" i="3" s="1"/>
  <c r="P162" i="3"/>
  <c r="K162" i="3"/>
  <c r="J162" i="3"/>
  <c r="A162" i="3"/>
  <c r="W1150" i="1"/>
  <c r="Z1150" i="1" s="1"/>
  <c r="P1150" i="1"/>
  <c r="K1150" i="1"/>
  <c r="J1150" i="1"/>
  <c r="A1150" i="1"/>
  <c r="W1149" i="1"/>
  <c r="Z1149" i="1" s="1"/>
  <c r="P1149" i="1"/>
  <c r="K1149" i="1"/>
  <c r="J1149" i="1"/>
  <c r="A1149" i="1"/>
  <c r="W1148" i="1"/>
  <c r="Z1148" i="1" s="1"/>
  <c r="P1148" i="1"/>
  <c r="K1148" i="1"/>
  <c r="J1148" i="1"/>
  <c r="A1148" i="1"/>
  <c r="W1147" i="1"/>
  <c r="Z1147" i="1" s="1"/>
  <c r="P1147" i="1"/>
  <c r="K1147" i="1"/>
  <c r="J1147" i="1"/>
  <c r="A1147" i="1"/>
  <c r="W1146" i="1"/>
  <c r="Z1146" i="1" s="1"/>
  <c r="P1146" i="1"/>
  <c r="K1146" i="1"/>
  <c r="J1146" i="1"/>
  <c r="A1146" i="1"/>
  <c r="W1145" i="1"/>
  <c r="Z1145" i="1" s="1"/>
  <c r="P1145" i="1"/>
  <c r="K1145" i="1"/>
  <c r="J1145" i="1"/>
  <c r="A1145" i="1"/>
  <c r="W1144" i="1"/>
  <c r="Z1144" i="1" s="1"/>
  <c r="P1144" i="1"/>
  <c r="K1144" i="1"/>
  <c r="J1144" i="1"/>
  <c r="A1144" i="1"/>
  <c r="W1143" i="1"/>
  <c r="Z1143" i="1" s="1"/>
  <c r="P1143" i="1"/>
  <c r="K1143" i="1"/>
  <c r="J1143" i="1"/>
  <c r="A1143" i="1"/>
  <c r="W1142" i="1"/>
  <c r="Z1142" i="1" s="1"/>
  <c r="P1142" i="1"/>
  <c r="K1142" i="1"/>
  <c r="J1142" i="1"/>
  <c r="A1142" i="1"/>
  <c r="W1141" i="1"/>
  <c r="Z1141" i="1" s="1"/>
  <c r="P1141" i="1"/>
  <c r="K1141" i="1"/>
  <c r="J1141" i="1"/>
  <c r="A1141" i="1"/>
  <c r="W161" i="3"/>
  <c r="Z161" i="3" s="1"/>
  <c r="P161" i="3"/>
  <c r="K161" i="3"/>
  <c r="J161" i="3"/>
  <c r="A161" i="3"/>
  <c r="W1140" i="1"/>
  <c r="Z1140" i="1" s="1"/>
  <c r="P1140" i="1"/>
  <c r="K1140" i="1"/>
  <c r="J1140" i="1"/>
  <c r="A1140" i="1"/>
  <c r="W1139" i="1"/>
  <c r="Z1139" i="1" s="1"/>
  <c r="P1139" i="1"/>
  <c r="K1139" i="1"/>
  <c r="J1139" i="1"/>
  <c r="A1139" i="1"/>
  <c r="W1138" i="1"/>
  <c r="Z1138" i="1" s="1"/>
  <c r="P1138" i="1"/>
  <c r="K1138" i="1"/>
  <c r="J1138" i="1"/>
  <c r="A1138" i="1"/>
  <c r="W1137" i="1"/>
  <c r="Z1137" i="1" s="1"/>
  <c r="P1137" i="1"/>
  <c r="K1137" i="1"/>
  <c r="J1137" i="1"/>
  <c r="A1137" i="1"/>
  <c r="W1136" i="1"/>
  <c r="Z1136" i="1" s="1"/>
  <c r="P1136" i="1"/>
  <c r="K1136" i="1"/>
  <c r="J1136" i="1"/>
  <c r="A1136" i="1"/>
  <c r="W1135" i="1"/>
  <c r="Z1135" i="1" s="1"/>
  <c r="P1135" i="1"/>
  <c r="K1135" i="1"/>
  <c r="J1135" i="1"/>
  <c r="A1135" i="1"/>
  <c r="W1134" i="1"/>
  <c r="Z1134" i="1" s="1"/>
  <c r="P1134" i="1"/>
  <c r="K1134" i="1"/>
  <c r="J1134" i="1"/>
  <c r="A1134" i="1"/>
  <c r="W1133" i="1"/>
  <c r="Z1133" i="1" s="1"/>
  <c r="P1133" i="1"/>
  <c r="K1133" i="1"/>
  <c r="J1133" i="1"/>
  <c r="A1133" i="1"/>
  <c r="W1132" i="1"/>
  <c r="Z1132" i="1" s="1"/>
  <c r="P1132" i="1"/>
  <c r="K1132" i="1"/>
  <c r="J1132" i="1"/>
  <c r="A1132" i="1"/>
  <c r="S1131" i="1"/>
  <c r="M1131" i="1"/>
  <c r="K1131" i="1"/>
  <c r="J1131" i="1"/>
  <c r="A1131" i="1"/>
  <c r="W1130" i="1"/>
  <c r="Z1130" i="1" s="1"/>
  <c r="P1130" i="1"/>
  <c r="K1130" i="1"/>
  <c r="J1130" i="1"/>
  <c r="A1130" i="1"/>
  <c r="W1129" i="1"/>
  <c r="Z1129" i="1" s="1"/>
  <c r="P1129" i="1"/>
  <c r="K1129" i="1"/>
  <c r="J1129" i="1"/>
  <c r="A1129" i="1"/>
  <c r="W160" i="3"/>
  <c r="Z160" i="3" s="1"/>
  <c r="P160" i="3"/>
  <c r="K160" i="3"/>
  <c r="J160" i="3"/>
  <c r="A160" i="3"/>
  <c r="W159" i="3"/>
  <c r="Z159" i="3" s="1"/>
  <c r="P159" i="3"/>
  <c r="K159" i="3"/>
  <c r="J159" i="3"/>
  <c r="A159" i="3"/>
  <c r="A158" i="3"/>
  <c r="J158" i="3"/>
  <c r="K158" i="3"/>
  <c r="P158" i="3"/>
  <c r="W158" i="3"/>
  <c r="Z158" i="3" s="1"/>
  <c r="W1128" i="1"/>
  <c r="Z1128" i="1" s="1"/>
  <c r="P1128" i="1"/>
  <c r="K1128" i="1"/>
  <c r="J1128" i="1"/>
  <c r="A1128" i="1"/>
  <c r="W1127" i="1"/>
  <c r="Z1127" i="1" s="1"/>
  <c r="P1127" i="1"/>
  <c r="K1127" i="1"/>
  <c r="J1127" i="1"/>
  <c r="A1127" i="1"/>
  <c r="S1126" i="1"/>
  <c r="M1126" i="1"/>
  <c r="P1126" i="1" s="1"/>
  <c r="K1126" i="1"/>
  <c r="J1126" i="1"/>
  <c r="A1126" i="1"/>
  <c r="W1125" i="1"/>
  <c r="Z1125" i="1" s="1"/>
  <c r="P1125" i="1"/>
  <c r="K1125" i="1"/>
  <c r="J1125" i="1"/>
  <c r="A1125" i="1"/>
  <c r="W1124" i="1"/>
  <c r="Z1124" i="1" s="1"/>
  <c r="P1124" i="1"/>
  <c r="K1124" i="1"/>
  <c r="J1124" i="1"/>
  <c r="A1124" i="1"/>
  <c r="W1123" i="1"/>
  <c r="Z1123" i="1" s="1"/>
  <c r="P1123" i="1"/>
  <c r="K1123" i="1"/>
  <c r="J1123" i="1"/>
  <c r="A1123" i="1"/>
  <c r="W1122" i="1"/>
  <c r="Z1122" i="1" s="1"/>
  <c r="P1122" i="1"/>
  <c r="K1122" i="1"/>
  <c r="J1122" i="1"/>
  <c r="A1122" i="1"/>
  <c r="W1121" i="1"/>
  <c r="Z1121" i="1" s="1"/>
  <c r="P1121" i="1"/>
  <c r="K1121" i="1"/>
  <c r="J1121" i="1"/>
  <c r="A1121" i="1"/>
  <c r="W1120" i="1"/>
  <c r="Z1120" i="1" s="1"/>
  <c r="P1120" i="1"/>
  <c r="K1120" i="1"/>
  <c r="J1120" i="1"/>
  <c r="A1120" i="1"/>
  <c r="W1119" i="1"/>
  <c r="Z1119" i="1" s="1"/>
  <c r="P1119" i="1"/>
  <c r="K1119" i="1"/>
  <c r="J1119" i="1"/>
  <c r="A1119" i="1"/>
  <c r="W142" i="2"/>
  <c r="Z142" i="2" s="1"/>
  <c r="P142" i="2"/>
  <c r="K142" i="2"/>
  <c r="J142" i="2"/>
  <c r="A142" i="2"/>
  <c r="W147" i="2"/>
  <c r="Z147" i="2" s="1"/>
  <c r="P147" i="2"/>
  <c r="K147" i="2"/>
  <c r="J147" i="2"/>
  <c r="A147" i="2"/>
  <c r="W146" i="2"/>
  <c r="Z146" i="2" s="1"/>
  <c r="P146" i="2"/>
  <c r="K146" i="2"/>
  <c r="J146" i="2"/>
  <c r="A146" i="2"/>
  <c r="W145" i="2"/>
  <c r="Z145" i="2" s="1"/>
  <c r="P145" i="2"/>
  <c r="K145" i="2"/>
  <c r="J145" i="2"/>
  <c r="A145" i="2"/>
  <c r="W144" i="2"/>
  <c r="Z144" i="2" s="1"/>
  <c r="P144" i="2"/>
  <c r="K144" i="2"/>
  <c r="J144" i="2"/>
  <c r="A144" i="2"/>
  <c r="W143" i="2"/>
  <c r="Z143" i="2" s="1"/>
  <c r="P143" i="2"/>
  <c r="K143" i="2"/>
  <c r="J143" i="2"/>
  <c r="A143" i="2"/>
  <c r="V8" i="5"/>
  <c r="W1101" i="1"/>
  <c r="Z1101" i="1" s="1"/>
  <c r="P1101" i="1"/>
  <c r="K1101" i="1"/>
  <c r="J1101" i="1"/>
  <c r="A1101" i="1"/>
  <c r="W1100" i="1"/>
  <c r="Z1100" i="1" s="1"/>
  <c r="P1100" i="1"/>
  <c r="K1100" i="1"/>
  <c r="J1100" i="1"/>
  <c r="A1100" i="1"/>
  <c r="W1095" i="1"/>
  <c r="Z1095" i="1" s="1"/>
  <c r="P1095" i="1"/>
  <c r="K1095" i="1"/>
  <c r="J1095" i="1"/>
  <c r="A1095" i="1"/>
  <c r="W1118" i="1"/>
  <c r="Z1118" i="1" s="1"/>
  <c r="P1118" i="1"/>
  <c r="K1118" i="1"/>
  <c r="J1118" i="1"/>
  <c r="A1118" i="1"/>
  <c r="W1117" i="1"/>
  <c r="Z1117" i="1" s="1"/>
  <c r="P1117" i="1"/>
  <c r="K1117" i="1"/>
  <c r="J1117" i="1"/>
  <c r="A1117" i="1"/>
  <c r="W1116" i="1"/>
  <c r="Z1116" i="1" s="1"/>
  <c r="P1116" i="1"/>
  <c r="K1116" i="1"/>
  <c r="J1116" i="1"/>
  <c r="A1116" i="1"/>
  <c r="S1115" i="1"/>
  <c r="M1115" i="1"/>
  <c r="K1115" i="1"/>
  <c r="J1115" i="1"/>
  <c r="A1115" i="1"/>
  <c r="A1114" i="1"/>
  <c r="J1114" i="1"/>
  <c r="K1114" i="1"/>
  <c r="P1114" i="1"/>
  <c r="W1114" i="1"/>
  <c r="Z1114" i="1" s="1"/>
  <c r="W1113" i="1"/>
  <c r="Z1113" i="1" s="1"/>
  <c r="P1113" i="1"/>
  <c r="K1113" i="1"/>
  <c r="J1113" i="1"/>
  <c r="A1113" i="1"/>
  <c r="W1112" i="1"/>
  <c r="Z1112" i="1" s="1"/>
  <c r="P1112" i="1"/>
  <c r="K1112" i="1"/>
  <c r="J1112" i="1"/>
  <c r="A1112" i="1"/>
  <c r="A157" i="3"/>
  <c r="J157" i="3"/>
  <c r="K157" i="3"/>
  <c r="P157" i="3"/>
  <c r="W157" i="3"/>
  <c r="Z157" i="3" s="1"/>
  <c r="A156" i="3"/>
  <c r="J156" i="3"/>
  <c r="K156" i="3"/>
  <c r="P156" i="3"/>
  <c r="W156" i="3"/>
  <c r="Z156" i="3" s="1"/>
  <c r="A155" i="3"/>
  <c r="J155" i="3"/>
  <c r="K155" i="3"/>
  <c r="P155" i="3"/>
  <c r="W155" i="3"/>
  <c r="Z155" i="3" s="1"/>
  <c r="P1111" i="1"/>
  <c r="W1111" i="1"/>
  <c r="Z1111" i="1" s="1"/>
  <c r="K1111" i="1"/>
  <c r="J1111" i="1"/>
  <c r="A1111" i="1"/>
  <c r="A1110" i="1"/>
  <c r="J1110" i="1"/>
  <c r="K1110" i="1"/>
  <c r="P1110" i="1"/>
  <c r="W1110" i="1"/>
  <c r="Z1110" i="1" s="1"/>
  <c r="W1109" i="1"/>
  <c r="Z1109" i="1" s="1"/>
  <c r="P1109" i="1"/>
  <c r="K1109" i="1"/>
  <c r="J1109" i="1"/>
  <c r="A1109" i="1"/>
  <c r="A1108" i="1"/>
  <c r="J1108" i="1"/>
  <c r="K1108" i="1"/>
  <c r="P1108" i="1"/>
  <c r="W1108" i="1"/>
  <c r="Z1108" i="1" s="1"/>
  <c r="A1107" i="1"/>
  <c r="J1107" i="1"/>
  <c r="K1107" i="1"/>
  <c r="P1107" i="1"/>
  <c r="W1107" i="1"/>
  <c r="Z1107" i="1" s="1"/>
  <c r="W1106" i="1"/>
  <c r="Z1106" i="1" s="1"/>
  <c r="P1106" i="1"/>
  <c r="K1106" i="1"/>
  <c r="J1106" i="1"/>
  <c r="A1106" i="1"/>
  <c r="W1105" i="1"/>
  <c r="Z1105" i="1" s="1"/>
  <c r="P1105" i="1"/>
  <c r="K1105" i="1"/>
  <c r="J1105" i="1"/>
  <c r="A1105" i="1"/>
  <c r="S1104" i="1"/>
  <c r="M1104" i="1"/>
  <c r="P1104" i="1" s="1"/>
  <c r="K1104" i="1"/>
  <c r="J1104" i="1"/>
  <c r="A1104" i="1"/>
  <c r="A1103" i="1"/>
  <c r="J1103" i="1"/>
  <c r="K1103" i="1"/>
  <c r="P1103" i="1"/>
  <c r="W1103" i="1"/>
  <c r="Z1103" i="1" s="1"/>
  <c r="A1102" i="1"/>
  <c r="J1102" i="1"/>
  <c r="K1102" i="1"/>
  <c r="P1102" i="1"/>
  <c r="W1102" i="1"/>
  <c r="Z1102" i="1" s="1"/>
  <c r="W1099" i="1"/>
  <c r="Z1099" i="1" s="1"/>
  <c r="P1099" i="1"/>
  <c r="K1099" i="1"/>
  <c r="J1099" i="1"/>
  <c r="A1099" i="1"/>
  <c r="W1098" i="1"/>
  <c r="Z1098" i="1" s="1"/>
  <c r="P1098" i="1"/>
  <c r="K1098" i="1"/>
  <c r="J1098" i="1"/>
  <c r="A1098" i="1"/>
  <c r="A1097" i="1"/>
  <c r="J1097" i="1"/>
  <c r="K1097" i="1"/>
  <c r="P1097" i="1"/>
  <c r="W1097" i="1"/>
  <c r="Z1097" i="1" s="1"/>
  <c r="W1096" i="1"/>
  <c r="Z1096" i="1" s="1"/>
  <c r="P1096" i="1"/>
  <c r="K1096" i="1"/>
  <c r="J1096" i="1"/>
  <c r="A1096" i="1"/>
  <c r="W1094" i="1"/>
  <c r="Z1094" i="1" s="1"/>
  <c r="P1094" i="1"/>
  <c r="K1094" i="1"/>
  <c r="J1094" i="1"/>
  <c r="A1094" i="1"/>
  <c r="S1093" i="1"/>
  <c r="M1093" i="1"/>
  <c r="K1093" i="1"/>
  <c r="J1093" i="1"/>
  <c r="A1093" i="1"/>
  <c r="A1092" i="1"/>
  <c r="J1092" i="1"/>
  <c r="K1092" i="1"/>
  <c r="P1092" i="1"/>
  <c r="W1092" i="1"/>
  <c r="Z1092" i="1" s="1"/>
  <c r="A1091" i="1"/>
  <c r="J1091" i="1"/>
  <c r="K1091" i="1"/>
  <c r="P1091" i="1"/>
  <c r="W1091" i="1"/>
  <c r="Z1091" i="1" s="1"/>
  <c r="W1090" i="1"/>
  <c r="Z1090" i="1" s="1"/>
  <c r="P1090" i="1"/>
  <c r="K1090" i="1"/>
  <c r="J1090" i="1"/>
  <c r="A1090" i="1"/>
  <c r="K1089" i="1"/>
  <c r="W1089" i="1"/>
  <c r="Z1089" i="1" s="1"/>
  <c r="P1089" i="1"/>
  <c r="J1089" i="1"/>
  <c r="A1089" i="1"/>
  <c r="A9" i="5"/>
  <c r="J9" i="5"/>
  <c r="K9" i="5"/>
  <c r="P9" i="5"/>
  <c r="Z9" i="5"/>
  <c r="W1093" i="1" l="1"/>
  <c r="Z1093" i="1" s="1"/>
  <c r="W1131" i="1"/>
  <c r="Z1131" i="1" s="1"/>
  <c r="W1126" i="1"/>
  <c r="Z1126" i="1" s="1"/>
  <c r="P1131" i="1"/>
  <c r="P1093" i="1"/>
  <c r="W1104" i="1"/>
  <c r="Z1104" i="1" s="1"/>
  <c r="W1115" i="1"/>
  <c r="Z1115" i="1" s="1"/>
  <c r="P1115" i="1"/>
  <c r="W139" i="2" l="1"/>
  <c r="Z139" i="2" s="1"/>
  <c r="P139" i="2"/>
  <c r="K139" i="2"/>
  <c r="J139" i="2"/>
  <c r="A139" i="2"/>
  <c r="W141" i="2"/>
  <c r="Z141" i="2" s="1"/>
  <c r="P141" i="2"/>
  <c r="K141" i="2"/>
  <c r="J141" i="2"/>
  <c r="A141" i="2"/>
  <c r="W140" i="2"/>
  <c r="Z140" i="2" s="1"/>
  <c r="P140" i="2"/>
  <c r="K140" i="2"/>
  <c r="J140" i="2"/>
  <c r="A140" i="2"/>
  <c r="A1088" i="1" l="1"/>
  <c r="J1088" i="1"/>
  <c r="K1088" i="1"/>
  <c r="P1088" i="1"/>
  <c r="W1088" i="1"/>
  <c r="Z1088" i="1" s="1"/>
  <c r="A1087" i="1"/>
  <c r="J1087" i="1"/>
  <c r="K1087" i="1"/>
  <c r="P1087" i="1"/>
  <c r="W1087" i="1"/>
  <c r="Z1087" i="1" s="1"/>
  <c r="W1086" i="1"/>
  <c r="Z1086" i="1" s="1"/>
  <c r="P1086" i="1"/>
  <c r="K1086" i="1"/>
  <c r="J1086" i="1"/>
  <c r="A1086" i="1"/>
  <c r="A1085" i="1"/>
  <c r="J1085" i="1"/>
  <c r="K1085" i="1"/>
  <c r="P1085" i="1"/>
  <c r="W1085" i="1"/>
  <c r="Z1085" i="1" s="1"/>
  <c r="W1079" i="1"/>
  <c r="Z1079" i="1" s="1"/>
  <c r="P1079" i="1"/>
  <c r="K1079" i="1"/>
  <c r="J1079" i="1"/>
  <c r="A1079" i="1"/>
  <c r="W1073" i="1"/>
  <c r="Z1073" i="1" s="1"/>
  <c r="P1073" i="1"/>
  <c r="K1073" i="1"/>
  <c r="J1073" i="1"/>
  <c r="A1073" i="1"/>
  <c r="W1072" i="1"/>
  <c r="Z1072" i="1" s="1"/>
  <c r="P1072" i="1"/>
  <c r="K1072" i="1"/>
  <c r="J1072" i="1"/>
  <c r="A1072" i="1"/>
  <c r="W1066" i="1"/>
  <c r="Z1066" i="1" s="1"/>
  <c r="P1066" i="1"/>
  <c r="K1066" i="1"/>
  <c r="J1066" i="1"/>
  <c r="A1066" i="1"/>
  <c r="W1065" i="1"/>
  <c r="Z1065" i="1" s="1"/>
  <c r="P1065" i="1"/>
  <c r="K1065" i="1"/>
  <c r="J1065" i="1"/>
  <c r="A1065" i="1"/>
  <c r="A1084" i="1"/>
  <c r="J1084" i="1"/>
  <c r="K1084" i="1"/>
  <c r="P1084" i="1"/>
  <c r="W1084" i="1"/>
  <c r="Z1084" i="1" s="1"/>
  <c r="W1083" i="1"/>
  <c r="Z1083" i="1" s="1"/>
  <c r="P1083" i="1"/>
  <c r="K1083" i="1"/>
  <c r="J1083" i="1"/>
  <c r="A1083" i="1"/>
  <c r="W1082" i="1"/>
  <c r="Z1082" i="1" s="1"/>
  <c r="P1082" i="1"/>
  <c r="K1082" i="1"/>
  <c r="J1082" i="1"/>
  <c r="A1082" i="1"/>
  <c r="A1081" i="1"/>
  <c r="J1081" i="1"/>
  <c r="K1081" i="1"/>
  <c r="P1081" i="1"/>
  <c r="W1081" i="1"/>
  <c r="Z1081" i="1" s="1"/>
  <c r="A154" i="3"/>
  <c r="J154" i="3"/>
  <c r="K154" i="3"/>
  <c r="P154" i="3"/>
  <c r="W154" i="3"/>
  <c r="Z154" i="3" s="1"/>
  <c r="A153" i="3"/>
  <c r="J153" i="3"/>
  <c r="K153" i="3"/>
  <c r="P153" i="3"/>
  <c r="W153" i="3"/>
  <c r="Z153" i="3" s="1"/>
  <c r="A1080" i="1"/>
  <c r="J1080" i="1"/>
  <c r="K1080" i="1"/>
  <c r="P1080" i="1"/>
  <c r="W1080" i="1"/>
  <c r="Z1080" i="1" s="1"/>
  <c r="W1078" i="1"/>
  <c r="Z1078" i="1" s="1"/>
  <c r="P1078" i="1"/>
  <c r="K1078" i="1"/>
  <c r="J1078" i="1"/>
  <c r="A1078" i="1"/>
  <c r="W1077" i="1"/>
  <c r="Z1077" i="1" s="1"/>
  <c r="P1077" i="1"/>
  <c r="K1077" i="1"/>
  <c r="J1077" i="1"/>
  <c r="A1077" i="1"/>
  <c r="S1076" i="1"/>
  <c r="M1076" i="1"/>
  <c r="P1076" i="1" s="1"/>
  <c r="K1076" i="1"/>
  <c r="J1076" i="1"/>
  <c r="A1076" i="1"/>
  <c r="W1075" i="1"/>
  <c r="Z1075" i="1" s="1"/>
  <c r="P1075" i="1"/>
  <c r="K1075" i="1"/>
  <c r="J1075" i="1"/>
  <c r="A1075" i="1"/>
  <c r="A1074" i="1"/>
  <c r="J1074" i="1"/>
  <c r="K1074" i="1"/>
  <c r="P1074" i="1"/>
  <c r="W1074" i="1"/>
  <c r="Z1074" i="1" s="1"/>
  <c r="A1071" i="1"/>
  <c r="J1071" i="1"/>
  <c r="K1071" i="1"/>
  <c r="P1071" i="1"/>
  <c r="W1071" i="1"/>
  <c r="Z1071" i="1" s="1"/>
  <c r="W1070" i="1"/>
  <c r="Z1070" i="1" s="1"/>
  <c r="P1070" i="1"/>
  <c r="K1070" i="1"/>
  <c r="J1070" i="1"/>
  <c r="A1070" i="1"/>
  <c r="W1069" i="1"/>
  <c r="Z1069" i="1" s="1"/>
  <c r="P1069" i="1"/>
  <c r="K1069" i="1"/>
  <c r="J1069" i="1"/>
  <c r="A1069" i="1"/>
  <c r="W1068" i="1"/>
  <c r="Z1068" i="1" s="1"/>
  <c r="P1068" i="1"/>
  <c r="K1068" i="1"/>
  <c r="J1068" i="1"/>
  <c r="A1068" i="1"/>
  <c r="W1067" i="1"/>
  <c r="Z1067" i="1" s="1"/>
  <c r="P1067" i="1"/>
  <c r="K1067" i="1"/>
  <c r="J1067" i="1"/>
  <c r="A1067" i="1"/>
  <c r="W1076" i="1" l="1"/>
  <c r="Z1076" i="1" s="1"/>
  <c r="A8" i="5" l="1"/>
  <c r="J8" i="5"/>
  <c r="K8" i="5"/>
  <c r="P8" i="5"/>
  <c r="Z8" i="5"/>
  <c r="W138" i="2"/>
  <c r="Z138" i="2" s="1"/>
  <c r="P138" i="2"/>
  <c r="K138" i="2"/>
  <c r="J138" i="2"/>
  <c r="A138" i="2"/>
  <c r="W137" i="2"/>
  <c r="Z137" i="2" s="1"/>
  <c r="P137" i="2"/>
  <c r="K137" i="2"/>
  <c r="J137" i="2"/>
  <c r="A137" i="2"/>
  <c r="W136" i="2"/>
  <c r="Z136" i="2" s="1"/>
  <c r="P136" i="2"/>
  <c r="K136" i="2"/>
  <c r="J136" i="2"/>
  <c r="A136" i="2"/>
  <c r="A135" i="2"/>
  <c r="J135" i="2"/>
  <c r="K135" i="2"/>
  <c r="P135" i="2"/>
  <c r="W135" i="2"/>
  <c r="Z135" i="2" s="1"/>
  <c r="W134" i="2"/>
  <c r="Z134" i="2" s="1"/>
  <c r="P134" i="2"/>
  <c r="K134" i="2"/>
  <c r="J134" i="2"/>
  <c r="A134" i="2"/>
  <c r="W133" i="2"/>
  <c r="Z133" i="2" s="1"/>
  <c r="P133" i="2"/>
  <c r="K133" i="2"/>
  <c r="J133" i="2"/>
  <c r="A133" i="2"/>
  <c r="W1064" i="1" l="1"/>
  <c r="Z1064" i="1" s="1"/>
  <c r="P1064" i="1"/>
  <c r="K1064" i="1"/>
  <c r="J1064" i="1"/>
  <c r="A1064" i="1"/>
  <c r="W1063" i="1"/>
  <c r="Z1063" i="1" s="1"/>
  <c r="P1063" i="1"/>
  <c r="K1063" i="1"/>
  <c r="J1063" i="1"/>
  <c r="A1063" i="1"/>
  <c r="W1062" i="1"/>
  <c r="Z1062" i="1" s="1"/>
  <c r="P1062" i="1"/>
  <c r="K1062" i="1"/>
  <c r="J1062" i="1"/>
  <c r="A1062" i="1"/>
  <c r="W1061" i="1"/>
  <c r="Z1061" i="1" s="1"/>
  <c r="P1061" i="1"/>
  <c r="K1061" i="1"/>
  <c r="J1061" i="1"/>
  <c r="A1061" i="1"/>
  <c r="W1060" i="1"/>
  <c r="Z1060" i="1" s="1"/>
  <c r="P1060" i="1"/>
  <c r="K1060" i="1"/>
  <c r="J1060" i="1"/>
  <c r="A1060" i="1"/>
  <c r="W1059" i="1"/>
  <c r="Z1059" i="1" s="1"/>
  <c r="P1059" i="1"/>
  <c r="K1059" i="1"/>
  <c r="J1059" i="1"/>
  <c r="A1059" i="1"/>
  <c r="W1058" i="1"/>
  <c r="Z1058" i="1" s="1"/>
  <c r="P1058" i="1"/>
  <c r="K1058" i="1"/>
  <c r="J1058" i="1"/>
  <c r="A1058" i="1"/>
  <c r="W1057" i="1"/>
  <c r="Z1057" i="1" s="1"/>
  <c r="P1057" i="1"/>
  <c r="K1057" i="1"/>
  <c r="J1057" i="1"/>
  <c r="A1057" i="1"/>
  <c r="W1056" i="1"/>
  <c r="Z1056" i="1" s="1"/>
  <c r="P1056" i="1"/>
  <c r="K1056" i="1"/>
  <c r="J1056" i="1"/>
  <c r="A1056" i="1"/>
  <c r="W1055" i="1"/>
  <c r="Z1055" i="1" s="1"/>
  <c r="P1055" i="1"/>
  <c r="K1055" i="1"/>
  <c r="J1055" i="1"/>
  <c r="A1055" i="1"/>
  <c r="S1054" i="1"/>
  <c r="M1054" i="1"/>
  <c r="P1054" i="1" s="1"/>
  <c r="K1054" i="1"/>
  <c r="J1054" i="1"/>
  <c r="A1054" i="1"/>
  <c r="W1053" i="1"/>
  <c r="Z1053" i="1" s="1"/>
  <c r="P1053" i="1"/>
  <c r="K1053" i="1"/>
  <c r="J1053" i="1"/>
  <c r="A1053" i="1"/>
  <c r="W1052" i="1"/>
  <c r="Z1052" i="1" s="1"/>
  <c r="P1052" i="1"/>
  <c r="K1052" i="1"/>
  <c r="J1052" i="1"/>
  <c r="A1052" i="1"/>
  <c r="W1051" i="1"/>
  <c r="Z1051" i="1" s="1"/>
  <c r="P1051" i="1"/>
  <c r="K1051" i="1"/>
  <c r="J1051" i="1"/>
  <c r="A1051" i="1"/>
  <c r="W1050" i="1"/>
  <c r="Z1050" i="1" s="1"/>
  <c r="P1050" i="1"/>
  <c r="K1050" i="1"/>
  <c r="J1050" i="1"/>
  <c r="A1050" i="1"/>
  <c r="W1049" i="1"/>
  <c r="Z1049" i="1" s="1"/>
  <c r="P1049" i="1"/>
  <c r="K1049" i="1"/>
  <c r="J1049" i="1"/>
  <c r="A1049" i="1"/>
  <c r="W1048" i="1"/>
  <c r="Z1048" i="1" s="1"/>
  <c r="P1048" i="1"/>
  <c r="K1048" i="1"/>
  <c r="J1048" i="1"/>
  <c r="A1048" i="1"/>
  <c r="W1047" i="1"/>
  <c r="Z1047" i="1" s="1"/>
  <c r="P1047" i="1"/>
  <c r="K1047" i="1"/>
  <c r="J1047" i="1"/>
  <c r="A1047" i="1"/>
  <c r="W1046" i="1"/>
  <c r="Z1046" i="1" s="1"/>
  <c r="P1046" i="1"/>
  <c r="K1046" i="1"/>
  <c r="J1046" i="1"/>
  <c r="A1046" i="1"/>
  <c r="W1045" i="1"/>
  <c r="Z1045" i="1" s="1"/>
  <c r="P1045" i="1"/>
  <c r="K1045" i="1"/>
  <c r="J1045" i="1"/>
  <c r="A1045" i="1"/>
  <c r="W1044" i="1"/>
  <c r="Z1044" i="1" s="1"/>
  <c r="P1044" i="1"/>
  <c r="K1044" i="1"/>
  <c r="J1044" i="1"/>
  <c r="A1044" i="1"/>
  <c r="W1043" i="1"/>
  <c r="Z1043" i="1" s="1"/>
  <c r="P1043" i="1"/>
  <c r="K1043" i="1"/>
  <c r="J1043" i="1"/>
  <c r="A1043" i="1"/>
  <c r="W1042" i="1"/>
  <c r="Z1042" i="1" s="1"/>
  <c r="P1042" i="1"/>
  <c r="K1042" i="1"/>
  <c r="J1042" i="1"/>
  <c r="A1042" i="1"/>
  <c r="W1041" i="1"/>
  <c r="Z1041" i="1" s="1"/>
  <c r="P1041" i="1"/>
  <c r="K1041" i="1"/>
  <c r="J1041" i="1"/>
  <c r="A1041" i="1"/>
  <c r="W1054" i="1" l="1"/>
  <c r="Z1054" i="1" s="1"/>
  <c r="W152" i="3"/>
  <c r="Z152" i="3" s="1"/>
  <c r="P152" i="3"/>
  <c r="K152" i="3"/>
  <c r="J152" i="3"/>
  <c r="A152" i="3"/>
  <c r="W151" i="3"/>
  <c r="Z151" i="3" s="1"/>
  <c r="P151" i="3"/>
  <c r="K151" i="3"/>
  <c r="J151" i="3"/>
  <c r="A151" i="3"/>
  <c r="W150" i="3"/>
  <c r="Z150" i="3" s="1"/>
  <c r="P150" i="3"/>
  <c r="K150" i="3"/>
  <c r="J150" i="3"/>
  <c r="A150" i="3"/>
  <c r="W149" i="3"/>
  <c r="Z149" i="3" s="1"/>
  <c r="P149" i="3"/>
  <c r="K149" i="3"/>
  <c r="J149" i="3"/>
  <c r="A149" i="3"/>
  <c r="W148" i="3"/>
  <c r="Z148" i="3" s="1"/>
  <c r="P148" i="3"/>
  <c r="K148" i="3"/>
  <c r="J148" i="3"/>
  <c r="A148" i="3"/>
  <c r="W147" i="3"/>
  <c r="Z147" i="3" s="1"/>
  <c r="P147" i="3"/>
  <c r="K147" i="3"/>
  <c r="J147" i="3"/>
  <c r="A147" i="3"/>
  <c r="W146" i="3"/>
  <c r="Z146" i="3" s="1"/>
  <c r="P146" i="3"/>
  <c r="K146" i="3"/>
  <c r="J146" i="3"/>
  <c r="A146" i="3"/>
  <c r="W145" i="3"/>
  <c r="Z145" i="3" s="1"/>
  <c r="P145" i="3"/>
  <c r="K145" i="3"/>
  <c r="J145" i="3"/>
  <c r="A145" i="3"/>
  <c r="A1020" i="1" l="1"/>
  <c r="J1020" i="1"/>
  <c r="K1020" i="1"/>
  <c r="P1020" i="1"/>
  <c r="W1020" i="1"/>
  <c r="Z1020" i="1" s="1"/>
  <c r="A1015" i="1"/>
  <c r="J1015" i="1"/>
  <c r="K1015" i="1"/>
  <c r="P1015" i="1"/>
  <c r="W1015" i="1"/>
  <c r="Z1015" i="1" s="1"/>
  <c r="W127" i="2"/>
  <c r="Z127" i="2" s="1"/>
  <c r="P127" i="2"/>
  <c r="K127" i="2"/>
  <c r="J127" i="2"/>
  <c r="A127" i="2"/>
  <c r="W131" i="2"/>
  <c r="Z131" i="2" s="1"/>
  <c r="P131" i="2"/>
  <c r="K131" i="2"/>
  <c r="J131" i="2"/>
  <c r="A131" i="2"/>
  <c r="W1040" i="1"/>
  <c r="Z1040" i="1" s="1"/>
  <c r="P1040" i="1"/>
  <c r="K1040" i="1"/>
  <c r="J1040" i="1"/>
  <c r="A1040" i="1"/>
  <c r="W1039" i="1"/>
  <c r="Z1039" i="1" s="1"/>
  <c r="P1039" i="1"/>
  <c r="K1039" i="1"/>
  <c r="J1039" i="1"/>
  <c r="A1039" i="1"/>
  <c r="A1038" i="1"/>
  <c r="J1038" i="1"/>
  <c r="K1038" i="1"/>
  <c r="P1038" i="1"/>
  <c r="W1038" i="1"/>
  <c r="Z1038" i="1" s="1"/>
  <c r="A1037" i="1"/>
  <c r="J1037" i="1"/>
  <c r="K1037" i="1"/>
  <c r="P1037" i="1"/>
  <c r="W1037" i="1"/>
  <c r="Z1037" i="1" s="1"/>
  <c r="A1036" i="1"/>
  <c r="J1036" i="1"/>
  <c r="K1036" i="1"/>
  <c r="P1036" i="1"/>
  <c r="W1036" i="1"/>
  <c r="Z1036" i="1" s="1"/>
  <c r="A1035" i="1"/>
  <c r="J1035" i="1"/>
  <c r="K1035" i="1"/>
  <c r="P1035" i="1"/>
  <c r="W1035" i="1"/>
  <c r="Z1035" i="1" s="1"/>
  <c r="W1034" i="1"/>
  <c r="Z1034" i="1" s="1"/>
  <c r="P1034" i="1"/>
  <c r="K1034" i="1"/>
  <c r="J1034" i="1"/>
  <c r="A1034" i="1"/>
  <c r="W1033" i="1"/>
  <c r="Z1033" i="1" s="1"/>
  <c r="P1033" i="1"/>
  <c r="K1033" i="1"/>
  <c r="J1033" i="1"/>
  <c r="A1033" i="1"/>
  <c r="W1032" i="1"/>
  <c r="Z1032" i="1" s="1"/>
  <c r="P1032" i="1"/>
  <c r="K1032" i="1"/>
  <c r="J1032" i="1"/>
  <c r="A1032" i="1"/>
  <c r="W1031" i="1"/>
  <c r="Z1031" i="1" s="1"/>
  <c r="P1031" i="1"/>
  <c r="K1031" i="1"/>
  <c r="J1031" i="1"/>
  <c r="A1031" i="1"/>
  <c r="A1030" i="1"/>
  <c r="J1030" i="1"/>
  <c r="K1030" i="1"/>
  <c r="P1030" i="1"/>
  <c r="W1030" i="1"/>
  <c r="Z1030" i="1" s="1"/>
  <c r="W1029" i="1"/>
  <c r="Z1029" i="1" s="1"/>
  <c r="P1029" i="1"/>
  <c r="K1029" i="1"/>
  <c r="J1029" i="1"/>
  <c r="A1029" i="1"/>
  <c r="W1028" i="1"/>
  <c r="Z1028" i="1" s="1"/>
  <c r="P1028" i="1"/>
  <c r="K1028" i="1"/>
  <c r="J1028" i="1"/>
  <c r="A1028" i="1"/>
  <c r="W1027" i="1"/>
  <c r="Z1027" i="1" s="1"/>
  <c r="P1027" i="1"/>
  <c r="K1027" i="1"/>
  <c r="J1027" i="1"/>
  <c r="A1027" i="1"/>
  <c r="S1026" i="1"/>
  <c r="M1026" i="1"/>
  <c r="K1026" i="1"/>
  <c r="J1026" i="1"/>
  <c r="A1026" i="1"/>
  <c r="M1025" i="1"/>
  <c r="P1025" i="1" s="1"/>
  <c r="S1025" i="1"/>
  <c r="K1025" i="1"/>
  <c r="J1025" i="1"/>
  <c r="A1025" i="1"/>
  <c r="W1024" i="1"/>
  <c r="Z1024" i="1" s="1"/>
  <c r="P1024" i="1"/>
  <c r="K1024" i="1"/>
  <c r="J1024" i="1"/>
  <c r="A1024" i="1"/>
  <c r="A1023" i="1"/>
  <c r="J1023" i="1"/>
  <c r="K1023" i="1"/>
  <c r="P1023" i="1"/>
  <c r="W1023" i="1"/>
  <c r="Z1023" i="1" s="1"/>
  <c r="W1022" i="1"/>
  <c r="Z1022" i="1" s="1"/>
  <c r="P1022" i="1"/>
  <c r="K1022" i="1"/>
  <c r="J1022" i="1"/>
  <c r="A1022" i="1"/>
  <c r="W1021" i="1"/>
  <c r="Z1021" i="1" s="1"/>
  <c r="P1021" i="1"/>
  <c r="K1021" i="1"/>
  <c r="J1021" i="1"/>
  <c r="A1021" i="1"/>
  <c r="W132" i="2"/>
  <c r="Z132" i="2" s="1"/>
  <c r="P132" i="2"/>
  <c r="K132" i="2"/>
  <c r="J132" i="2"/>
  <c r="A132" i="2"/>
  <c r="W130" i="2"/>
  <c r="Z130" i="2" s="1"/>
  <c r="P130" i="2"/>
  <c r="K130" i="2"/>
  <c r="J130" i="2"/>
  <c r="A130" i="2"/>
  <c r="W129" i="2"/>
  <c r="Z129" i="2" s="1"/>
  <c r="P129" i="2"/>
  <c r="K129" i="2"/>
  <c r="J129" i="2"/>
  <c r="A129" i="2"/>
  <c r="W128" i="2"/>
  <c r="Z128" i="2" s="1"/>
  <c r="P128" i="2"/>
  <c r="K128" i="2"/>
  <c r="J128" i="2"/>
  <c r="A128" i="2"/>
  <c r="W1019" i="1"/>
  <c r="Z1019" i="1" s="1"/>
  <c r="P1019" i="1"/>
  <c r="K1019" i="1"/>
  <c r="J1019" i="1"/>
  <c r="A1019" i="1"/>
  <c r="W1018" i="1"/>
  <c r="Z1018" i="1" s="1"/>
  <c r="P1018" i="1"/>
  <c r="K1018" i="1"/>
  <c r="J1018" i="1"/>
  <c r="A1018" i="1"/>
  <c r="A1017" i="1"/>
  <c r="J1017" i="1"/>
  <c r="K1017" i="1"/>
  <c r="P1017" i="1"/>
  <c r="W1017" i="1"/>
  <c r="Z1017" i="1" s="1"/>
  <c r="W1016" i="1"/>
  <c r="Z1016" i="1" s="1"/>
  <c r="P1016" i="1"/>
  <c r="K1016" i="1"/>
  <c r="J1016" i="1"/>
  <c r="A1016" i="1"/>
  <c r="A1014" i="1"/>
  <c r="J1014" i="1"/>
  <c r="K1014" i="1"/>
  <c r="P1014" i="1"/>
  <c r="W1014" i="1"/>
  <c r="Z1014" i="1" s="1"/>
  <c r="A1013" i="1"/>
  <c r="J1013" i="1"/>
  <c r="K1013" i="1"/>
  <c r="P1013" i="1"/>
  <c r="W1013" i="1"/>
  <c r="Z1013" i="1" s="1"/>
  <c r="A1012" i="1"/>
  <c r="J1012" i="1"/>
  <c r="K1012" i="1"/>
  <c r="P1012" i="1"/>
  <c r="W1012" i="1"/>
  <c r="Z1012" i="1" s="1"/>
  <c r="W1025" i="1" l="1"/>
  <c r="Z1025" i="1" s="1"/>
  <c r="W1026" i="1"/>
  <c r="Z1026" i="1" s="1"/>
  <c r="P1026" i="1"/>
  <c r="A7" i="5" l="1"/>
  <c r="J7" i="5"/>
  <c r="K7" i="5"/>
  <c r="P7" i="5"/>
  <c r="Z7" i="5"/>
  <c r="A987" i="1" l="1"/>
  <c r="J987" i="1"/>
  <c r="K987" i="1"/>
  <c r="P987" i="1"/>
  <c r="W987" i="1"/>
  <c r="Z987" i="1" s="1"/>
  <c r="W126" i="2"/>
  <c r="Z126" i="2" s="1"/>
  <c r="P126" i="2"/>
  <c r="K126" i="2"/>
  <c r="J126" i="2"/>
  <c r="A126" i="2"/>
  <c r="W125" i="2"/>
  <c r="Z125" i="2" s="1"/>
  <c r="P125" i="2"/>
  <c r="K125" i="2"/>
  <c r="J125" i="2"/>
  <c r="A125" i="2"/>
  <c r="W1011" i="1" l="1"/>
  <c r="Z1011" i="1" s="1"/>
  <c r="P1011" i="1"/>
  <c r="K1011" i="1"/>
  <c r="J1011" i="1"/>
  <c r="A1011" i="1"/>
  <c r="W1010" i="1"/>
  <c r="Z1010" i="1" s="1"/>
  <c r="P1010" i="1"/>
  <c r="K1010" i="1"/>
  <c r="J1010" i="1"/>
  <c r="A1010" i="1"/>
  <c r="W1001" i="1"/>
  <c r="Z1001" i="1" s="1"/>
  <c r="P1001" i="1"/>
  <c r="K1001" i="1"/>
  <c r="J1001" i="1"/>
  <c r="A1001" i="1"/>
  <c r="W1000" i="1"/>
  <c r="Z1000" i="1" s="1"/>
  <c r="P1000" i="1"/>
  <c r="K1000" i="1"/>
  <c r="J1000" i="1"/>
  <c r="A1000" i="1"/>
  <c r="W999" i="1"/>
  <c r="Z999" i="1" s="1"/>
  <c r="P999" i="1"/>
  <c r="K999" i="1"/>
  <c r="J999" i="1"/>
  <c r="A999" i="1"/>
  <c r="W998" i="1"/>
  <c r="Z998" i="1" s="1"/>
  <c r="P998" i="1"/>
  <c r="K998" i="1"/>
  <c r="J998" i="1"/>
  <c r="A998" i="1"/>
  <c r="S997" i="1"/>
  <c r="M997" i="1"/>
  <c r="K997" i="1"/>
  <c r="J997" i="1"/>
  <c r="A997" i="1"/>
  <c r="W996" i="1"/>
  <c r="Z996" i="1" s="1"/>
  <c r="P996" i="1"/>
  <c r="K996" i="1"/>
  <c r="J996" i="1"/>
  <c r="A996" i="1"/>
  <c r="W995" i="1"/>
  <c r="Z995" i="1" s="1"/>
  <c r="P995" i="1"/>
  <c r="K995" i="1"/>
  <c r="J995" i="1"/>
  <c r="A995" i="1"/>
  <c r="W994" i="1"/>
  <c r="Z994" i="1" s="1"/>
  <c r="P994" i="1"/>
  <c r="K994" i="1"/>
  <c r="J994" i="1"/>
  <c r="A994" i="1"/>
  <c r="W993" i="1"/>
  <c r="Z993" i="1" s="1"/>
  <c r="P993" i="1"/>
  <c r="K993" i="1"/>
  <c r="J993" i="1"/>
  <c r="A993" i="1"/>
  <c r="W992" i="1"/>
  <c r="Z992" i="1" s="1"/>
  <c r="P992" i="1"/>
  <c r="K992" i="1"/>
  <c r="J992" i="1"/>
  <c r="A992" i="1"/>
  <c r="W991" i="1"/>
  <c r="Z991" i="1" s="1"/>
  <c r="P991" i="1"/>
  <c r="K991" i="1"/>
  <c r="J991" i="1"/>
  <c r="A991" i="1"/>
  <c r="W990" i="1"/>
  <c r="Z990" i="1" s="1"/>
  <c r="P990" i="1"/>
  <c r="K990" i="1"/>
  <c r="J990" i="1"/>
  <c r="A990" i="1"/>
  <c r="W989" i="1"/>
  <c r="Z989" i="1" s="1"/>
  <c r="P989" i="1"/>
  <c r="K989" i="1"/>
  <c r="J989" i="1"/>
  <c r="A989" i="1"/>
  <c r="W988" i="1"/>
  <c r="Z988" i="1" s="1"/>
  <c r="P988" i="1"/>
  <c r="K988" i="1"/>
  <c r="J988" i="1"/>
  <c r="A988" i="1"/>
  <c r="W986" i="1"/>
  <c r="Z986" i="1" s="1"/>
  <c r="P986" i="1"/>
  <c r="K986" i="1"/>
  <c r="J986" i="1"/>
  <c r="A986" i="1"/>
  <c r="W985" i="1"/>
  <c r="Z985" i="1" s="1"/>
  <c r="P985" i="1"/>
  <c r="K985" i="1"/>
  <c r="J985" i="1"/>
  <c r="A985" i="1"/>
  <c r="S984" i="1"/>
  <c r="M984" i="1"/>
  <c r="P984" i="1" s="1"/>
  <c r="K984" i="1"/>
  <c r="J984" i="1"/>
  <c r="A984" i="1"/>
  <c r="W983" i="1"/>
  <c r="Z983" i="1" s="1"/>
  <c r="P983" i="1"/>
  <c r="K983" i="1"/>
  <c r="J983" i="1"/>
  <c r="A983" i="1"/>
  <c r="W982" i="1"/>
  <c r="Z982" i="1" s="1"/>
  <c r="P982" i="1"/>
  <c r="K982" i="1"/>
  <c r="J982" i="1"/>
  <c r="A982" i="1"/>
  <c r="W981" i="1"/>
  <c r="Z981" i="1" s="1"/>
  <c r="P981" i="1"/>
  <c r="K981" i="1"/>
  <c r="J981" i="1"/>
  <c r="A981" i="1"/>
  <c r="W980" i="1"/>
  <c r="Z980" i="1" s="1"/>
  <c r="P980" i="1"/>
  <c r="K980" i="1"/>
  <c r="J980" i="1"/>
  <c r="A980" i="1"/>
  <c r="W979" i="1"/>
  <c r="Z979" i="1" s="1"/>
  <c r="P979" i="1"/>
  <c r="K979" i="1"/>
  <c r="J979" i="1"/>
  <c r="A979" i="1"/>
  <c r="A1009" i="1"/>
  <c r="J1009" i="1"/>
  <c r="K1009" i="1"/>
  <c r="P1009" i="1"/>
  <c r="W1009" i="1"/>
  <c r="Z1009" i="1" s="1"/>
  <c r="A1008" i="1"/>
  <c r="J1008" i="1"/>
  <c r="K1008" i="1"/>
  <c r="P1008" i="1"/>
  <c r="W1008" i="1"/>
  <c r="Z1008" i="1" s="1"/>
  <c r="A1007" i="1"/>
  <c r="J1007" i="1"/>
  <c r="K1007" i="1"/>
  <c r="P1007" i="1"/>
  <c r="W1007" i="1"/>
  <c r="Z1007" i="1" s="1"/>
  <c r="W1006" i="1"/>
  <c r="Z1006" i="1" s="1"/>
  <c r="P1006" i="1"/>
  <c r="K1006" i="1"/>
  <c r="J1006" i="1"/>
  <c r="A1006" i="1"/>
  <c r="A1005" i="1"/>
  <c r="J1005" i="1"/>
  <c r="K1005" i="1"/>
  <c r="P1005" i="1"/>
  <c r="W1005" i="1"/>
  <c r="Z1005" i="1" s="1"/>
  <c r="W1004" i="1"/>
  <c r="Z1004" i="1" s="1"/>
  <c r="P1004" i="1"/>
  <c r="K1004" i="1"/>
  <c r="J1004" i="1"/>
  <c r="A1004" i="1"/>
  <c r="A144" i="3"/>
  <c r="J144" i="3"/>
  <c r="K144" i="3"/>
  <c r="P144" i="3"/>
  <c r="W144" i="3"/>
  <c r="Z144" i="3" s="1"/>
  <c r="A1003" i="1"/>
  <c r="J1003" i="1"/>
  <c r="K1003" i="1"/>
  <c r="P1003" i="1"/>
  <c r="W1003" i="1"/>
  <c r="Z1003" i="1" s="1"/>
  <c r="A1002" i="1"/>
  <c r="J1002" i="1"/>
  <c r="K1002" i="1"/>
  <c r="P1002" i="1"/>
  <c r="W1002" i="1"/>
  <c r="Z1002" i="1" s="1"/>
  <c r="W978" i="1"/>
  <c r="Z978" i="1" s="1"/>
  <c r="P978" i="1"/>
  <c r="K978" i="1"/>
  <c r="J978" i="1"/>
  <c r="A978" i="1"/>
  <c r="W977" i="1"/>
  <c r="Z977" i="1" s="1"/>
  <c r="P977" i="1"/>
  <c r="K977" i="1"/>
  <c r="J977" i="1"/>
  <c r="A977" i="1"/>
  <c r="W997" i="1" l="1"/>
  <c r="Z997" i="1" s="1"/>
  <c r="W984" i="1"/>
  <c r="Z984" i="1" s="1"/>
  <c r="P997" i="1"/>
  <c r="W123" i="2" l="1"/>
  <c r="Z123" i="2" s="1"/>
  <c r="P123" i="2"/>
  <c r="K123" i="2"/>
  <c r="J123" i="2"/>
  <c r="A123" i="2"/>
  <c r="A124" i="2"/>
  <c r="J124" i="2"/>
  <c r="K124" i="2"/>
  <c r="P124" i="2"/>
  <c r="W124" i="2"/>
  <c r="Z124" i="2" s="1"/>
  <c r="W122" i="2"/>
  <c r="Z122" i="2" s="1"/>
  <c r="P122" i="2"/>
  <c r="K122" i="2"/>
  <c r="J122" i="2"/>
  <c r="A122" i="2"/>
  <c r="W119" i="2" l="1"/>
  <c r="Z119" i="2" s="1"/>
  <c r="P119" i="2"/>
  <c r="K119" i="2"/>
  <c r="J119" i="2"/>
  <c r="A119" i="2"/>
  <c r="W121" i="2"/>
  <c r="Z121" i="2" s="1"/>
  <c r="P121" i="2"/>
  <c r="K121" i="2"/>
  <c r="J121" i="2"/>
  <c r="A121" i="2"/>
  <c r="W120" i="2"/>
  <c r="Z120" i="2" s="1"/>
  <c r="P120" i="2"/>
  <c r="K120" i="2"/>
  <c r="J120" i="2"/>
  <c r="A120" i="2"/>
  <c r="W975" i="1"/>
  <c r="Z975" i="1" s="1"/>
  <c r="P975" i="1"/>
  <c r="K975" i="1"/>
  <c r="J975" i="1"/>
  <c r="A975" i="1"/>
  <c r="W967" i="1"/>
  <c r="Z967" i="1" s="1"/>
  <c r="P967" i="1"/>
  <c r="K967" i="1"/>
  <c r="J967" i="1"/>
  <c r="A967" i="1"/>
  <c r="W952" i="1"/>
  <c r="Z952" i="1" s="1"/>
  <c r="P952" i="1"/>
  <c r="K952" i="1"/>
  <c r="J952" i="1"/>
  <c r="A952" i="1"/>
  <c r="W951" i="1"/>
  <c r="Z951" i="1" s="1"/>
  <c r="P951" i="1"/>
  <c r="K951" i="1"/>
  <c r="J951" i="1"/>
  <c r="A951" i="1"/>
  <c r="A976" i="1"/>
  <c r="J976" i="1"/>
  <c r="K976" i="1"/>
  <c r="P976" i="1"/>
  <c r="W976" i="1"/>
  <c r="Z976" i="1" s="1"/>
  <c r="W974" i="1"/>
  <c r="Z974" i="1" s="1"/>
  <c r="P974" i="1"/>
  <c r="K974" i="1"/>
  <c r="J974" i="1"/>
  <c r="A974" i="1"/>
  <c r="A973" i="1"/>
  <c r="J973" i="1"/>
  <c r="K973" i="1"/>
  <c r="P973" i="1"/>
  <c r="W973" i="1"/>
  <c r="Z973" i="1" s="1"/>
  <c r="W972" i="1"/>
  <c r="Z972" i="1" s="1"/>
  <c r="P972" i="1"/>
  <c r="K972" i="1"/>
  <c r="J972" i="1"/>
  <c r="A972" i="1"/>
  <c r="S971" i="1"/>
  <c r="M971" i="1"/>
  <c r="P971" i="1" s="1"/>
  <c r="K971" i="1"/>
  <c r="J971" i="1"/>
  <c r="A971" i="1"/>
  <c r="W143" i="3"/>
  <c r="Z143" i="3" s="1"/>
  <c r="P143" i="3"/>
  <c r="K143" i="3"/>
  <c r="J143" i="3"/>
  <c r="A143" i="3"/>
  <c r="W142" i="3"/>
  <c r="Z142" i="3" s="1"/>
  <c r="P142" i="3"/>
  <c r="K142" i="3"/>
  <c r="J142" i="3"/>
  <c r="A142" i="3"/>
  <c r="A970" i="1"/>
  <c r="J970" i="1"/>
  <c r="K970" i="1"/>
  <c r="P970" i="1"/>
  <c r="W970" i="1"/>
  <c r="Z970" i="1" s="1"/>
  <c r="A141" i="3"/>
  <c r="J141" i="3"/>
  <c r="K141" i="3"/>
  <c r="P141" i="3"/>
  <c r="W141" i="3"/>
  <c r="Z141" i="3" s="1"/>
  <c r="A140" i="3"/>
  <c r="J140" i="3"/>
  <c r="K140" i="3"/>
  <c r="P140" i="3"/>
  <c r="W140" i="3"/>
  <c r="Z140" i="3" s="1"/>
  <c r="A969" i="1"/>
  <c r="J969" i="1"/>
  <c r="K969" i="1"/>
  <c r="P969" i="1"/>
  <c r="W969" i="1"/>
  <c r="Z969" i="1" s="1"/>
  <c r="W968" i="1"/>
  <c r="Z968" i="1" s="1"/>
  <c r="P968" i="1"/>
  <c r="K968" i="1"/>
  <c r="J968" i="1"/>
  <c r="A968" i="1"/>
  <c r="A966" i="1"/>
  <c r="J966" i="1"/>
  <c r="K966" i="1"/>
  <c r="P966" i="1"/>
  <c r="W966" i="1"/>
  <c r="Z966" i="1" s="1"/>
  <c r="W965" i="1"/>
  <c r="Z965" i="1" s="1"/>
  <c r="P965" i="1"/>
  <c r="K965" i="1"/>
  <c r="J965" i="1"/>
  <c r="A965" i="1"/>
  <c r="W964" i="1"/>
  <c r="Z964" i="1" s="1"/>
  <c r="P964" i="1"/>
  <c r="K964" i="1"/>
  <c r="J964" i="1"/>
  <c r="A964" i="1"/>
  <c r="A963" i="1"/>
  <c r="J963" i="1"/>
  <c r="K963" i="1"/>
  <c r="P963" i="1"/>
  <c r="W963" i="1"/>
  <c r="Z963" i="1" s="1"/>
  <c r="W962" i="1"/>
  <c r="Z962" i="1" s="1"/>
  <c r="P962" i="1"/>
  <c r="K962" i="1"/>
  <c r="J962" i="1"/>
  <c r="A962" i="1"/>
  <c r="W961" i="1"/>
  <c r="Z961" i="1" s="1"/>
  <c r="P961" i="1"/>
  <c r="K961" i="1"/>
  <c r="J961" i="1"/>
  <c r="A961" i="1"/>
  <c r="S960" i="1"/>
  <c r="M960" i="1"/>
  <c r="K960" i="1"/>
  <c r="J960" i="1"/>
  <c r="A960" i="1"/>
  <c r="A959" i="1"/>
  <c r="J959" i="1"/>
  <c r="K959" i="1"/>
  <c r="P959" i="1"/>
  <c r="W959" i="1"/>
  <c r="Z959" i="1" s="1"/>
  <c r="W958" i="1"/>
  <c r="Z958" i="1" s="1"/>
  <c r="P958" i="1"/>
  <c r="K958" i="1"/>
  <c r="J958" i="1"/>
  <c r="A958" i="1"/>
  <c r="W957" i="1"/>
  <c r="Z957" i="1" s="1"/>
  <c r="P957" i="1"/>
  <c r="K957" i="1"/>
  <c r="J957" i="1"/>
  <c r="A957" i="1"/>
  <c r="W956" i="1"/>
  <c r="Z956" i="1" s="1"/>
  <c r="P956" i="1"/>
  <c r="K956" i="1"/>
  <c r="J956" i="1"/>
  <c r="A956" i="1"/>
  <c r="A955" i="1"/>
  <c r="J955" i="1"/>
  <c r="K955" i="1"/>
  <c r="P955" i="1"/>
  <c r="W955" i="1"/>
  <c r="Z955" i="1" s="1"/>
  <c r="W954" i="1"/>
  <c r="Z954" i="1" s="1"/>
  <c r="P954" i="1"/>
  <c r="K954" i="1"/>
  <c r="J954" i="1"/>
  <c r="A954" i="1"/>
  <c r="W953" i="1"/>
  <c r="Z953" i="1" s="1"/>
  <c r="P953" i="1"/>
  <c r="K953" i="1"/>
  <c r="J953" i="1"/>
  <c r="A953" i="1"/>
  <c r="W971" i="1" l="1"/>
  <c r="Z971" i="1" s="1"/>
  <c r="W960" i="1"/>
  <c r="Z960" i="1" s="1"/>
  <c r="P960" i="1"/>
  <c r="W116" i="2" l="1"/>
  <c r="Z116" i="2" s="1"/>
  <c r="P116" i="2"/>
  <c r="K116" i="2"/>
  <c r="J116" i="2"/>
  <c r="A116" i="2"/>
  <c r="W117" i="2"/>
  <c r="Z117" i="2" s="1"/>
  <c r="P117" i="2"/>
  <c r="K117" i="2"/>
  <c r="J117" i="2"/>
  <c r="A117" i="2"/>
  <c r="W118" i="2"/>
  <c r="Z118" i="2" s="1"/>
  <c r="P118" i="2"/>
  <c r="K118" i="2"/>
  <c r="J118" i="2"/>
  <c r="A118" i="2"/>
  <c r="W950" i="1"/>
  <c r="Z950" i="1" s="1"/>
  <c r="P950" i="1"/>
  <c r="K950" i="1"/>
  <c r="J950" i="1"/>
  <c r="A950" i="1"/>
  <c r="W949" i="1"/>
  <c r="Z949" i="1" s="1"/>
  <c r="P949" i="1"/>
  <c r="K949" i="1"/>
  <c r="J949" i="1"/>
  <c r="A949" i="1"/>
  <c r="W138" i="3"/>
  <c r="Z138" i="3" s="1"/>
  <c r="P138" i="3"/>
  <c r="K138" i="3"/>
  <c r="J138" i="3"/>
  <c r="A138" i="3"/>
  <c r="W139" i="3"/>
  <c r="Z139" i="3" s="1"/>
  <c r="P139" i="3"/>
  <c r="K139" i="3"/>
  <c r="J139" i="3"/>
  <c r="A139" i="3"/>
  <c r="W948" i="1"/>
  <c r="Z948" i="1" s="1"/>
  <c r="P948" i="1"/>
  <c r="K948" i="1"/>
  <c r="J948" i="1"/>
  <c r="A948" i="1"/>
  <c r="A137" i="3"/>
  <c r="J137" i="3"/>
  <c r="K137" i="3"/>
  <c r="P137" i="3"/>
  <c r="W137" i="3"/>
  <c r="Z137" i="3" s="1"/>
  <c r="W134" i="3"/>
  <c r="Z134" i="3" s="1"/>
  <c r="P134" i="3"/>
  <c r="K134" i="3"/>
  <c r="J134" i="3"/>
  <c r="A134" i="3"/>
  <c r="W133" i="3"/>
  <c r="Z133" i="3" s="1"/>
  <c r="P133" i="3"/>
  <c r="K133" i="3"/>
  <c r="J133" i="3"/>
  <c r="A133" i="3"/>
  <c r="W131" i="3"/>
  <c r="Z131" i="3" s="1"/>
  <c r="P131" i="3"/>
  <c r="K131" i="3"/>
  <c r="J131" i="3"/>
  <c r="A131" i="3"/>
  <c r="W130" i="3"/>
  <c r="Z130" i="3" s="1"/>
  <c r="P130" i="3"/>
  <c r="K130" i="3"/>
  <c r="J130" i="3"/>
  <c r="A130" i="3"/>
  <c r="A136" i="3"/>
  <c r="J136" i="3"/>
  <c r="K136" i="3"/>
  <c r="P136" i="3"/>
  <c r="W136" i="3"/>
  <c r="Z136" i="3" s="1"/>
  <c r="W947" i="1"/>
  <c r="Z947" i="1" s="1"/>
  <c r="P947" i="1"/>
  <c r="K947" i="1"/>
  <c r="J947" i="1"/>
  <c r="A947" i="1"/>
  <c r="W946" i="1"/>
  <c r="Z946" i="1" s="1"/>
  <c r="P946" i="1"/>
  <c r="K946" i="1"/>
  <c r="J946" i="1"/>
  <c r="A946" i="1"/>
  <c r="A135" i="3"/>
  <c r="J135" i="3"/>
  <c r="K135" i="3"/>
  <c r="P135" i="3"/>
  <c r="W135" i="3"/>
  <c r="Z135" i="3" s="1"/>
  <c r="A132" i="3"/>
  <c r="J132" i="3"/>
  <c r="K132" i="3"/>
  <c r="P132" i="3"/>
  <c r="W132" i="3"/>
  <c r="Z132" i="3" s="1"/>
  <c r="A129" i="3"/>
  <c r="J129" i="3"/>
  <c r="K129" i="3"/>
  <c r="P129" i="3"/>
  <c r="W129" i="3"/>
  <c r="Z129" i="3" s="1"/>
  <c r="W128" i="3"/>
  <c r="Z128" i="3" s="1"/>
  <c r="P128" i="3"/>
  <c r="K128" i="3"/>
  <c r="J128" i="3"/>
  <c r="A128" i="3"/>
  <c r="A115" i="2"/>
  <c r="J115" i="2"/>
  <c r="K115" i="2"/>
  <c r="P115" i="2"/>
  <c r="W115" i="2"/>
  <c r="Z115" i="2" s="1"/>
  <c r="W114" i="2"/>
  <c r="Z114" i="2" s="1"/>
  <c r="P114" i="2"/>
  <c r="K114" i="2"/>
  <c r="J114" i="2"/>
  <c r="A114" i="2"/>
  <c r="W945" i="1"/>
  <c r="Z945" i="1" s="1"/>
  <c r="P945" i="1"/>
  <c r="K945" i="1"/>
  <c r="J945" i="1"/>
  <c r="A945" i="1"/>
  <c r="W944" i="1"/>
  <c r="Z944" i="1" s="1"/>
  <c r="P944" i="1"/>
  <c r="K944" i="1"/>
  <c r="J944" i="1"/>
  <c r="A944" i="1"/>
  <c r="S943" i="1"/>
  <c r="M943" i="1"/>
  <c r="P943" i="1" s="1"/>
  <c r="K943" i="1"/>
  <c r="J943" i="1"/>
  <c r="A943" i="1"/>
  <c r="M942" i="1"/>
  <c r="P942" i="1" s="1"/>
  <c r="S942" i="1"/>
  <c r="K942" i="1"/>
  <c r="J942" i="1"/>
  <c r="A942" i="1"/>
  <c r="W941" i="1"/>
  <c r="Z941" i="1" s="1"/>
  <c r="P941" i="1"/>
  <c r="K941" i="1"/>
  <c r="J941" i="1"/>
  <c r="A941" i="1"/>
  <c r="A940" i="1"/>
  <c r="J940" i="1"/>
  <c r="K940" i="1"/>
  <c r="P940" i="1"/>
  <c r="W940" i="1"/>
  <c r="Z940" i="1" s="1"/>
  <c r="W939" i="1"/>
  <c r="Z939" i="1" s="1"/>
  <c r="P939" i="1"/>
  <c r="K939" i="1"/>
  <c r="J939" i="1"/>
  <c r="A939" i="1"/>
  <c r="W938" i="1"/>
  <c r="Z938" i="1" s="1"/>
  <c r="P938" i="1"/>
  <c r="K938" i="1"/>
  <c r="J938" i="1"/>
  <c r="A938" i="1"/>
  <c r="A937" i="1"/>
  <c r="J937" i="1"/>
  <c r="K937" i="1"/>
  <c r="P937" i="1"/>
  <c r="W937" i="1"/>
  <c r="Z937" i="1" s="1"/>
  <c r="A127" i="3"/>
  <c r="J127" i="3"/>
  <c r="K127" i="3"/>
  <c r="P127" i="3"/>
  <c r="W127" i="3"/>
  <c r="Z127" i="3" s="1"/>
  <c r="W126" i="3"/>
  <c r="Z126" i="3" s="1"/>
  <c r="P126" i="3"/>
  <c r="K126" i="3"/>
  <c r="J126" i="3"/>
  <c r="A126" i="3"/>
  <c r="A125" i="3"/>
  <c r="J125" i="3"/>
  <c r="K125" i="3"/>
  <c r="P125" i="3"/>
  <c r="W125" i="3"/>
  <c r="Z125" i="3" s="1"/>
  <c r="W936" i="1"/>
  <c r="Z936" i="1" s="1"/>
  <c r="P936" i="1"/>
  <c r="K936" i="1"/>
  <c r="J936" i="1"/>
  <c r="A936" i="1"/>
  <c r="W935" i="1"/>
  <c r="Z935" i="1" s="1"/>
  <c r="P935" i="1"/>
  <c r="K935" i="1"/>
  <c r="J935" i="1"/>
  <c r="A935" i="1"/>
  <c r="A934" i="1"/>
  <c r="J934" i="1"/>
  <c r="K934" i="1"/>
  <c r="P934" i="1"/>
  <c r="W934" i="1"/>
  <c r="Z934" i="1" s="1"/>
  <c r="W933" i="1"/>
  <c r="Z933" i="1" s="1"/>
  <c r="P933" i="1"/>
  <c r="K933" i="1"/>
  <c r="J933" i="1"/>
  <c r="A933" i="1"/>
  <c r="W932" i="1"/>
  <c r="Z932" i="1" s="1"/>
  <c r="P932" i="1"/>
  <c r="K932" i="1"/>
  <c r="J932" i="1"/>
  <c r="A932" i="1"/>
  <c r="W931" i="1"/>
  <c r="Z931" i="1" s="1"/>
  <c r="P931" i="1"/>
  <c r="K931" i="1"/>
  <c r="J931" i="1"/>
  <c r="A931" i="1"/>
  <c r="W930" i="1"/>
  <c r="Z930" i="1" s="1"/>
  <c r="P930" i="1"/>
  <c r="K930" i="1"/>
  <c r="J930" i="1"/>
  <c r="A930" i="1"/>
  <c r="W943" i="1" l="1"/>
  <c r="Z943" i="1" s="1"/>
  <c r="W942" i="1"/>
  <c r="Z942" i="1" s="1"/>
  <c r="W113" i="2" l="1"/>
  <c r="Z113" i="2" s="1"/>
  <c r="P113" i="2"/>
  <c r="K113" i="2"/>
  <c r="J113" i="2"/>
  <c r="A113" i="2"/>
  <c r="W112" i="2"/>
  <c r="Z112" i="2" s="1"/>
  <c r="P112" i="2"/>
  <c r="K112" i="2"/>
  <c r="J112" i="2"/>
  <c r="A112" i="2"/>
  <c r="A110" i="2"/>
  <c r="J110" i="2"/>
  <c r="K110" i="2"/>
  <c r="P110" i="2"/>
  <c r="W110" i="2"/>
  <c r="Z110" i="2" s="1"/>
  <c r="W108" i="2"/>
  <c r="Z108" i="2" s="1"/>
  <c r="P108" i="2"/>
  <c r="K108" i="2"/>
  <c r="J108" i="2"/>
  <c r="A108" i="2"/>
  <c r="W109" i="2"/>
  <c r="Z109" i="2" s="1"/>
  <c r="P109" i="2"/>
  <c r="K109" i="2"/>
  <c r="J109" i="2"/>
  <c r="A109" i="2"/>
  <c r="S929" i="1" l="1"/>
  <c r="M929" i="1"/>
  <c r="P929" i="1" s="1"/>
  <c r="K929" i="1"/>
  <c r="J929" i="1"/>
  <c r="A929" i="1"/>
  <c r="W928" i="1"/>
  <c r="Z928" i="1" s="1"/>
  <c r="P928" i="1"/>
  <c r="K928" i="1"/>
  <c r="J928" i="1"/>
  <c r="A928" i="1"/>
  <c r="W927" i="1"/>
  <c r="Z927" i="1" s="1"/>
  <c r="P927" i="1"/>
  <c r="K927" i="1"/>
  <c r="J927" i="1"/>
  <c r="A927" i="1"/>
  <c r="W926" i="1"/>
  <c r="Z926" i="1" s="1"/>
  <c r="P926" i="1"/>
  <c r="K926" i="1"/>
  <c r="J926" i="1"/>
  <c r="A926" i="1"/>
  <c r="W925" i="1"/>
  <c r="Z925" i="1" s="1"/>
  <c r="P925" i="1"/>
  <c r="K925" i="1"/>
  <c r="J925" i="1"/>
  <c r="A925" i="1"/>
  <c r="W924" i="1"/>
  <c r="Z924" i="1" s="1"/>
  <c r="P924" i="1"/>
  <c r="K924" i="1"/>
  <c r="J924" i="1"/>
  <c r="A924" i="1"/>
  <c r="W923" i="1"/>
  <c r="Z923" i="1" s="1"/>
  <c r="P923" i="1"/>
  <c r="K923" i="1"/>
  <c r="J923" i="1"/>
  <c r="A923" i="1"/>
  <c r="W922" i="1"/>
  <c r="Z922" i="1" s="1"/>
  <c r="P922" i="1"/>
  <c r="K922" i="1"/>
  <c r="J922" i="1"/>
  <c r="A922" i="1"/>
  <c r="W921" i="1"/>
  <c r="Z921" i="1" s="1"/>
  <c r="P921" i="1"/>
  <c r="K921" i="1"/>
  <c r="J921" i="1"/>
  <c r="A921" i="1"/>
  <c r="W920" i="1"/>
  <c r="Z920" i="1" s="1"/>
  <c r="P920" i="1"/>
  <c r="K920" i="1"/>
  <c r="J920" i="1"/>
  <c r="A920" i="1"/>
  <c r="W919" i="1"/>
  <c r="Z919" i="1" s="1"/>
  <c r="P919" i="1"/>
  <c r="K919" i="1"/>
  <c r="J919" i="1"/>
  <c r="A919" i="1"/>
  <c r="W918" i="1"/>
  <c r="Z918" i="1" s="1"/>
  <c r="P918" i="1"/>
  <c r="K918" i="1"/>
  <c r="J918" i="1"/>
  <c r="A918" i="1"/>
  <c r="W917" i="1"/>
  <c r="Z917" i="1" s="1"/>
  <c r="P917" i="1"/>
  <c r="K917" i="1"/>
  <c r="J917" i="1"/>
  <c r="A917" i="1"/>
  <c r="W916" i="1"/>
  <c r="Z916" i="1" s="1"/>
  <c r="P916" i="1"/>
  <c r="K916" i="1"/>
  <c r="J916" i="1"/>
  <c r="A916" i="1"/>
  <c r="W915" i="1"/>
  <c r="Z915" i="1" s="1"/>
  <c r="P915" i="1"/>
  <c r="K915" i="1"/>
  <c r="J915" i="1"/>
  <c r="A915" i="1"/>
  <c r="W914" i="1"/>
  <c r="Z914" i="1" s="1"/>
  <c r="P914" i="1"/>
  <c r="K914" i="1"/>
  <c r="J914" i="1"/>
  <c r="A914" i="1"/>
  <c r="W913" i="1"/>
  <c r="Z913" i="1" s="1"/>
  <c r="P913" i="1"/>
  <c r="K913" i="1"/>
  <c r="J913" i="1"/>
  <c r="A913" i="1"/>
  <c r="W912" i="1"/>
  <c r="Z912" i="1" s="1"/>
  <c r="P912" i="1"/>
  <c r="K912" i="1"/>
  <c r="J912" i="1"/>
  <c r="A912" i="1"/>
  <c r="W911" i="1"/>
  <c r="Z911" i="1" s="1"/>
  <c r="P911" i="1"/>
  <c r="K911" i="1"/>
  <c r="J911" i="1"/>
  <c r="A911" i="1"/>
  <c r="W910" i="1"/>
  <c r="Z910" i="1" s="1"/>
  <c r="P910" i="1"/>
  <c r="K910" i="1"/>
  <c r="J910" i="1"/>
  <c r="A910" i="1"/>
  <c r="W909" i="1"/>
  <c r="Z909" i="1" s="1"/>
  <c r="P909" i="1"/>
  <c r="K909" i="1"/>
  <c r="J909" i="1"/>
  <c r="A909" i="1"/>
  <c r="W908" i="1"/>
  <c r="Z908" i="1" s="1"/>
  <c r="P908" i="1"/>
  <c r="K908" i="1"/>
  <c r="J908" i="1"/>
  <c r="A908" i="1"/>
  <c r="W907" i="1"/>
  <c r="Z907" i="1" s="1"/>
  <c r="P907" i="1"/>
  <c r="K907" i="1"/>
  <c r="J907" i="1"/>
  <c r="A907" i="1"/>
  <c r="W906" i="1"/>
  <c r="Z906" i="1" s="1"/>
  <c r="P906" i="1"/>
  <c r="K906" i="1"/>
  <c r="J906" i="1"/>
  <c r="A906" i="1"/>
  <c r="W905" i="1"/>
  <c r="Z905" i="1" s="1"/>
  <c r="P905" i="1"/>
  <c r="K905" i="1"/>
  <c r="J905" i="1"/>
  <c r="A905" i="1"/>
  <c r="W904" i="1"/>
  <c r="Z904" i="1" s="1"/>
  <c r="P904" i="1"/>
  <c r="K904" i="1"/>
  <c r="J904" i="1"/>
  <c r="A904" i="1"/>
  <c r="W903" i="1"/>
  <c r="Z903" i="1" s="1"/>
  <c r="P903" i="1"/>
  <c r="K903" i="1"/>
  <c r="J903" i="1"/>
  <c r="A903" i="1"/>
  <c r="W902" i="1"/>
  <c r="Z902" i="1" s="1"/>
  <c r="P902" i="1"/>
  <c r="K902" i="1"/>
  <c r="J902" i="1"/>
  <c r="A902" i="1"/>
  <c r="W111" i="2"/>
  <c r="Z111" i="2" s="1"/>
  <c r="P111" i="2"/>
  <c r="K111" i="2"/>
  <c r="J111" i="2"/>
  <c r="A111" i="2"/>
  <c r="W901" i="1"/>
  <c r="Z901" i="1" s="1"/>
  <c r="P901" i="1"/>
  <c r="K901" i="1"/>
  <c r="J901" i="1"/>
  <c r="A901" i="1"/>
  <c r="W107" i="2"/>
  <c r="Z107" i="2" s="1"/>
  <c r="P107" i="2"/>
  <c r="K107" i="2"/>
  <c r="J107" i="2"/>
  <c r="A107" i="2"/>
  <c r="W106" i="2"/>
  <c r="Z106" i="2" s="1"/>
  <c r="P106" i="2"/>
  <c r="K106" i="2"/>
  <c r="J106" i="2"/>
  <c r="A106" i="2"/>
  <c r="W929" i="1" l="1"/>
  <c r="Z929" i="1" s="1"/>
  <c r="W105" i="2"/>
  <c r="Z105" i="2" s="1"/>
  <c r="P105" i="2"/>
  <c r="K105" i="2"/>
  <c r="J105" i="2"/>
  <c r="A105" i="2"/>
  <c r="W896" i="1"/>
  <c r="Z896" i="1" s="1"/>
  <c r="P896" i="1"/>
  <c r="K896" i="1"/>
  <c r="J896" i="1"/>
  <c r="A896" i="1"/>
  <c r="W895" i="1"/>
  <c r="Z895" i="1" s="1"/>
  <c r="P895" i="1"/>
  <c r="K895" i="1"/>
  <c r="J895" i="1"/>
  <c r="A895" i="1"/>
  <c r="W894" i="1"/>
  <c r="Z894" i="1" s="1"/>
  <c r="P894" i="1"/>
  <c r="K894" i="1"/>
  <c r="J894" i="1"/>
  <c r="A894" i="1"/>
  <c r="W900" i="1"/>
  <c r="Z900" i="1" s="1"/>
  <c r="P900" i="1"/>
  <c r="K900" i="1"/>
  <c r="J900" i="1"/>
  <c r="A900" i="1"/>
  <c r="W899" i="1"/>
  <c r="Z899" i="1" s="1"/>
  <c r="P899" i="1"/>
  <c r="K899" i="1"/>
  <c r="J899" i="1"/>
  <c r="A899" i="1"/>
  <c r="A898" i="1"/>
  <c r="J898" i="1"/>
  <c r="K898" i="1"/>
  <c r="P898" i="1"/>
  <c r="W898" i="1"/>
  <c r="Z898" i="1" s="1"/>
  <c r="A897" i="1"/>
  <c r="J897" i="1"/>
  <c r="K897" i="1"/>
  <c r="P897" i="1"/>
  <c r="W897" i="1"/>
  <c r="Z897" i="1" s="1"/>
  <c r="A893" i="1"/>
  <c r="J893" i="1"/>
  <c r="K893" i="1"/>
  <c r="P893" i="1"/>
  <c r="W893" i="1"/>
  <c r="Z893" i="1" s="1"/>
  <c r="W892" i="1"/>
  <c r="Z892" i="1" s="1"/>
  <c r="P892" i="1"/>
  <c r="K892" i="1"/>
  <c r="J892" i="1"/>
  <c r="A892" i="1"/>
  <c r="W891" i="1"/>
  <c r="Z891" i="1" s="1"/>
  <c r="P891" i="1"/>
  <c r="K891" i="1"/>
  <c r="J891" i="1"/>
  <c r="A891" i="1"/>
  <c r="W890" i="1"/>
  <c r="Z890" i="1" s="1"/>
  <c r="P890" i="1"/>
  <c r="K890" i="1"/>
  <c r="J890" i="1"/>
  <c r="A890" i="1"/>
  <c r="W889" i="1"/>
  <c r="Z889" i="1" s="1"/>
  <c r="P889" i="1"/>
  <c r="K889" i="1"/>
  <c r="J889" i="1"/>
  <c r="A889" i="1"/>
  <c r="A888" i="1"/>
  <c r="J888" i="1"/>
  <c r="K888" i="1"/>
  <c r="P888" i="1"/>
  <c r="W888" i="1"/>
  <c r="Z888" i="1" s="1"/>
  <c r="W887" i="1"/>
  <c r="Z887" i="1" s="1"/>
  <c r="P887" i="1"/>
  <c r="K887" i="1"/>
  <c r="J887" i="1"/>
  <c r="A887" i="1"/>
  <c r="W104" i="2"/>
  <c r="Z104" i="2" s="1"/>
  <c r="P104" i="2"/>
  <c r="K104" i="2"/>
  <c r="J104" i="2"/>
  <c r="A104" i="2"/>
  <c r="W886" i="1"/>
  <c r="Z886" i="1" s="1"/>
  <c r="P886" i="1"/>
  <c r="K886" i="1"/>
  <c r="J886" i="1"/>
  <c r="A886" i="1"/>
  <c r="A103" i="2"/>
  <c r="J103" i="2"/>
  <c r="K103" i="2"/>
  <c r="P103" i="2"/>
  <c r="W103" i="2"/>
  <c r="Z103" i="2" s="1"/>
  <c r="W885" i="1"/>
  <c r="Z885" i="1" s="1"/>
  <c r="P885" i="1"/>
  <c r="K885" i="1"/>
  <c r="J885" i="1"/>
  <c r="A885" i="1"/>
  <c r="S884" i="1"/>
  <c r="M884" i="1"/>
  <c r="P884" i="1" s="1"/>
  <c r="A884" i="1"/>
  <c r="J884" i="1"/>
  <c r="K884" i="1"/>
  <c r="W883" i="1"/>
  <c r="Z883" i="1" s="1"/>
  <c r="P883" i="1"/>
  <c r="K883" i="1"/>
  <c r="J883" i="1"/>
  <c r="A883" i="1"/>
  <c r="W882" i="1"/>
  <c r="Z882" i="1" s="1"/>
  <c r="P882" i="1"/>
  <c r="K882" i="1"/>
  <c r="J882" i="1"/>
  <c r="A882" i="1"/>
  <c r="W881" i="1"/>
  <c r="Z881" i="1" s="1"/>
  <c r="P881" i="1"/>
  <c r="K881" i="1"/>
  <c r="J881" i="1"/>
  <c r="A881" i="1"/>
  <c r="W884" i="1" l="1"/>
  <c r="Z884" i="1" s="1"/>
  <c r="A6" i="5"/>
  <c r="J6" i="5"/>
  <c r="K6" i="5"/>
  <c r="P6" i="5"/>
  <c r="Z6" i="5"/>
  <c r="A5" i="5"/>
  <c r="J5" i="5"/>
  <c r="K5" i="5"/>
  <c r="P5" i="5"/>
  <c r="Z5" i="5"/>
  <c r="A4" i="5"/>
  <c r="J4" i="5"/>
  <c r="K4" i="5"/>
  <c r="P4" i="5"/>
  <c r="Z4" i="5"/>
  <c r="W99" i="2" l="1"/>
  <c r="Z99" i="2" s="1"/>
  <c r="P99" i="2"/>
  <c r="K99" i="2"/>
  <c r="J99" i="2"/>
  <c r="A99" i="2"/>
  <c r="W100" i="2"/>
  <c r="Z100" i="2" s="1"/>
  <c r="P100" i="2"/>
  <c r="K100" i="2"/>
  <c r="J100" i="2"/>
  <c r="A100" i="2"/>
  <c r="A102" i="2" l="1"/>
  <c r="J102" i="2"/>
  <c r="K102" i="2"/>
  <c r="P102" i="2"/>
  <c r="W102" i="2"/>
  <c r="Z102" i="2" s="1"/>
  <c r="W101" i="2"/>
  <c r="Z101" i="2" s="1"/>
  <c r="P101" i="2"/>
  <c r="K101" i="2"/>
  <c r="J101" i="2"/>
  <c r="A101" i="2"/>
  <c r="W865" i="1"/>
  <c r="Z865" i="1" s="1"/>
  <c r="P865" i="1"/>
  <c r="K865" i="1"/>
  <c r="J865" i="1"/>
  <c r="A865" i="1"/>
  <c r="W880" i="1"/>
  <c r="Z880" i="1" s="1"/>
  <c r="P880" i="1"/>
  <c r="K880" i="1"/>
  <c r="J880" i="1"/>
  <c r="A880" i="1"/>
  <c r="S879" i="1"/>
  <c r="M879" i="1"/>
  <c r="K879" i="1"/>
  <c r="J879" i="1"/>
  <c r="A879" i="1"/>
  <c r="W878" i="1"/>
  <c r="Z878" i="1" s="1"/>
  <c r="P878" i="1"/>
  <c r="K878" i="1"/>
  <c r="J878" i="1"/>
  <c r="A878" i="1"/>
  <c r="A877" i="1"/>
  <c r="J877" i="1"/>
  <c r="K877" i="1"/>
  <c r="P877" i="1"/>
  <c r="W877" i="1"/>
  <c r="Z877" i="1" s="1"/>
  <c r="W876" i="1"/>
  <c r="Z876" i="1" s="1"/>
  <c r="P876" i="1"/>
  <c r="K876" i="1"/>
  <c r="J876" i="1"/>
  <c r="A876" i="1"/>
  <c r="W875" i="1"/>
  <c r="Z875" i="1" s="1"/>
  <c r="P875" i="1"/>
  <c r="K875" i="1"/>
  <c r="J875" i="1"/>
  <c r="A875" i="1"/>
  <c r="W874" i="1"/>
  <c r="Z874" i="1" s="1"/>
  <c r="P874" i="1"/>
  <c r="K874" i="1"/>
  <c r="J874" i="1"/>
  <c r="A874" i="1"/>
  <c r="W860" i="1"/>
  <c r="Z860" i="1" s="1"/>
  <c r="P860" i="1"/>
  <c r="K860" i="1"/>
  <c r="J860" i="1"/>
  <c r="A860" i="1"/>
  <c r="W873" i="1"/>
  <c r="Z873" i="1" s="1"/>
  <c r="P873" i="1"/>
  <c r="K873" i="1"/>
  <c r="J873" i="1"/>
  <c r="A873" i="1"/>
  <c r="W872" i="1"/>
  <c r="Z872" i="1" s="1"/>
  <c r="P872" i="1"/>
  <c r="K872" i="1"/>
  <c r="J872" i="1"/>
  <c r="A872" i="1"/>
  <c r="W871" i="1"/>
  <c r="Z871" i="1" s="1"/>
  <c r="P871" i="1"/>
  <c r="K871" i="1"/>
  <c r="J871" i="1"/>
  <c r="A871" i="1"/>
  <c r="W870" i="1"/>
  <c r="Z870" i="1" s="1"/>
  <c r="P870" i="1"/>
  <c r="K870" i="1"/>
  <c r="J870" i="1"/>
  <c r="A870" i="1"/>
  <c r="W869" i="1"/>
  <c r="Z869" i="1" s="1"/>
  <c r="P869" i="1"/>
  <c r="K869" i="1"/>
  <c r="J869" i="1"/>
  <c r="A869" i="1"/>
  <c r="W868" i="1"/>
  <c r="Z868" i="1" s="1"/>
  <c r="P868" i="1"/>
  <c r="K868" i="1"/>
  <c r="J868" i="1"/>
  <c r="A868" i="1"/>
  <c r="W867" i="1"/>
  <c r="Z867" i="1" s="1"/>
  <c r="P867" i="1"/>
  <c r="K867" i="1"/>
  <c r="J867" i="1"/>
  <c r="A867" i="1"/>
  <c r="W866" i="1"/>
  <c r="Z866" i="1" s="1"/>
  <c r="P866" i="1"/>
  <c r="K866" i="1"/>
  <c r="J866" i="1"/>
  <c r="A866" i="1"/>
  <c r="W864" i="1"/>
  <c r="Z864" i="1" s="1"/>
  <c r="P864" i="1"/>
  <c r="K864" i="1"/>
  <c r="J864" i="1"/>
  <c r="A864" i="1"/>
  <c r="A863" i="1"/>
  <c r="J863" i="1"/>
  <c r="K863" i="1"/>
  <c r="P863" i="1"/>
  <c r="W863" i="1"/>
  <c r="Z863" i="1" s="1"/>
  <c r="W862" i="1"/>
  <c r="Z862" i="1" s="1"/>
  <c r="P862" i="1"/>
  <c r="K862" i="1"/>
  <c r="J862" i="1"/>
  <c r="A862" i="1"/>
  <c r="A861" i="1"/>
  <c r="J861" i="1"/>
  <c r="K861" i="1"/>
  <c r="P861" i="1"/>
  <c r="W861" i="1"/>
  <c r="Z861" i="1" s="1"/>
  <c r="A859" i="1"/>
  <c r="J859" i="1"/>
  <c r="K859" i="1"/>
  <c r="P859" i="1"/>
  <c r="W859" i="1"/>
  <c r="Z859" i="1" s="1"/>
  <c r="W858" i="1"/>
  <c r="Z858" i="1" s="1"/>
  <c r="P858" i="1"/>
  <c r="K858" i="1"/>
  <c r="J858" i="1"/>
  <c r="A858" i="1"/>
  <c r="W879" i="1" l="1"/>
  <c r="Z879" i="1" s="1"/>
  <c r="P879" i="1"/>
  <c r="W787" i="1" l="1"/>
  <c r="Z787" i="1" s="1"/>
  <c r="P787" i="1"/>
  <c r="K787" i="1"/>
  <c r="J787" i="1"/>
  <c r="A787" i="1"/>
  <c r="W98" i="2" l="1"/>
  <c r="Z98" i="2" s="1"/>
  <c r="P98" i="2"/>
  <c r="K98" i="2"/>
  <c r="J98" i="2"/>
  <c r="A98" i="2"/>
  <c r="A97" i="2"/>
  <c r="J97" i="2"/>
  <c r="K97" i="2"/>
  <c r="P97" i="2"/>
  <c r="W97" i="2"/>
  <c r="Z97" i="2" s="1"/>
  <c r="W96" i="2"/>
  <c r="Z96" i="2" s="1"/>
  <c r="P96" i="2"/>
  <c r="K96" i="2"/>
  <c r="J96" i="2"/>
  <c r="A96" i="2"/>
  <c r="W855" i="1"/>
  <c r="Z855" i="1" s="1"/>
  <c r="P855" i="1"/>
  <c r="K855" i="1"/>
  <c r="J855" i="1"/>
  <c r="A855" i="1"/>
  <c r="W851" i="1"/>
  <c r="Z851" i="1" s="1"/>
  <c r="P851" i="1"/>
  <c r="K851" i="1"/>
  <c r="J851" i="1"/>
  <c r="A851" i="1"/>
  <c r="A857" i="1"/>
  <c r="J857" i="1"/>
  <c r="K857" i="1"/>
  <c r="P857" i="1"/>
  <c r="W857" i="1"/>
  <c r="Z857" i="1" s="1"/>
  <c r="W856" i="1"/>
  <c r="Z856" i="1" s="1"/>
  <c r="P856" i="1"/>
  <c r="K856" i="1"/>
  <c r="J856" i="1"/>
  <c r="A856" i="1"/>
  <c r="A854" i="1"/>
  <c r="J854" i="1"/>
  <c r="K854" i="1"/>
  <c r="P854" i="1"/>
  <c r="W854" i="1"/>
  <c r="Z854" i="1" s="1"/>
  <c r="W853" i="1"/>
  <c r="Z853" i="1" s="1"/>
  <c r="P853" i="1"/>
  <c r="K853" i="1"/>
  <c r="J853" i="1"/>
  <c r="A853" i="1"/>
  <c r="W852" i="1"/>
  <c r="Z852" i="1" s="1"/>
  <c r="P852" i="1"/>
  <c r="K852" i="1"/>
  <c r="J852" i="1"/>
  <c r="A852" i="1"/>
  <c r="W850" i="1"/>
  <c r="Z850" i="1" s="1"/>
  <c r="P850" i="1"/>
  <c r="K850" i="1"/>
  <c r="J850" i="1"/>
  <c r="A850" i="1"/>
  <c r="W849" i="1"/>
  <c r="Z849" i="1" s="1"/>
  <c r="P849" i="1"/>
  <c r="K849" i="1"/>
  <c r="J849" i="1"/>
  <c r="A849" i="1"/>
  <c r="A848" i="1"/>
  <c r="J848" i="1"/>
  <c r="K848" i="1"/>
  <c r="P848" i="1"/>
  <c r="W848" i="1"/>
  <c r="Z848" i="1" s="1"/>
  <c r="A847" i="1"/>
  <c r="J847" i="1"/>
  <c r="K847" i="1"/>
  <c r="P847" i="1"/>
  <c r="W847" i="1"/>
  <c r="Z847" i="1" s="1"/>
  <c r="W846" i="1"/>
  <c r="Z846" i="1" s="1"/>
  <c r="P846" i="1"/>
  <c r="K846" i="1"/>
  <c r="J846" i="1"/>
  <c r="A846" i="1"/>
  <c r="W845" i="1"/>
  <c r="Z845" i="1" s="1"/>
  <c r="P845" i="1"/>
  <c r="K845" i="1"/>
  <c r="J845" i="1"/>
  <c r="A845" i="1"/>
  <c r="A844" i="1"/>
  <c r="J844" i="1"/>
  <c r="K844" i="1"/>
  <c r="P844" i="1"/>
  <c r="W844" i="1"/>
  <c r="Z844" i="1" s="1"/>
  <c r="W843" i="1"/>
  <c r="Z843" i="1" s="1"/>
  <c r="P843" i="1"/>
  <c r="K843" i="1"/>
  <c r="J843" i="1"/>
  <c r="A843" i="1"/>
  <c r="W124" i="3"/>
  <c r="Z124" i="3" s="1"/>
  <c r="P124" i="3"/>
  <c r="K124" i="3"/>
  <c r="J124" i="3"/>
  <c r="A124" i="3"/>
  <c r="W123" i="3"/>
  <c r="Z123" i="3" s="1"/>
  <c r="P123" i="3"/>
  <c r="K123" i="3"/>
  <c r="J123" i="3"/>
  <c r="A123" i="3"/>
  <c r="A842" i="1"/>
  <c r="J842" i="1"/>
  <c r="K842" i="1"/>
  <c r="P842" i="1"/>
  <c r="W842" i="1"/>
  <c r="Z842" i="1" s="1"/>
  <c r="W122" i="3"/>
  <c r="Z122" i="3" s="1"/>
  <c r="P122" i="3"/>
  <c r="K122" i="3"/>
  <c r="J122" i="3"/>
  <c r="A122" i="3"/>
  <c r="W95" i="2" l="1"/>
  <c r="Z95" i="2" s="1"/>
  <c r="P95" i="2"/>
  <c r="K95" i="2"/>
  <c r="J95" i="2"/>
  <c r="A95" i="2"/>
  <c r="W94" i="2"/>
  <c r="Z94" i="2" s="1"/>
  <c r="P94" i="2"/>
  <c r="K94" i="2"/>
  <c r="J94" i="2"/>
  <c r="A94" i="2"/>
  <c r="W841" i="1"/>
  <c r="Z841" i="1" s="1"/>
  <c r="P841" i="1"/>
  <c r="K841" i="1"/>
  <c r="J841" i="1"/>
  <c r="A841" i="1"/>
  <c r="W840" i="1"/>
  <c r="Z840" i="1" s="1"/>
  <c r="P840" i="1"/>
  <c r="K840" i="1"/>
  <c r="J840" i="1"/>
  <c r="A840" i="1"/>
  <c r="W839" i="1"/>
  <c r="Z839" i="1" s="1"/>
  <c r="P839" i="1"/>
  <c r="K839" i="1"/>
  <c r="J839" i="1"/>
  <c r="A839" i="1"/>
  <c r="W838" i="1"/>
  <c r="Z838" i="1" s="1"/>
  <c r="P838" i="1"/>
  <c r="K838" i="1"/>
  <c r="J838" i="1"/>
  <c r="A838" i="1"/>
  <c r="W837" i="1"/>
  <c r="Z837" i="1" s="1"/>
  <c r="P837" i="1"/>
  <c r="K837" i="1"/>
  <c r="J837" i="1"/>
  <c r="A837" i="1"/>
  <c r="A836" i="1"/>
  <c r="J836" i="1"/>
  <c r="K836" i="1"/>
  <c r="P836" i="1"/>
  <c r="W836" i="1"/>
  <c r="Z836" i="1" s="1"/>
  <c r="A835" i="1"/>
  <c r="J835" i="1"/>
  <c r="K835" i="1"/>
  <c r="P835" i="1"/>
  <c r="W835" i="1"/>
  <c r="Z835" i="1" s="1"/>
  <c r="W834" i="1"/>
  <c r="Z834" i="1" s="1"/>
  <c r="P834" i="1"/>
  <c r="K834" i="1"/>
  <c r="J834" i="1"/>
  <c r="A834" i="1"/>
  <c r="W833" i="1"/>
  <c r="Z833" i="1" s="1"/>
  <c r="P833" i="1"/>
  <c r="K833" i="1"/>
  <c r="J833" i="1"/>
  <c r="A833" i="1"/>
  <c r="W832" i="1"/>
  <c r="Z832" i="1" s="1"/>
  <c r="P832" i="1"/>
  <c r="K832" i="1"/>
  <c r="J832" i="1"/>
  <c r="A832" i="1"/>
  <c r="W831" i="1"/>
  <c r="Z831" i="1" s="1"/>
  <c r="P831" i="1"/>
  <c r="K831" i="1"/>
  <c r="J831" i="1"/>
  <c r="A831" i="1"/>
  <c r="W830" i="1"/>
  <c r="Z830" i="1" s="1"/>
  <c r="P830" i="1"/>
  <c r="K830" i="1"/>
  <c r="J830" i="1"/>
  <c r="A830" i="1"/>
  <c r="W829" i="1"/>
  <c r="Z829" i="1" s="1"/>
  <c r="P829" i="1"/>
  <c r="K829" i="1"/>
  <c r="J829" i="1"/>
  <c r="A829" i="1"/>
  <c r="W828" i="1"/>
  <c r="Z828" i="1" s="1"/>
  <c r="P828" i="1"/>
  <c r="K828" i="1"/>
  <c r="J828" i="1"/>
  <c r="A828" i="1"/>
  <c r="W827" i="1"/>
  <c r="Z827" i="1" s="1"/>
  <c r="P827" i="1"/>
  <c r="K827" i="1"/>
  <c r="J827" i="1"/>
  <c r="A827" i="1"/>
  <c r="W826" i="1"/>
  <c r="Z826" i="1" s="1"/>
  <c r="P826" i="1"/>
  <c r="K826" i="1"/>
  <c r="J826" i="1"/>
  <c r="A826" i="1"/>
  <c r="W825" i="1"/>
  <c r="Z825" i="1" s="1"/>
  <c r="P825" i="1"/>
  <c r="K825" i="1"/>
  <c r="J825" i="1"/>
  <c r="A825" i="1"/>
  <c r="W121" i="3"/>
  <c r="Z121" i="3" s="1"/>
  <c r="P121" i="3"/>
  <c r="K121" i="3"/>
  <c r="J121" i="3"/>
  <c r="A121" i="3"/>
  <c r="W120" i="3"/>
  <c r="Z120" i="3" s="1"/>
  <c r="P120" i="3"/>
  <c r="K120" i="3"/>
  <c r="J120" i="3"/>
  <c r="A120" i="3"/>
  <c r="W119" i="3"/>
  <c r="Z119" i="3" s="1"/>
  <c r="P119" i="3"/>
  <c r="K119" i="3"/>
  <c r="J119" i="3"/>
  <c r="A119" i="3"/>
  <c r="A824" i="1"/>
  <c r="J824" i="1"/>
  <c r="K824" i="1"/>
  <c r="P824" i="1"/>
  <c r="W824" i="1"/>
  <c r="Z824" i="1" s="1"/>
  <c r="W823" i="1"/>
  <c r="Z823" i="1" s="1"/>
  <c r="P823" i="1"/>
  <c r="K823" i="1"/>
  <c r="J823" i="1"/>
  <c r="A823" i="1"/>
  <c r="W118" i="3"/>
  <c r="Z118" i="3" s="1"/>
  <c r="P118" i="3"/>
  <c r="K118" i="3"/>
  <c r="J118" i="3"/>
  <c r="A118" i="3"/>
  <c r="W822" i="1"/>
  <c r="Z822" i="1" s="1"/>
  <c r="P822" i="1"/>
  <c r="K822" i="1"/>
  <c r="J822" i="1"/>
  <c r="A822" i="1"/>
  <c r="W821" i="1"/>
  <c r="Z821" i="1" s="1"/>
  <c r="P821" i="1"/>
  <c r="K821" i="1"/>
  <c r="J821" i="1"/>
  <c r="A821" i="1"/>
  <c r="W820" i="1"/>
  <c r="Z820" i="1" s="1"/>
  <c r="P820" i="1"/>
  <c r="K820" i="1"/>
  <c r="J820" i="1"/>
  <c r="A820" i="1"/>
  <c r="W819" i="1"/>
  <c r="Z819" i="1" s="1"/>
  <c r="P819" i="1"/>
  <c r="K819" i="1"/>
  <c r="J819" i="1"/>
  <c r="A819" i="1"/>
  <c r="W818" i="1"/>
  <c r="Z818" i="1" s="1"/>
  <c r="P818" i="1"/>
  <c r="K818" i="1"/>
  <c r="J818" i="1"/>
  <c r="A818" i="1"/>
  <c r="W817" i="1"/>
  <c r="Z817" i="1" s="1"/>
  <c r="P817" i="1"/>
  <c r="K817" i="1"/>
  <c r="J817" i="1"/>
  <c r="A817" i="1"/>
  <c r="W816" i="1"/>
  <c r="Z816" i="1" s="1"/>
  <c r="P816" i="1"/>
  <c r="K816" i="1"/>
  <c r="J816" i="1"/>
  <c r="A816" i="1"/>
  <c r="W815" i="1"/>
  <c r="Z815" i="1" s="1"/>
  <c r="P815" i="1"/>
  <c r="K815" i="1"/>
  <c r="J815" i="1"/>
  <c r="A815" i="1"/>
  <c r="W93" i="2"/>
  <c r="Z93" i="2" s="1"/>
  <c r="P93" i="2"/>
  <c r="K93" i="2"/>
  <c r="J93" i="2"/>
  <c r="A93" i="2"/>
  <c r="W89" i="2"/>
  <c r="Z89" i="2" s="1"/>
  <c r="P89" i="2"/>
  <c r="K89" i="2"/>
  <c r="J89" i="2"/>
  <c r="A89" i="2"/>
  <c r="W92" i="2" l="1"/>
  <c r="Z92" i="2" s="1"/>
  <c r="P92" i="2"/>
  <c r="K92" i="2"/>
  <c r="J92" i="2"/>
  <c r="A92" i="2"/>
  <c r="W91" i="2"/>
  <c r="Z91" i="2" s="1"/>
  <c r="P91" i="2"/>
  <c r="K91" i="2"/>
  <c r="J91" i="2"/>
  <c r="A91" i="2"/>
  <c r="W90" i="2"/>
  <c r="Z90" i="2" s="1"/>
  <c r="P90" i="2"/>
  <c r="K90" i="2"/>
  <c r="J90" i="2"/>
  <c r="A90" i="2"/>
  <c r="W794" i="1" l="1"/>
  <c r="Z794" i="1" s="1"/>
  <c r="P794" i="1"/>
  <c r="K794" i="1"/>
  <c r="J794" i="1"/>
  <c r="A794" i="1"/>
  <c r="W800" i="1"/>
  <c r="Z800" i="1" s="1"/>
  <c r="P800" i="1"/>
  <c r="K800" i="1"/>
  <c r="J800" i="1"/>
  <c r="A800" i="1"/>
  <c r="A814" i="1"/>
  <c r="J814" i="1"/>
  <c r="K814" i="1"/>
  <c r="P814" i="1"/>
  <c r="W814" i="1"/>
  <c r="Z814" i="1" s="1"/>
  <c r="W813" i="1"/>
  <c r="Z813" i="1" s="1"/>
  <c r="P813" i="1"/>
  <c r="K813" i="1"/>
  <c r="J813" i="1"/>
  <c r="A813" i="1"/>
  <c r="W812" i="1"/>
  <c r="Z812" i="1" s="1"/>
  <c r="P812" i="1"/>
  <c r="K812" i="1"/>
  <c r="J812" i="1"/>
  <c r="A812" i="1"/>
  <c r="W811" i="1"/>
  <c r="Z811" i="1" s="1"/>
  <c r="P811" i="1"/>
  <c r="K811" i="1"/>
  <c r="J811" i="1"/>
  <c r="A811" i="1"/>
  <c r="W810" i="1"/>
  <c r="Z810" i="1" s="1"/>
  <c r="P810" i="1"/>
  <c r="K810" i="1"/>
  <c r="J810" i="1"/>
  <c r="A810" i="1"/>
  <c r="W809" i="1"/>
  <c r="Z809" i="1" s="1"/>
  <c r="P809" i="1"/>
  <c r="K809" i="1"/>
  <c r="J809" i="1"/>
  <c r="A809" i="1"/>
  <c r="P808" i="1"/>
  <c r="W808" i="1"/>
  <c r="Z808" i="1" s="1"/>
  <c r="K808" i="1"/>
  <c r="J808" i="1"/>
  <c r="A808" i="1"/>
  <c r="W807" i="1"/>
  <c r="Z807" i="1" s="1"/>
  <c r="P807" i="1"/>
  <c r="K807" i="1"/>
  <c r="J807" i="1"/>
  <c r="A807" i="1"/>
  <c r="W806" i="1"/>
  <c r="Z806" i="1" s="1"/>
  <c r="P806" i="1"/>
  <c r="K806" i="1"/>
  <c r="J806" i="1"/>
  <c r="A806" i="1"/>
  <c r="W805" i="1"/>
  <c r="Z805" i="1" s="1"/>
  <c r="P805" i="1"/>
  <c r="K805" i="1"/>
  <c r="J805" i="1"/>
  <c r="A805" i="1"/>
  <c r="W804" i="1"/>
  <c r="Z804" i="1" s="1"/>
  <c r="P804" i="1"/>
  <c r="K804" i="1"/>
  <c r="J804" i="1"/>
  <c r="A804" i="1"/>
  <c r="W803" i="1"/>
  <c r="Z803" i="1" s="1"/>
  <c r="P803" i="1"/>
  <c r="K803" i="1"/>
  <c r="J803" i="1"/>
  <c r="A803" i="1"/>
  <c r="W802" i="1"/>
  <c r="Z802" i="1" s="1"/>
  <c r="P802" i="1"/>
  <c r="K802" i="1"/>
  <c r="J802" i="1"/>
  <c r="A802" i="1"/>
  <c r="W801" i="1"/>
  <c r="Z801" i="1" s="1"/>
  <c r="P801" i="1"/>
  <c r="K801" i="1"/>
  <c r="J801" i="1"/>
  <c r="A801" i="1"/>
  <c r="W799" i="1"/>
  <c r="Z799" i="1" s="1"/>
  <c r="P799" i="1"/>
  <c r="K799" i="1"/>
  <c r="J799" i="1"/>
  <c r="A799" i="1"/>
  <c r="W798" i="1"/>
  <c r="Z798" i="1" s="1"/>
  <c r="P798" i="1"/>
  <c r="K798" i="1"/>
  <c r="J798" i="1"/>
  <c r="A798" i="1"/>
  <c r="A117" i="3"/>
  <c r="J117" i="3"/>
  <c r="K117" i="3"/>
  <c r="P117" i="3"/>
  <c r="W117" i="3"/>
  <c r="Z117" i="3" s="1"/>
  <c r="A116" i="3"/>
  <c r="J116" i="3"/>
  <c r="K116" i="3"/>
  <c r="P116" i="3"/>
  <c r="W116" i="3"/>
  <c r="Z116" i="3" s="1"/>
  <c r="A115" i="3"/>
  <c r="J115" i="3"/>
  <c r="K115" i="3"/>
  <c r="P115" i="3"/>
  <c r="W115" i="3"/>
  <c r="Z115" i="3" s="1"/>
  <c r="A114" i="3"/>
  <c r="J114" i="3"/>
  <c r="K114" i="3"/>
  <c r="P114" i="3"/>
  <c r="W114" i="3"/>
  <c r="Z114" i="3" s="1"/>
  <c r="A113" i="3"/>
  <c r="J113" i="3"/>
  <c r="K113" i="3"/>
  <c r="P113" i="3"/>
  <c r="W113" i="3"/>
  <c r="Z113" i="3" s="1"/>
  <c r="W797" i="1"/>
  <c r="Z797" i="1" s="1"/>
  <c r="P797" i="1"/>
  <c r="K797" i="1"/>
  <c r="J797" i="1"/>
  <c r="A797" i="1"/>
  <c r="W796" i="1"/>
  <c r="Z796" i="1" s="1"/>
  <c r="P796" i="1"/>
  <c r="K796" i="1"/>
  <c r="J796" i="1"/>
  <c r="A796" i="1"/>
  <c r="W795" i="1"/>
  <c r="Z795" i="1" s="1"/>
  <c r="P795" i="1"/>
  <c r="K795" i="1"/>
  <c r="J795" i="1"/>
  <c r="A795" i="1"/>
  <c r="W793" i="1"/>
  <c r="Z793" i="1" s="1"/>
  <c r="P793" i="1"/>
  <c r="K793" i="1"/>
  <c r="J793" i="1"/>
  <c r="A793" i="1"/>
  <c r="W792" i="1"/>
  <c r="Z792" i="1" s="1"/>
  <c r="P792" i="1"/>
  <c r="K792" i="1"/>
  <c r="J792" i="1"/>
  <c r="A792" i="1"/>
  <c r="A791" i="1"/>
  <c r="J791" i="1"/>
  <c r="K791" i="1"/>
  <c r="P791" i="1"/>
  <c r="W791" i="1"/>
  <c r="Z791" i="1" s="1"/>
  <c r="W790" i="1"/>
  <c r="Z790" i="1" s="1"/>
  <c r="P790" i="1"/>
  <c r="K790" i="1"/>
  <c r="J790" i="1"/>
  <c r="A790" i="1"/>
  <c r="W789" i="1"/>
  <c r="Z789" i="1" s="1"/>
  <c r="P789" i="1"/>
  <c r="K789" i="1"/>
  <c r="J789" i="1"/>
  <c r="A789" i="1"/>
  <c r="W88" i="2"/>
  <c r="Z88" i="2" s="1"/>
  <c r="P88" i="2"/>
  <c r="K88" i="2"/>
  <c r="J88" i="2"/>
  <c r="A88" i="2"/>
  <c r="W87" i="2"/>
  <c r="Z87" i="2" s="1"/>
  <c r="P87" i="2"/>
  <c r="K87" i="2"/>
  <c r="J87" i="2"/>
  <c r="A87" i="2"/>
  <c r="W781" i="1"/>
  <c r="Z781" i="1" s="1"/>
  <c r="P781" i="1"/>
  <c r="K781" i="1"/>
  <c r="J781" i="1"/>
  <c r="A781" i="1"/>
  <c r="W780" i="1"/>
  <c r="Z780" i="1" s="1"/>
  <c r="P780" i="1"/>
  <c r="K780" i="1"/>
  <c r="J780" i="1"/>
  <c r="A780" i="1"/>
  <c r="W779" i="1"/>
  <c r="Z779" i="1" s="1"/>
  <c r="P779" i="1"/>
  <c r="K779" i="1"/>
  <c r="J779" i="1"/>
  <c r="A779" i="1"/>
  <c r="W778" i="1"/>
  <c r="Z778" i="1" s="1"/>
  <c r="P778" i="1"/>
  <c r="K778" i="1"/>
  <c r="J778" i="1"/>
  <c r="A778" i="1"/>
  <c r="W777" i="1"/>
  <c r="Z777" i="1" s="1"/>
  <c r="P777" i="1"/>
  <c r="K777" i="1"/>
  <c r="J777" i="1"/>
  <c r="A777" i="1"/>
  <c r="W83" i="2"/>
  <c r="Z83" i="2" s="1"/>
  <c r="P83" i="2"/>
  <c r="K83" i="2"/>
  <c r="J83" i="2"/>
  <c r="A83" i="2"/>
  <c r="A86" i="2"/>
  <c r="J86" i="2"/>
  <c r="K86" i="2"/>
  <c r="P86" i="2"/>
  <c r="W86" i="2"/>
  <c r="Z86" i="2" s="1"/>
  <c r="W85" i="2"/>
  <c r="Z85" i="2" s="1"/>
  <c r="P85" i="2"/>
  <c r="K85" i="2"/>
  <c r="J85" i="2"/>
  <c r="A85" i="2"/>
  <c r="W84" i="2"/>
  <c r="Z84" i="2" s="1"/>
  <c r="P84" i="2"/>
  <c r="K84" i="2"/>
  <c r="J84" i="2"/>
  <c r="A84" i="2"/>
  <c r="W112" i="3"/>
  <c r="Z112" i="3" s="1"/>
  <c r="P112" i="3"/>
  <c r="K112" i="3"/>
  <c r="J112" i="3"/>
  <c r="A112" i="3"/>
  <c r="A788" i="1"/>
  <c r="J788" i="1"/>
  <c r="K788" i="1"/>
  <c r="P788" i="1"/>
  <c r="W788" i="1"/>
  <c r="Z788" i="1" s="1"/>
  <c r="A786" i="1"/>
  <c r="J786" i="1"/>
  <c r="K786" i="1"/>
  <c r="P786" i="1"/>
  <c r="W786" i="1"/>
  <c r="Z786" i="1" s="1"/>
  <c r="A111" i="3"/>
  <c r="J111" i="3"/>
  <c r="K111" i="3"/>
  <c r="P111" i="3"/>
  <c r="W111" i="3"/>
  <c r="Z111" i="3" s="1"/>
  <c r="A110" i="3"/>
  <c r="J110" i="3"/>
  <c r="K110" i="3"/>
  <c r="P110" i="3"/>
  <c r="W110" i="3"/>
  <c r="Z110" i="3" s="1"/>
  <c r="P105" i="3"/>
  <c r="P109" i="3"/>
  <c r="W109" i="3"/>
  <c r="Z109" i="3" s="1"/>
  <c r="K109" i="3"/>
  <c r="J109" i="3"/>
  <c r="A109" i="3"/>
  <c r="A108" i="3"/>
  <c r="J108" i="3"/>
  <c r="K108" i="3"/>
  <c r="P108" i="3"/>
  <c r="W108" i="3"/>
  <c r="Z108" i="3" s="1"/>
  <c r="W785" i="1"/>
  <c r="Z785" i="1" s="1"/>
  <c r="P785" i="1"/>
  <c r="K785" i="1"/>
  <c r="J785" i="1"/>
  <c r="A785" i="1"/>
  <c r="W784" i="1"/>
  <c r="Z784" i="1" s="1"/>
  <c r="P784" i="1"/>
  <c r="K784" i="1"/>
  <c r="J784" i="1"/>
  <c r="A784" i="1"/>
  <c r="W783" i="1"/>
  <c r="Z783" i="1" s="1"/>
  <c r="P783" i="1"/>
  <c r="K783" i="1"/>
  <c r="J783" i="1"/>
  <c r="A783" i="1"/>
  <c r="A782" i="1"/>
  <c r="W782" i="1"/>
  <c r="Z782" i="1" s="1"/>
  <c r="P782" i="1"/>
  <c r="K782" i="1"/>
  <c r="J782" i="1"/>
  <c r="W776" i="1"/>
  <c r="Z776" i="1" s="1"/>
  <c r="P776" i="1"/>
  <c r="K776" i="1"/>
  <c r="J776" i="1"/>
  <c r="A776" i="1"/>
  <c r="W775" i="1"/>
  <c r="Z775" i="1" s="1"/>
  <c r="P775" i="1"/>
  <c r="K775" i="1"/>
  <c r="J775" i="1"/>
  <c r="A775" i="1"/>
  <c r="W774" i="1"/>
  <c r="Z774" i="1" s="1"/>
  <c r="P774" i="1"/>
  <c r="K774" i="1"/>
  <c r="J774" i="1"/>
  <c r="A774" i="1"/>
  <c r="W773" i="1"/>
  <c r="Z773" i="1" s="1"/>
  <c r="P773" i="1"/>
  <c r="K773" i="1"/>
  <c r="J773" i="1"/>
  <c r="A773" i="1"/>
  <c r="W772" i="1"/>
  <c r="Z772" i="1" s="1"/>
  <c r="P772" i="1"/>
  <c r="K772" i="1"/>
  <c r="J772" i="1"/>
  <c r="A772" i="1"/>
  <c r="W771" i="1"/>
  <c r="Z771" i="1" s="1"/>
  <c r="P771" i="1"/>
  <c r="K771" i="1"/>
  <c r="J771" i="1"/>
  <c r="A771" i="1"/>
  <c r="W770" i="1"/>
  <c r="Z770" i="1" s="1"/>
  <c r="P770" i="1"/>
  <c r="K770" i="1"/>
  <c r="J770" i="1"/>
  <c r="A770" i="1"/>
  <c r="W769" i="1"/>
  <c r="Z769" i="1" s="1"/>
  <c r="P769" i="1"/>
  <c r="K769" i="1"/>
  <c r="J769" i="1"/>
  <c r="A769" i="1"/>
  <c r="W768" i="1"/>
  <c r="Z768" i="1" s="1"/>
  <c r="P768" i="1"/>
  <c r="K768" i="1"/>
  <c r="J768" i="1"/>
  <c r="A768" i="1"/>
  <c r="W767" i="1"/>
  <c r="Z767" i="1" s="1"/>
  <c r="P767" i="1"/>
  <c r="K767" i="1"/>
  <c r="J767" i="1"/>
  <c r="A767" i="1"/>
  <c r="W766" i="1"/>
  <c r="Z766" i="1" s="1"/>
  <c r="P766" i="1"/>
  <c r="K766" i="1"/>
  <c r="J766" i="1"/>
  <c r="A766" i="1"/>
  <c r="W765" i="1"/>
  <c r="Z765" i="1" s="1"/>
  <c r="P765" i="1"/>
  <c r="K765" i="1"/>
  <c r="J765" i="1"/>
  <c r="A765" i="1"/>
  <c r="Z3" i="5" l="1"/>
  <c r="P3" i="5"/>
  <c r="K3" i="5"/>
  <c r="J3" i="5"/>
  <c r="A3" i="5"/>
  <c r="W82" i="2" l="1"/>
  <c r="Z82" i="2" s="1"/>
  <c r="P82" i="2"/>
  <c r="K82" i="2"/>
  <c r="J82" i="2"/>
  <c r="A82" i="2"/>
  <c r="W81" i="2"/>
  <c r="Z81" i="2" s="1"/>
  <c r="P81" i="2"/>
  <c r="K81" i="2"/>
  <c r="J81" i="2"/>
  <c r="A81" i="2"/>
  <c r="W80" i="2"/>
  <c r="Z80" i="2" s="1"/>
  <c r="P80" i="2"/>
  <c r="K80" i="2"/>
  <c r="J80" i="2"/>
  <c r="A80" i="2"/>
  <c r="W764" i="1"/>
  <c r="Z764" i="1" s="1"/>
  <c r="P764" i="1"/>
  <c r="K764" i="1"/>
  <c r="J764" i="1"/>
  <c r="A764" i="1"/>
  <c r="A763" i="1"/>
  <c r="J763" i="1"/>
  <c r="K763" i="1"/>
  <c r="P763" i="1"/>
  <c r="W763" i="1"/>
  <c r="Z763" i="1" s="1"/>
  <c r="W762" i="1"/>
  <c r="Z762" i="1" s="1"/>
  <c r="P762" i="1"/>
  <c r="K762" i="1"/>
  <c r="J762" i="1"/>
  <c r="A762" i="1"/>
  <c r="W761" i="1"/>
  <c r="Z761" i="1" s="1"/>
  <c r="P761" i="1"/>
  <c r="K761" i="1"/>
  <c r="J761" i="1"/>
  <c r="A761" i="1"/>
  <c r="W760" i="1"/>
  <c r="Z760" i="1" s="1"/>
  <c r="P760" i="1"/>
  <c r="K760" i="1"/>
  <c r="J760" i="1"/>
  <c r="A760" i="1"/>
  <c r="W759" i="1"/>
  <c r="Z759" i="1" s="1"/>
  <c r="P759" i="1"/>
  <c r="K759" i="1"/>
  <c r="J759" i="1"/>
  <c r="A759" i="1"/>
  <c r="W758" i="1"/>
  <c r="Z758" i="1" s="1"/>
  <c r="P758" i="1"/>
  <c r="K758" i="1"/>
  <c r="J758" i="1"/>
  <c r="A758" i="1"/>
  <c r="W757" i="1"/>
  <c r="Z757" i="1" s="1"/>
  <c r="P757" i="1"/>
  <c r="K757" i="1"/>
  <c r="J757" i="1"/>
  <c r="A757" i="1"/>
  <c r="W756" i="1"/>
  <c r="Z756" i="1" s="1"/>
  <c r="P756" i="1"/>
  <c r="K756" i="1"/>
  <c r="J756" i="1"/>
  <c r="A756" i="1"/>
  <c r="A755" i="1"/>
  <c r="J755" i="1"/>
  <c r="K755" i="1"/>
  <c r="P755" i="1"/>
  <c r="W755" i="1"/>
  <c r="Z755" i="1" s="1"/>
  <c r="A754" i="1"/>
  <c r="J754" i="1"/>
  <c r="K754" i="1"/>
  <c r="P754" i="1"/>
  <c r="W754" i="1"/>
  <c r="Z754" i="1" s="1"/>
  <c r="W753" i="1"/>
  <c r="Z753" i="1" s="1"/>
  <c r="P753" i="1"/>
  <c r="K753" i="1"/>
  <c r="J753" i="1"/>
  <c r="A753" i="1"/>
  <c r="W752" i="1"/>
  <c r="Z752" i="1" s="1"/>
  <c r="P752" i="1"/>
  <c r="K752" i="1"/>
  <c r="J752" i="1"/>
  <c r="A752" i="1"/>
  <c r="W751" i="1"/>
  <c r="Z751" i="1" s="1"/>
  <c r="P751" i="1"/>
  <c r="K751" i="1"/>
  <c r="J751" i="1"/>
  <c r="A751" i="1"/>
  <c r="W750" i="1"/>
  <c r="Z750" i="1" s="1"/>
  <c r="P750" i="1"/>
  <c r="K750" i="1"/>
  <c r="J750" i="1"/>
  <c r="A750" i="1"/>
  <c r="W749" i="1"/>
  <c r="Z749" i="1" s="1"/>
  <c r="P749" i="1"/>
  <c r="K749" i="1"/>
  <c r="J749" i="1"/>
  <c r="A749" i="1"/>
  <c r="A748" i="1"/>
  <c r="J748" i="1"/>
  <c r="K748" i="1"/>
  <c r="P748" i="1"/>
  <c r="W748" i="1"/>
  <c r="Z748" i="1" s="1"/>
  <c r="W747" i="1"/>
  <c r="Z747" i="1" s="1"/>
  <c r="P747" i="1"/>
  <c r="K747" i="1"/>
  <c r="J747" i="1"/>
  <c r="A747" i="1"/>
  <c r="W746" i="1"/>
  <c r="Z746" i="1" s="1"/>
  <c r="P746" i="1"/>
  <c r="K746" i="1"/>
  <c r="J746" i="1"/>
  <c r="A746" i="1"/>
  <c r="W745" i="1"/>
  <c r="Z745" i="1" s="1"/>
  <c r="P745" i="1"/>
  <c r="K745" i="1"/>
  <c r="J745" i="1"/>
  <c r="A745" i="1"/>
  <c r="W744" i="1"/>
  <c r="Z744" i="1" s="1"/>
  <c r="P744" i="1"/>
  <c r="K744" i="1"/>
  <c r="J744" i="1"/>
  <c r="A744" i="1"/>
  <c r="W79" i="2"/>
  <c r="Z79" i="2" s="1"/>
  <c r="P79" i="2"/>
  <c r="K79" i="2"/>
  <c r="J79" i="2"/>
  <c r="A79" i="2"/>
  <c r="W743" i="1" l="1"/>
  <c r="Z743" i="1" s="1"/>
  <c r="P743" i="1"/>
  <c r="K743" i="1"/>
  <c r="J743" i="1"/>
  <c r="A743" i="1"/>
  <c r="A741" i="1"/>
  <c r="J741" i="1"/>
  <c r="K741" i="1"/>
  <c r="P741" i="1"/>
  <c r="W741" i="1"/>
  <c r="Z741" i="1" s="1"/>
  <c r="A728" i="1"/>
  <c r="J728" i="1"/>
  <c r="K728" i="1"/>
  <c r="P728" i="1"/>
  <c r="W728" i="1"/>
  <c r="Z728" i="1" s="1"/>
  <c r="W78" i="2"/>
  <c r="Z78" i="2" s="1"/>
  <c r="P78" i="2"/>
  <c r="K78" i="2"/>
  <c r="J78" i="2"/>
  <c r="A78" i="2"/>
  <c r="W106" i="3" l="1"/>
  <c r="Z106" i="3" s="1"/>
  <c r="P106" i="3"/>
  <c r="K106" i="3"/>
  <c r="J106" i="3"/>
  <c r="A106" i="3"/>
  <c r="W105" i="3"/>
  <c r="Z105" i="3" s="1"/>
  <c r="K105" i="3"/>
  <c r="J105" i="3"/>
  <c r="A105" i="3"/>
  <c r="W104" i="3"/>
  <c r="Z104" i="3" s="1"/>
  <c r="P104" i="3"/>
  <c r="K104" i="3"/>
  <c r="J104" i="3"/>
  <c r="A104" i="3"/>
  <c r="W742" i="1"/>
  <c r="Z742" i="1" s="1"/>
  <c r="P742" i="1"/>
  <c r="K742" i="1"/>
  <c r="J742" i="1"/>
  <c r="A742" i="1"/>
  <c r="W731" i="1"/>
  <c r="Z731" i="1" s="1"/>
  <c r="P731" i="1"/>
  <c r="K731" i="1"/>
  <c r="J731" i="1"/>
  <c r="A731" i="1"/>
  <c r="W729" i="1"/>
  <c r="Z729" i="1" s="1"/>
  <c r="P729" i="1"/>
  <c r="K729" i="1"/>
  <c r="J729" i="1"/>
  <c r="A729" i="1"/>
  <c r="W727" i="1"/>
  <c r="Z727" i="1" s="1"/>
  <c r="P727" i="1"/>
  <c r="K727" i="1"/>
  <c r="J727" i="1"/>
  <c r="A727" i="1"/>
  <c r="W725" i="1"/>
  <c r="Z725" i="1" s="1"/>
  <c r="P725" i="1"/>
  <c r="K725" i="1"/>
  <c r="J725" i="1"/>
  <c r="A725" i="1"/>
  <c r="W720" i="1"/>
  <c r="Z720" i="1" s="1"/>
  <c r="P720" i="1"/>
  <c r="K720" i="1"/>
  <c r="J720" i="1"/>
  <c r="A720" i="1"/>
  <c r="W718" i="1"/>
  <c r="Z718" i="1" s="1"/>
  <c r="P718" i="1"/>
  <c r="K718" i="1"/>
  <c r="J718" i="1"/>
  <c r="A718" i="1"/>
  <c r="W717" i="1"/>
  <c r="Z717" i="1" s="1"/>
  <c r="P717" i="1"/>
  <c r="K717" i="1"/>
  <c r="J717" i="1"/>
  <c r="A717" i="1"/>
  <c r="W713" i="1"/>
  <c r="Z713" i="1" s="1"/>
  <c r="P713" i="1"/>
  <c r="K713" i="1"/>
  <c r="J713" i="1"/>
  <c r="A713" i="1"/>
  <c r="W724" i="1"/>
  <c r="Z724" i="1" s="1"/>
  <c r="P724" i="1"/>
  <c r="K724" i="1"/>
  <c r="J724" i="1"/>
  <c r="A724" i="1"/>
  <c r="W77" i="2"/>
  <c r="Z77" i="2" s="1"/>
  <c r="K77" i="2"/>
  <c r="J77" i="2"/>
  <c r="A77" i="2"/>
  <c r="W740" i="1"/>
  <c r="Z740" i="1" s="1"/>
  <c r="P740" i="1"/>
  <c r="K740" i="1"/>
  <c r="J740" i="1"/>
  <c r="A740" i="1"/>
  <c r="A739" i="1"/>
  <c r="J739" i="1"/>
  <c r="K739" i="1"/>
  <c r="P739" i="1"/>
  <c r="W739" i="1"/>
  <c r="Z739" i="1" s="1"/>
  <c r="W738" i="1"/>
  <c r="Z738" i="1" s="1"/>
  <c r="P738" i="1"/>
  <c r="K738" i="1"/>
  <c r="J738" i="1"/>
  <c r="A738" i="1"/>
  <c r="A737" i="1"/>
  <c r="J737" i="1"/>
  <c r="K737" i="1"/>
  <c r="P737" i="1"/>
  <c r="W737" i="1"/>
  <c r="Z737" i="1" s="1"/>
  <c r="W736" i="1"/>
  <c r="Z736" i="1" s="1"/>
  <c r="P736" i="1"/>
  <c r="K736" i="1"/>
  <c r="J736" i="1"/>
  <c r="A736" i="1"/>
  <c r="W735" i="1"/>
  <c r="Z735" i="1" s="1"/>
  <c r="P735" i="1"/>
  <c r="K735" i="1"/>
  <c r="J735" i="1"/>
  <c r="A735" i="1"/>
  <c r="W734" i="1"/>
  <c r="Z734" i="1" s="1"/>
  <c r="P734" i="1"/>
  <c r="K734" i="1"/>
  <c r="J734" i="1"/>
  <c r="A734" i="1"/>
  <c r="N733" i="1"/>
  <c r="P733" i="1" s="1"/>
  <c r="W733" i="1"/>
  <c r="Z733" i="1" s="1"/>
  <c r="K733" i="1"/>
  <c r="J733" i="1"/>
  <c r="A733" i="1"/>
  <c r="W732" i="1"/>
  <c r="Z732" i="1" s="1"/>
  <c r="P732" i="1"/>
  <c r="K732" i="1"/>
  <c r="J732" i="1"/>
  <c r="A732" i="1"/>
  <c r="A730" i="1"/>
  <c r="J730" i="1"/>
  <c r="K730" i="1"/>
  <c r="P730" i="1"/>
  <c r="W730" i="1"/>
  <c r="Z730" i="1" s="1"/>
  <c r="A726" i="1"/>
  <c r="J726" i="1"/>
  <c r="K726" i="1"/>
  <c r="P726" i="1"/>
  <c r="W726" i="1"/>
  <c r="Z726" i="1" s="1"/>
  <c r="W723" i="1"/>
  <c r="Z723" i="1" s="1"/>
  <c r="P723" i="1"/>
  <c r="K723" i="1"/>
  <c r="J723" i="1"/>
  <c r="A723" i="1"/>
  <c r="A722" i="1"/>
  <c r="J722" i="1"/>
  <c r="K722" i="1"/>
  <c r="P722" i="1"/>
  <c r="W722" i="1"/>
  <c r="Z722" i="1" s="1"/>
  <c r="W721" i="1"/>
  <c r="Z721" i="1" s="1"/>
  <c r="P721" i="1"/>
  <c r="K721" i="1"/>
  <c r="J721" i="1"/>
  <c r="A721" i="1"/>
  <c r="W719" i="1"/>
  <c r="Z719" i="1" s="1"/>
  <c r="P719" i="1"/>
  <c r="K719" i="1"/>
  <c r="J719" i="1"/>
  <c r="A719" i="1"/>
  <c r="W716" i="1"/>
  <c r="Z716" i="1" s="1"/>
  <c r="P716" i="1"/>
  <c r="K716" i="1"/>
  <c r="J716" i="1"/>
  <c r="A716" i="1"/>
  <c r="W715" i="1"/>
  <c r="Z715" i="1" s="1"/>
  <c r="P715" i="1"/>
  <c r="K715" i="1"/>
  <c r="J715" i="1"/>
  <c r="A715" i="1"/>
  <c r="A107" i="3"/>
  <c r="J107" i="3"/>
  <c r="K107" i="3"/>
  <c r="P107" i="3"/>
  <c r="W107" i="3"/>
  <c r="Z107" i="3" s="1"/>
  <c r="A103" i="3"/>
  <c r="J103" i="3"/>
  <c r="K103" i="3"/>
  <c r="P103" i="3"/>
  <c r="W103" i="3"/>
  <c r="Z103" i="3" s="1"/>
  <c r="W102" i="3"/>
  <c r="Z102" i="3" s="1"/>
  <c r="P102" i="3"/>
  <c r="K102" i="3"/>
  <c r="J102" i="3"/>
  <c r="A102" i="3"/>
  <c r="W714" i="1"/>
  <c r="Z714" i="1" s="1"/>
  <c r="P714" i="1"/>
  <c r="K714" i="1"/>
  <c r="J714" i="1"/>
  <c r="A714" i="1"/>
  <c r="W712" i="1"/>
  <c r="Z712" i="1" s="1"/>
  <c r="P712" i="1"/>
  <c r="K712" i="1"/>
  <c r="J712" i="1"/>
  <c r="A712" i="1"/>
  <c r="M73" i="2"/>
  <c r="P77" i="2" l="1"/>
  <c r="W76" i="2" l="1"/>
  <c r="Z76" i="2" s="1"/>
  <c r="P76" i="2"/>
  <c r="K76" i="2"/>
  <c r="J76" i="2"/>
  <c r="A76" i="2"/>
  <c r="W704" i="1"/>
  <c r="Z704" i="1" s="1"/>
  <c r="P704" i="1"/>
  <c r="K704" i="1"/>
  <c r="J704" i="1"/>
  <c r="A704" i="1"/>
  <c r="W708" i="1"/>
  <c r="Z708" i="1" s="1"/>
  <c r="P708" i="1"/>
  <c r="K708" i="1"/>
  <c r="J708" i="1"/>
  <c r="A708" i="1"/>
  <c r="W701" i="1"/>
  <c r="Z701" i="1" s="1"/>
  <c r="P701" i="1"/>
  <c r="K701" i="1"/>
  <c r="J701" i="1"/>
  <c r="A701" i="1"/>
  <c r="W75" i="2"/>
  <c r="Z75" i="2" s="1"/>
  <c r="P75" i="2"/>
  <c r="K75" i="2"/>
  <c r="J75" i="2"/>
  <c r="A75" i="2"/>
  <c r="W74" i="2"/>
  <c r="Z74" i="2" s="1"/>
  <c r="P74" i="2"/>
  <c r="K74" i="2"/>
  <c r="J74" i="2"/>
  <c r="A74" i="2"/>
  <c r="A711" i="1"/>
  <c r="J711" i="1"/>
  <c r="K711" i="1"/>
  <c r="P711" i="1"/>
  <c r="W711" i="1"/>
  <c r="Z711" i="1" s="1"/>
  <c r="A710" i="1"/>
  <c r="J710" i="1"/>
  <c r="K710" i="1"/>
  <c r="P710" i="1"/>
  <c r="W710" i="1"/>
  <c r="Z710" i="1" s="1"/>
  <c r="W709" i="1"/>
  <c r="Z709" i="1" s="1"/>
  <c r="P709" i="1"/>
  <c r="K709" i="1"/>
  <c r="J709" i="1"/>
  <c r="A709" i="1"/>
  <c r="W707" i="1"/>
  <c r="Z707" i="1" s="1"/>
  <c r="P707" i="1"/>
  <c r="K707" i="1"/>
  <c r="J707" i="1"/>
  <c r="A707" i="1"/>
  <c r="W706" i="1"/>
  <c r="Z706" i="1" s="1"/>
  <c r="P706" i="1"/>
  <c r="K706" i="1"/>
  <c r="J706" i="1"/>
  <c r="A706" i="1"/>
  <c r="W705" i="1"/>
  <c r="Z705" i="1" s="1"/>
  <c r="P705" i="1"/>
  <c r="K705" i="1"/>
  <c r="J705" i="1"/>
  <c r="A705" i="1"/>
  <c r="W703" i="1"/>
  <c r="Z703" i="1" s="1"/>
  <c r="P703" i="1"/>
  <c r="K703" i="1"/>
  <c r="J703" i="1"/>
  <c r="A703" i="1"/>
  <c r="W702" i="1"/>
  <c r="Z702" i="1" s="1"/>
  <c r="P702" i="1"/>
  <c r="K702" i="1"/>
  <c r="J702" i="1"/>
  <c r="A702" i="1"/>
  <c r="W700" i="1"/>
  <c r="Z700" i="1" s="1"/>
  <c r="P700" i="1"/>
  <c r="K700" i="1"/>
  <c r="J700" i="1"/>
  <c r="A700" i="1"/>
  <c r="W699" i="1"/>
  <c r="Z699" i="1" s="1"/>
  <c r="P699" i="1"/>
  <c r="K699" i="1"/>
  <c r="J699" i="1"/>
  <c r="A699" i="1"/>
  <c r="W698" i="1"/>
  <c r="Z698" i="1" s="1"/>
  <c r="P698" i="1"/>
  <c r="K698" i="1"/>
  <c r="J698" i="1"/>
  <c r="A698" i="1"/>
  <c r="W697" i="1"/>
  <c r="Z697" i="1" s="1"/>
  <c r="P697" i="1"/>
  <c r="K697" i="1"/>
  <c r="J697" i="1"/>
  <c r="A697" i="1"/>
  <c r="W696" i="1"/>
  <c r="Z696" i="1" s="1"/>
  <c r="P696" i="1"/>
  <c r="K696" i="1"/>
  <c r="J696" i="1"/>
  <c r="A696" i="1"/>
  <c r="W73" i="2"/>
  <c r="Z73" i="2" s="1"/>
  <c r="P73" i="2"/>
  <c r="K73" i="2"/>
  <c r="J73" i="2"/>
  <c r="A73" i="2"/>
  <c r="A72" i="2"/>
  <c r="J72" i="2"/>
  <c r="K72" i="2"/>
  <c r="P72" i="2"/>
  <c r="W72" i="2"/>
  <c r="Z72" i="2" s="1"/>
  <c r="W693" i="1" l="1"/>
  <c r="Z693" i="1" s="1"/>
  <c r="P693" i="1"/>
  <c r="K693" i="1"/>
  <c r="J693" i="1"/>
  <c r="A693" i="1"/>
  <c r="W690" i="1"/>
  <c r="Z690" i="1" s="1"/>
  <c r="P690" i="1"/>
  <c r="K690" i="1"/>
  <c r="J690" i="1"/>
  <c r="A690" i="1"/>
  <c r="W688" i="1"/>
  <c r="Z688" i="1" s="1"/>
  <c r="P688" i="1"/>
  <c r="K688" i="1"/>
  <c r="J688" i="1"/>
  <c r="A688" i="1"/>
  <c r="W687" i="1"/>
  <c r="Z687" i="1" s="1"/>
  <c r="P687" i="1"/>
  <c r="K687" i="1"/>
  <c r="J687" i="1"/>
  <c r="A687" i="1"/>
  <c r="W685" i="1"/>
  <c r="Z685" i="1" s="1"/>
  <c r="P685" i="1"/>
  <c r="K685" i="1"/>
  <c r="J685" i="1"/>
  <c r="A685" i="1"/>
  <c r="W683" i="1"/>
  <c r="Z683" i="1" s="1"/>
  <c r="P683" i="1"/>
  <c r="K683" i="1"/>
  <c r="J683" i="1"/>
  <c r="A683" i="1"/>
  <c r="W682" i="1"/>
  <c r="Z682" i="1" s="1"/>
  <c r="P682" i="1"/>
  <c r="K682" i="1"/>
  <c r="J682" i="1"/>
  <c r="A682" i="1"/>
  <c r="W681" i="1"/>
  <c r="Z681" i="1" s="1"/>
  <c r="P681" i="1"/>
  <c r="K681" i="1"/>
  <c r="J681" i="1"/>
  <c r="A681" i="1"/>
  <c r="W680" i="1"/>
  <c r="Z680" i="1" s="1"/>
  <c r="P680" i="1"/>
  <c r="K680" i="1"/>
  <c r="J680" i="1"/>
  <c r="A680" i="1"/>
  <c r="W679" i="1"/>
  <c r="Z679" i="1" s="1"/>
  <c r="P679" i="1"/>
  <c r="K679" i="1"/>
  <c r="J679" i="1"/>
  <c r="A679" i="1"/>
  <c r="W678" i="1"/>
  <c r="Z678" i="1" s="1"/>
  <c r="P678" i="1"/>
  <c r="K678" i="1"/>
  <c r="J678" i="1"/>
  <c r="A678" i="1"/>
  <c r="W677" i="1"/>
  <c r="Z677" i="1" s="1"/>
  <c r="P677" i="1"/>
  <c r="K677" i="1"/>
  <c r="J677" i="1"/>
  <c r="A677" i="1"/>
  <c r="W676" i="1"/>
  <c r="Z676" i="1" s="1"/>
  <c r="P676" i="1"/>
  <c r="K676" i="1"/>
  <c r="J676" i="1"/>
  <c r="A676" i="1"/>
  <c r="W675" i="1"/>
  <c r="Z675" i="1" s="1"/>
  <c r="P675" i="1"/>
  <c r="K675" i="1"/>
  <c r="J675" i="1"/>
  <c r="A675" i="1"/>
  <c r="W695" i="1"/>
  <c r="Z695" i="1" s="1"/>
  <c r="P695" i="1"/>
  <c r="K695" i="1"/>
  <c r="J695" i="1"/>
  <c r="A695" i="1"/>
  <c r="W694" i="1"/>
  <c r="Z694" i="1" s="1"/>
  <c r="P694" i="1"/>
  <c r="K694" i="1"/>
  <c r="J694" i="1"/>
  <c r="A694" i="1"/>
  <c r="A692" i="1"/>
  <c r="J692" i="1"/>
  <c r="K692" i="1"/>
  <c r="P692" i="1"/>
  <c r="W692" i="1"/>
  <c r="Z692" i="1" s="1"/>
  <c r="A691" i="1"/>
  <c r="J691" i="1"/>
  <c r="K691" i="1"/>
  <c r="P691" i="1"/>
  <c r="W691" i="1"/>
  <c r="Z691" i="1" s="1"/>
  <c r="A689" i="1"/>
  <c r="J689" i="1"/>
  <c r="K689" i="1"/>
  <c r="P689" i="1"/>
  <c r="W689" i="1"/>
  <c r="Z689" i="1" s="1"/>
  <c r="A686" i="1"/>
  <c r="J686" i="1"/>
  <c r="K686" i="1"/>
  <c r="P686" i="1"/>
  <c r="W686" i="1"/>
  <c r="Z686" i="1" s="1"/>
  <c r="A684" i="1"/>
  <c r="J684" i="1"/>
  <c r="K684" i="1"/>
  <c r="P684" i="1"/>
  <c r="W684" i="1"/>
  <c r="Z684" i="1" s="1"/>
  <c r="W674" i="1" l="1"/>
  <c r="Z674" i="1" s="1"/>
  <c r="P674" i="1"/>
  <c r="K674" i="1"/>
  <c r="J674" i="1"/>
  <c r="A674" i="1"/>
  <c r="W71" i="2"/>
  <c r="Z71" i="2" s="1"/>
  <c r="P71" i="2"/>
  <c r="K71" i="2"/>
  <c r="J71" i="2"/>
  <c r="A71" i="2"/>
  <c r="W70" i="2" l="1"/>
  <c r="Z70" i="2" s="1"/>
  <c r="P70" i="2"/>
  <c r="K70" i="2"/>
  <c r="J70" i="2"/>
  <c r="A70" i="2"/>
  <c r="W69" i="2"/>
  <c r="Z69" i="2" s="1"/>
  <c r="P69" i="2"/>
  <c r="K69" i="2"/>
  <c r="J69" i="2"/>
  <c r="A69" i="2"/>
  <c r="W671" i="1" l="1"/>
  <c r="Z671" i="1" s="1"/>
  <c r="P671" i="1"/>
  <c r="K671" i="1"/>
  <c r="J671" i="1"/>
  <c r="A671" i="1"/>
  <c r="W101" i="3"/>
  <c r="Z101" i="3" s="1"/>
  <c r="P101" i="3"/>
  <c r="K101" i="3"/>
  <c r="J101" i="3"/>
  <c r="A101" i="3"/>
  <c r="W100" i="3"/>
  <c r="Z100" i="3" s="1"/>
  <c r="P100" i="3"/>
  <c r="K100" i="3"/>
  <c r="J100" i="3"/>
  <c r="A100" i="3"/>
  <c r="W673" i="1"/>
  <c r="Z673" i="1" s="1"/>
  <c r="P673" i="1"/>
  <c r="K673" i="1"/>
  <c r="J673" i="1"/>
  <c r="A673" i="1"/>
  <c r="W672" i="1"/>
  <c r="Z672" i="1" s="1"/>
  <c r="P672" i="1"/>
  <c r="K672" i="1"/>
  <c r="J672" i="1"/>
  <c r="A672" i="1"/>
  <c r="W670" i="1"/>
  <c r="Z670" i="1" s="1"/>
  <c r="P670" i="1"/>
  <c r="K670" i="1"/>
  <c r="J670" i="1"/>
  <c r="A670" i="1"/>
  <c r="A669" i="1"/>
  <c r="J669" i="1"/>
  <c r="K669" i="1"/>
  <c r="P669" i="1"/>
  <c r="W669" i="1"/>
  <c r="Z669" i="1" s="1"/>
  <c r="A668" i="1"/>
  <c r="J668" i="1"/>
  <c r="K668" i="1"/>
  <c r="P668" i="1"/>
  <c r="W668" i="1"/>
  <c r="Z668" i="1" s="1"/>
  <c r="W667" i="1"/>
  <c r="Z667" i="1" s="1"/>
  <c r="P667" i="1"/>
  <c r="K667" i="1"/>
  <c r="J667" i="1"/>
  <c r="A667" i="1"/>
  <c r="W666" i="1"/>
  <c r="Z666" i="1" s="1"/>
  <c r="P666" i="1"/>
  <c r="K666" i="1"/>
  <c r="J666" i="1"/>
  <c r="A666" i="1"/>
  <c r="A665" i="1"/>
  <c r="J665" i="1"/>
  <c r="K665" i="1"/>
  <c r="P665" i="1"/>
  <c r="W665" i="1"/>
  <c r="Z665" i="1" s="1"/>
  <c r="W664" i="1"/>
  <c r="Z664" i="1" s="1"/>
  <c r="P664" i="1"/>
  <c r="K664" i="1"/>
  <c r="J664" i="1"/>
  <c r="A664" i="1"/>
  <c r="A663" i="1"/>
  <c r="J663" i="1"/>
  <c r="K663" i="1"/>
  <c r="P663" i="1"/>
  <c r="W663" i="1"/>
  <c r="Z663" i="1" s="1"/>
  <c r="W662" i="1"/>
  <c r="Z662" i="1" s="1"/>
  <c r="P662" i="1"/>
  <c r="K662" i="1"/>
  <c r="J662" i="1"/>
  <c r="A662" i="1"/>
  <c r="W661" i="1" l="1"/>
  <c r="Z661" i="1" s="1"/>
  <c r="P661" i="1"/>
  <c r="K661" i="1"/>
  <c r="J661" i="1"/>
  <c r="A661" i="1"/>
  <c r="W660" i="1"/>
  <c r="Z660" i="1" s="1"/>
  <c r="P660" i="1"/>
  <c r="K660" i="1"/>
  <c r="J660" i="1"/>
  <c r="A660" i="1"/>
  <c r="W659" i="1"/>
  <c r="Z659" i="1" s="1"/>
  <c r="P659" i="1"/>
  <c r="K659" i="1"/>
  <c r="J659" i="1"/>
  <c r="A659" i="1"/>
  <c r="W658" i="1"/>
  <c r="Z658" i="1" s="1"/>
  <c r="P658" i="1"/>
  <c r="K658" i="1"/>
  <c r="J658" i="1"/>
  <c r="A658" i="1"/>
  <c r="W657" i="1"/>
  <c r="Z657" i="1" s="1"/>
  <c r="P657" i="1"/>
  <c r="K657" i="1"/>
  <c r="J657" i="1"/>
  <c r="A657" i="1"/>
  <c r="Z2" i="5" l="1"/>
  <c r="P2" i="5"/>
  <c r="K2" i="5"/>
  <c r="J2" i="5"/>
  <c r="A2" i="5"/>
  <c r="A631" i="1"/>
  <c r="J631" i="1"/>
  <c r="K631" i="1"/>
  <c r="P631" i="1"/>
  <c r="W631" i="1"/>
  <c r="Z631" i="1" s="1"/>
  <c r="W656" i="1" l="1"/>
  <c r="Z656" i="1" s="1"/>
  <c r="P656" i="1"/>
  <c r="K656" i="1"/>
  <c r="J656" i="1"/>
  <c r="A656" i="1"/>
  <c r="W655" i="1"/>
  <c r="Z655" i="1" s="1"/>
  <c r="P655" i="1"/>
  <c r="K655" i="1"/>
  <c r="J655" i="1"/>
  <c r="A655" i="1"/>
  <c r="W654" i="1"/>
  <c r="Z654" i="1" s="1"/>
  <c r="P654" i="1"/>
  <c r="K654" i="1"/>
  <c r="J654" i="1"/>
  <c r="A654" i="1"/>
  <c r="A99" i="3"/>
  <c r="J99" i="3"/>
  <c r="K99" i="3"/>
  <c r="P99" i="3"/>
  <c r="W99" i="3"/>
  <c r="Z99" i="3" s="1"/>
  <c r="W98" i="3"/>
  <c r="Z98" i="3" s="1"/>
  <c r="P98" i="3"/>
  <c r="K98" i="3"/>
  <c r="J98" i="3"/>
  <c r="A98" i="3"/>
  <c r="W97" i="3"/>
  <c r="Z97" i="3" s="1"/>
  <c r="P97" i="3"/>
  <c r="K97" i="3"/>
  <c r="J97" i="3"/>
  <c r="A97" i="3"/>
  <c r="A96" i="3"/>
  <c r="J96" i="3"/>
  <c r="K96" i="3"/>
  <c r="P96" i="3"/>
  <c r="W96" i="3"/>
  <c r="Z96" i="3" s="1"/>
  <c r="W95" i="3"/>
  <c r="Z95" i="3" s="1"/>
  <c r="P95" i="3"/>
  <c r="K95" i="3"/>
  <c r="J95" i="3"/>
  <c r="A95" i="3"/>
  <c r="W94" i="3"/>
  <c r="Z94" i="3" s="1"/>
  <c r="P94" i="3"/>
  <c r="K94" i="3"/>
  <c r="J94" i="3"/>
  <c r="A94" i="3"/>
  <c r="W653" i="1"/>
  <c r="Z653" i="1" s="1"/>
  <c r="P653" i="1"/>
  <c r="K653" i="1"/>
  <c r="J653" i="1"/>
  <c r="A653" i="1"/>
  <c r="W652" i="1"/>
  <c r="Z652" i="1" s="1"/>
  <c r="P652" i="1"/>
  <c r="K652" i="1"/>
  <c r="J652" i="1"/>
  <c r="A652" i="1"/>
  <c r="W651" i="1"/>
  <c r="Z651" i="1" s="1"/>
  <c r="P651" i="1"/>
  <c r="K651" i="1"/>
  <c r="J651" i="1"/>
  <c r="A651" i="1"/>
  <c r="A650" i="1"/>
  <c r="J650" i="1"/>
  <c r="K650" i="1"/>
  <c r="P650" i="1"/>
  <c r="W650" i="1"/>
  <c r="Z650" i="1" s="1"/>
  <c r="A649" i="1"/>
  <c r="J649" i="1"/>
  <c r="K649" i="1"/>
  <c r="P649" i="1"/>
  <c r="W649" i="1"/>
  <c r="Z649" i="1" s="1"/>
  <c r="A648" i="1"/>
  <c r="J648" i="1"/>
  <c r="K648" i="1"/>
  <c r="P648" i="1"/>
  <c r="W648" i="1"/>
  <c r="Z648" i="1" s="1"/>
  <c r="A647" i="1"/>
  <c r="J647" i="1"/>
  <c r="K647" i="1"/>
  <c r="P647" i="1"/>
  <c r="W647" i="1"/>
  <c r="Z647" i="1" s="1"/>
  <c r="A646" i="1"/>
  <c r="J646" i="1"/>
  <c r="K646" i="1"/>
  <c r="P646" i="1"/>
  <c r="W646" i="1"/>
  <c r="Z646" i="1" s="1"/>
  <c r="A645" i="1"/>
  <c r="J645" i="1"/>
  <c r="K645" i="1"/>
  <c r="P645" i="1"/>
  <c r="W645" i="1"/>
  <c r="Z645" i="1" s="1"/>
  <c r="W644" i="1"/>
  <c r="Z644" i="1" s="1"/>
  <c r="P644" i="1"/>
  <c r="K644" i="1"/>
  <c r="J644" i="1"/>
  <c r="A644" i="1"/>
  <c r="W643" i="1"/>
  <c r="Z643" i="1" s="1"/>
  <c r="P643" i="1"/>
  <c r="K643" i="1"/>
  <c r="J643" i="1"/>
  <c r="A643" i="1"/>
  <c r="W642" i="1"/>
  <c r="Z642" i="1" s="1"/>
  <c r="P642" i="1"/>
  <c r="K642" i="1"/>
  <c r="J642" i="1"/>
  <c r="A642" i="1"/>
  <c r="A641" i="1"/>
  <c r="J641" i="1"/>
  <c r="K641" i="1"/>
  <c r="P641" i="1"/>
  <c r="W641" i="1"/>
  <c r="Z641" i="1" s="1"/>
  <c r="W640" i="1"/>
  <c r="Z640" i="1" s="1"/>
  <c r="P640" i="1"/>
  <c r="K640" i="1"/>
  <c r="J640" i="1"/>
  <c r="A640" i="1"/>
  <c r="W639" i="1"/>
  <c r="Z639" i="1" s="1"/>
  <c r="P639" i="1"/>
  <c r="K639" i="1"/>
  <c r="J639" i="1"/>
  <c r="A639" i="1"/>
  <c r="W638" i="1"/>
  <c r="Z638" i="1" s="1"/>
  <c r="P638" i="1"/>
  <c r="K638" i="1"/>
  <c r="J638" i="1"/>
  <c r="A638" i="1"/>
  <c r="W637" i="1"/>
  <c r="Z637" i="1" s="1"/>
  <c r="P637" i="1"/>
  <c r="K637" i="1"/>
  <c r="J637" i="1"/>
  <c r="A637" i="1"/>
  <c r="A636" i="1"/>
  <c r="J636" i="1"/>
  <c r="K636" i="1"/>
  <c r="P636" i="1"/>
  <c r="W636" i="1"/>
  <c r="Z636" i="1" s="1"/>
  <c r="A635" i="1"/>
  <c r="J635" i="1"/>
  <c r="K635" i="1"/>
  <c r="P635" i="1"/>
  <c r="W635" i="1"/>
  <c r="Z635" i="1" s="1"/>
  <c r="W634" i="1"/>
  <c r="Z634" i="1" s="1"/>
  <c r="P634" i="1"/>
  <c r="K634" i="1"/>
  <c r="J634" i="1"/>
  <c r="A634" i="1"/>
  <c r="W93" i="3"/>
  <c r="Z93" i="3" s="1"/>
  <c r="P93" i="3"/>
  <c r="K93" i="3"/>
  <c r="J93" i="3"/>
  <c r="A93" i="3"/>
  <c r="W633" i="1"/>
  <c r="Z633" i="1" s="1"/>
  <c r="P633" i="1"/>
  <c r="K633" i="1"/>
  <c r="J633" i="1"/>
  <c r="A633" i="1"/>
  <c r="W632" i="1"/>
  <c r="Z632" i="1" s="1"/>
  <c r="P632" i="1"/>
  <c r="K632" i="1"/>
  <c r="J632" i="1"/>
  <c r="A632" i="1"/>
  <c r="W630" i="1"/>
  <c r="Z630" i="1" s="1"/>
  <c r="P630" i="1"/>
  <c r="K630" i="1"/>
  <c r="J630" i="1"/>
  <c r="A630" i="1"/>
  <c r="W92" i="3"/>
  <c r="Z92" i="3" s="1"/>
  <c r="P92" i="3"/>
  <c r="K92" i="3"/>
  <c r="J92" i="3"/>
  <c r="A92" i="3"/>
  <c r="W629" i="1"/>
  <c r="Z629" i="1" s="1"/>
  <c r="P629" i="1"/>
  <c r="K629" i="1"/>
  <c r="J629" i="1"/>
  <c r="A629" i="1"/>
  <c r="W196" i="1" l="1"/>
  <c r="K396" i="1" l="1"/>
  <c r="W609" i="1" l="1"/>
  <c r="Z609" i="1" s="1"/>
  <c r="P609" i="1"/>
  <c r="K609" i="1"/>
  <c r="J609" i="1"/>
  <c r="A609" i="1"/>
  <c r="A610" i="1"/>
  <c r="J610" i="1"/>
  <c r="K610" i="1"/>
  <c r="P610" i="1"/>
  <c r="W610" i="1"/>
  <c r="Z610" i="1" s="1"/>
  <c r="W68" i="2"/>
  <c r="Z68" i="2" s="1"/>
  <c r="P68" i="2"/>
  <c r="K68" i="2"/>
  <c r="J68" i="2"/>
  <c r="A68" i="2"/>
  <c r="W67" i="2"/>
  <c r="Z67" i="2" s="1"/>
  <c r="P67" i="2"/>
  <c r="K67" i="2"/>
  <c r="J67" i="2"/>
  <c r="A67" i="2"/>
  <c r="W617" i="1"/>
  <c r="Z617" i="1" s="1"/>
  <c r="P617" i="1"/>
  <c r="K617" i="1"/>
  <c r="J617" i="1"/>
  <c r="A617" i="1"/>
  <c r="S628" i="1"/>
  <c r="M628" i="1"/>
  <c r="P628" i="1" s="1"/>
  <c r="K628" i="1"/>
  <c r="J628" i="1"/>
  <c r="A628" i="1"/>
  <c r="W627" i="1"/>
  <c r="Z627" i="1" s="1"/>
  <c r="P627" i="1"/>
  <c r="K627" i="1"/>
  <c r="J627" i="1"/>
  <c r="A627" i="1"/>
  <c r="A626" i="1"/>
  <c r="J626" i="1"/>
  <c r="K626" i="1"/>
  <c r="P626" i="1"/>
  <c r="W626" i="1"/>
  <c r="Z626" i="1" s="1"/>
  <c r="W625" i="1"/>
  <c r="Z625" i="1" s="1"/>
  <c r="P625" i="1"/>
  <c r="K625" i="1"/>
  <c r="J625" i="1"/>
  <c r="A625" i="1"/>
  <c r="A624" i="1"/>
  <c r="J624" i="1"/>
  <c r="K624" i="1"/>
  <c r="P624" i="1"/>
  <c r="W624" i="1"/>
  <c r="Z624" i="1" s="1"/>
  <c r="W623" i="1"/>
  <c r="Z623" i="1" s="1"/>
  <c r="P623" i="1"/>
  <c r="K623" i="1"/>
  <c r="J623" i="1"/>
  <c r="A623" i="1"/>
  <c r="A622" i="1"/>
  <c r="J622" i="1"/>
  <c r="K622" i="1"/>
  <c r="P622" i="1"/>
  <c r="W622" i="1"/>
  <c r="Z622" i="1" s="1"/>
  <c r="W621" i="1"/>
  <c r="Z621" i="1" s="1"/>
  <c r="P621" i="1"/>
  <c r="K621" i="1"/>
  <c r="J621" i="1"/>
  <c r="A621" i="1"/>
  <c r="W620" i="1"/>
  <c r="Z620" i="1" s="1"/>
  <c r="P620" i="1"/>
  <c r="K620" i="1"/>
  <c r="J620" i="1"/>
  <c r="A620" i="1"/>
  <c r="S619" i="1"/>
  <c r="M619" i="1"/>
  <c r="P619" i="1" s="1"/>
  <c r="K619" i="1"/>
  <c r="J619" i="1"/>
  <c r="A619" i="1"/>
  <c r="W618" i="1"/>
  <c r="Z618" i="1" s="1"/>
  <c r="P618" i="1"/>
  <c r="K618" i="1"/>
  <c r="J618" i="1"/>
  <c r="A618" i="1"/>
  <c r="W616" i="1"/>
  <c r="Z616" i="1" s="1"/>
  <c r="P616" i="1"/>
  <c r="K616" i="1"/>
  <c r="J616" i="1"/>
  <c r="A616" i="1"/>
  <c r="W615" i="1"/>
  <c r="Z615" i="1" s="1"/>
  <c r="P615" i="1"/>
  <c r="K615" i="1"/>
  <c r="J615" i="1"/>
  <c r="A615" i="1"/>
  <c r="A614" i="1"/>
  <c r="J614" i="1"/>
  <c r="K614" i="1"/>
  <c r="P614" i="1"/>
  <c r="W614" i="1"/>
  <c r="Z614" i="1" s="1"/>
  <c r="W613" i="1"/>
  <c r="Z613" i="1" s="1"/>
  <c r="P613" i="1"/>
  <c r="K613" i="1"/>
  <c r="J613" i="1"/>
  <c r="A613" i="1"/>
  <c r="W612" i="1"/>
  <c r="Z612" i="1" s="1"/>
  <c r="P612" i="1"/>
  <c r="K612" i="1"/>
  <c r="J612" i="1"/>
  <c r="A612" i="1"/>
  <c r="W611" i="1"/>
  <c r="Z611" i="1" s="1"/>
  <c r="P611" i="1"/>
  <c r="K611" i="1"/>
  <c r="J611" i="1"/>
  <c r="A611" i="1"/>
  <c r="W608" i="1"/>
  <c r="Z608" i="1" s="1"/>
  <c r="P608" i="1"/>
  <c r="K608" i="1"/>
  <c r="J608" i="1"/>
  <c r="A608" i="1"/>
  <c r="W607" i="1"/>
  <c r="Z607" i="1" s="1"/>
  <c r="P607" i="1"/>
  <c r="K607" i="1"/>
  <c r="J607" i="1"/>
  <c r="A607" i="1"/>
  <c r="W606" i="1"/>
  <c r="Z606" i="1" s="1"/>
  <c r="P606" i="1"/>
  <c r="K606" i="1"/>
  <c r="J606" i="1"/>
  <c r="A606" i="1"/>
  <c r="W605" i="1"/>
  <c r="Z605" i="1" s="1"/>
  <c r="P605" i="1"/>
  <c r="K605" i="1"/>
  <c r="J605" i="1"/>
  <c r="A605" i="1"/>
  <c r="W604" i="1"/>
  <c r="Z604" i="1" s="1"/>
  <c r="P604" i="1"/>
  <c r="K604" i="1"/>
  <c r="J604" i="1"/>
  <c r="A604" i="1"/>
  <c r="W628" i="1" l="1"/>
  <c r="Z628" i="1" s="1"/>
  <c r="W619" i="1"/>
  <c r="Z619" i="1" s="1"/>
  <c r="W577" i="1"/>
  <c r="Z577" i="1" s="1"/>
  <c r="P577" i="1"/>
  <c r="K577" i="1"/>
  <c r="J577" i="1"/>
  <c r="A577" i="1"/>
  <c r="A586" i="1" l="1"/>
  <c r="J586" i="1"/>
  <c r="K586" i="1"/>
  <c r="P586" i="1"/>
  <c r="W586" i="1"/>
  <c r="Z586" i="1" s="1"/>
  <c r="W602" i="1" l="1"/>
  <c r="Z602" i="1" s="1"/>
  <c r="P602" i="1"/>
  <c r="K602" i="1"/>
  <c r="J602" i="1"/>
  <c r="A602" i="1"/>
  <c r="S603" i="1"/>
  <c r="M603" i="1"/>
  <c r="K603" i="1"/>
  <c r="J603" i="1"/>
  <c r="A603" i="1"/>
  <c r="W66" i="2"/>
  <c r="Z66" i="2" s="1"/>
  <c r="P66" i="2"/>
  <c r="K66" i="2"/>
  <c r="J66" i="2"/>
  <c r="A66" i="2"/>
  <c r="W571" i="1"/>
  <c r="Z571" i="1" s="1"/>
  <c r="P571" i="1"/>
  <c r="K571" i="1"/>
  <c r="J571" i="1"/>
  <c r="A571" i="1"/>
  <c r="W598" i="1"/>
  <c r="Z598" i="1" s="1"/>
  <c r="P598" i="1"/>
  <c r="K598" i="1"/>
  <c r="J598" i="1"/>
  <c r="A598" i="1"/>
  <c r="S589" i="1"/>
  <c r="M589" i="1"/>
  <c r="P589" i="1" s="1"/>
  <c r="K589" i="1"/>
  <c r="J589" i="1"/>
  <c r="A589" i="1"/>
  <c r="W588" i="1"/>
  <c r="Z588" i="1" s="1"/>
  <c r="P588" i="1"/>
  <c r="K588" i="1"/>
  <c r="J588" i="1"/>
  <c r="A588" i="1"/>
  <c r="A65" i="2"/>
  <c r="J65" i="2"/>
  <c r="K65" i="2"/>
  <c r="P65" i="2"/>
  <c r="W65" i="2"/>
  <c r="Z65" i="2" s="1"/>
  <c r="A64" i="2"/>
  <c r="J64" i="2"/>
  <c r="K64" i="2"/>
  <c r="P64" i="2"/>
  <c r="W64" i="2"/>
  <c r="Z64" i="2" s="1"/>
  <c r="W601" i="1"/>
  <c r="Z601" i="1" s="1"/>
  <c r="P601" i="1"/>
  <c r="K601" i="1"/>
  <c r="J601" i="1"/>
  <c r="A601" i="1"/>
  <c r="W600" i="1"/>
  <c r="Z600" i="1" s="1"/>
  <c r="P600" i="1"/>
  <c r="K600" i="1"/>
  <c r="J600" i="1"/>
  <c r="A600" i="1"/>
  <c r="A599" i="1"/>
  <c r="J599" i="1"/>
  <c r="K599" i="1"/>
  <c r="P599" i="1"/>
  <c r="W599" i="1"/>
  <c r="Z599" i="1" s="1"/>
  <c r="W597" i="1"/>
  <c r="Z597" i="1" s="1"/>
  <c r="P597" i="1"/>
  <c r="K597" i="1"/>
  <c r="J597" i="1"/>
  <c r="A597" i="1"/>
  <c r="A596" i="1"/>
  <c r="J596" i="1"/>
  <c r="K596" i="1"/>
  <c r="P596" i="1"/>
  <c r="W596" i="1"/>
  <c r="Z596" i="1" s="1"/>
  <c r="W595" i="1"/>
  <c r="Z595" i="1" s="1"/>
  <c r="P595" i="1"/>
  <c r="K595" i="1"/>
  <c r="J595" i="1"/>
  <c r="A595" i="1"/>
  <c r="A594" i="1"/>
  <c r="J594" i="1"/>
  <c r="K594" i="1"/>
  <c r="P594" i="1"/>
  <c r="W594" i="1"/>
  <c r="Z594" i="1" s="1"/>
  <c r="W593" i="1"/>
  <c r="Z593" i="1" s="1"/>
  <c r="P593" i="1"/>
  <c r="K593" i="1"/>
  <c r="J593" i="1"/>
  <c r="A593" i="1"/>
  <c r="W592" i="1"/>
  <c r="Z592" i="1" s="1"/>
  <c r="P592" i="1"/>
  <c r="K592" i="1"/>
  <c r="J592" i="1"/>
  <c r="A592" i="1"/>
  <c r="W591" i="1"/>
  <c r="Z591" i="1" s="1"/>
  <c r="P591" i="1"/>
  <c r="K591" i="1"/>
  <c r="J591" i="1"/>
  <c r="A591" i="1"/>
  <c r="W590" i="1"/>
  <c r="Z590" i="1" s="1"/>
  <c r="P590" i="1"/>
  <c r="K590" i="1"/>
  <c r="J590" i="1"/>
  <c r="A590" i="1"/>
  <c r="A587" i="1"/>
  <c r="J587" i="1"/>
  <c r="K587" i="1"/>
  <c r="P587" i="1"/>
  <c r="W587" i="1"/>
  <c r="Z587" i="1" s="1"/>
  <c r="A585" i="1"/>
  <c r="J585" i="1"/>
  <c r="K585" i="1"/>
  <c r="P585" i="1"/>
  <c r="W585" i="1"/>
  <c r="Z585" i="1" s="1"/>
  <c r="W584" i="1"/>
  <c r="Z584" i="1" s="1"/>
  <c r="P584" i="1"/>
  <c r="K584" i="1"/>
  <c r="J584" i="1"/>
  <c r="A584" i="1"/>
  <c r="A583" i="1"/>
  <c r="J583" i="1"/>
  <c r="K583" i="1"/>
  <c r="P583" i="1"/>
  <c r="W583" i="1"/>
  <c r="Z583" i="1" s="1"/>
  <c r="W582" i="1"/>
  <c r="Z582" i="1" s="1"/>
  <c r="P582" i="1"/>
  <c r="K582" i="1"/>
  <c r="J582" i="1"/>
  <c r="A582" i="1"/>
  <c r="W581" i="1"/>
  <c r="Z581" i="1" s="1"/>
  <c r="P581" i="1"/>
  <c r="K581" i="1"/>
  <c r="J581" i="1"/>
  <c r="A581" i="1"/>
  <c r="W580" i="1"/>
  <c r="Z580" i="1" s="1"/>
  <c r="P580" i="1"/>
  <c r="K580" i="1"/>
  <c r="J580" i="1"/>
  <c r="A580" i="1"/>
  <c r="W579" i="1"/>
  <c r="Z579" i="1" s="1"/>
  <c r="P579" i="1"/>
  <c r="K579" i="1"/>
  <c r="J579" i="1"/>
  <c r="A579" i="1"/>
  <c r="W578" i="1"/>
  <c r="Z578" i="1" s="1"/>
  <c r="P578" i="1"/>
  <c r="K578" i="1"/>
  <c r="J578" i="1"/>
  <c r="A578" i="1"/>
  <c r="W576" i="1"/>
  <c r="Z576" i="1" s="1"/>
  <c r="P576" i="1"/>
  <c r="K576" i="1"/>
  <c r="J576" i="1"/>
  <c r="A576" i="1"/>
  <c r="A575" i="1"/>
  <c r="J575" i="1"/>
  <c r="K575" i="1"/>
  <c r="P575" i="1"/>
  <c r="W575" i="1"/>
  <c r="Z575" i="1" s="1"/>
  <c r="W574" i="1"/>
  <c r="Z574" i="1" s="1"/>
  <c r="P574" i="1"/>
  <c r="K574" i="1"/>
  <c r="J574" i="1"/>
  <c r="A574" i="1"/>
  <c r="A573" i="1"/>
  <c r="J573" i="1"/>
  <c r="K573" i="1"/>
  <c r="P573" i="1"/>
  <c r="W573" i="1"/>
  <c r="Z573" i="1" s="1"/>
  <c r="W91" i="3"/>
  <c r="Z91" i="3" s="1"/>
  <c r="P91" i="3"/>
  <c r="K91" i="3"/>
  <c r="J91" i="3"/>
  <c r="A91" i="3"/>
  <c r="A90" i="3"/>
  <c r="J90" i="3"/>
  <c r="K90" i="3"/>
  <c r="P90" i="3"/>
  <c r="W90" i="3"/>
  <c r="Z90" i="3" s="1"/>
  <c r="A89" i="3"/>
  <c r="J89" i="3"/>
  <c r="K89" i="3"/>
  <c r="P89" i="3"/>
  <c r="W89" i="3"/>
  <c r="Z89" i="3" s="1"/>
  <c r="A572" i="1"/>
  <c r="J572" i="1"/>
  <c r="K572" i="1"/>
  <c r="P572" i="1"/>
  <c r="W572" i="1"/>
  <c r="Z572" i="1" s="1"/>
  <c r="A570" i="1"/>
  <c r="J570" i="1"/>
  <c r="K570" i="1"/>
  <c r="P570" i="1"/>
  <c r="W570" i="1"/>
  <c r="Z570" i="1" s="1"/>
  <c r="W569" i="1"/>
  <c r="Z569" i="1" s="1"/>
  <c r="P569" i="1"/>
  <c r="K569" i="1"/>
  <c r="J569" i="1"/>
  <c r="A569" i="1"/>
  <c r="A568" i="1"/>
  <c r="J568" i="1"/>
  <c r="K568" i="1"/>
  <c r="P568" i="1"/>
  <c r="W568" i="1"/>
  <c r="Z568" i="1" s="1"/>
  <c r="W567" i="1"/>
  <c r="Z567" i="1" s="1"/>
  <c r="P567" i="1"/>
  <c r="K567" i="1"/>
  <c r="J567" i="1"/>
  <c r="A567" i="1"/>
  <c r="W603" i="1" l="1"/>
  <c r="Z603" i="1" s="1"/>
  <c r="P603" i="1"/>
  <c r="W589" i="1"/>
  <c r="Z589" i="1" s="1"/>
  <c r="S566" i="1"/>
  <c r="M566" i="1"/>
  <c r="P566" i="1" s="1"/>
  <c r="K566" i="1"/>
  <c r="J566" i="1"/>
  <c r="A566" i="1"/>
  <c r="W556" i="1"/>
  <c r="Z556" i="1" s="1"/>
  <c r="P556" i="1"/>
  <c r="K556" i="1"/>
  <c r="J556" i="1"/>
  <c r="A556" i="1"/>
  <c r="A565" i="1"/>
  <c r="J565" i="1"/>
  <c r="K565" i="1"/>
  <c r="P565" i="1"/>
  <c r="W565" i="1"/>
  <c r="Z565" i="1" s="1"/>
  <c r="A564" i="1"/>
  <c r="J564" i="1"/>
  <c r="K564" i="1"/>
  <c r="P564" i="1"/>
  <c r="W564" i="1"/>
  <c r="Z564" i="1" s="1"/>
  <c r="A563" i="1"/>
  <c r="J563" i="1"/>
  <c r="K563" i="1"/>
  <c r="P563" i="1"/>
  <c r="W563" i="1"/>
  <c r="Z563" i="1" s="1"/>
  <c r="A562" i="1"/>
  <c r="J562" i="1"/>
  <c r="K562" i="1"/>
  <c r="P562" i="1"/>
  <c r="W562" i="1"/>
  <c r="Z562" i="1" s="1"/>
  <c r="A561" i="1"/>
  <c r="J561" i="1"/>
  <c r="K561" i="1"/>
  <c r="P561" i="1"/>
  <c r="W561" i="1"/>
  <c r="Z561" i="1" s="1"/>
  <c r="A560" i="1"/>
  <c r="J560" i="1"/>
  <c r="K560" i="1"/>
  <c r="P560" i="1"/>
  <c r="W560" i="1"/>
  <c r="Z560" i="1" s="1"/>
  <c r="W559" i="1"/>
  <c r="Z559" i="1" s="1"/>
  <c r="P559" i="1"/>
  <c r="K559" i="1"/>
  <c r="J559" i="1"/>
  <c r="A559" i="1"/>
  <c r="A558" i="1"/>
  <c r="J558" i="1"/>
  <c r="K558" i="1"/>
  <c r="P558" i="1"/>
  <c r="W558" i="1"/>
  <c r="Z558" i="1" s="1"/>
  <c r="W557" i="1"/>
  <c r="Z557" i="1" s="1"/>
  <c r="P557" i="1"/>
  <c r="K557" i="1"/>
  <c r="J557" i="1"/>
  <c r="A557" i="1"/>
  <c r="W555" i="1"/>
  <c r="Z555" i="1" s="1"/>
  <c r="P555" i="1"/>
  <c r="K555" i="1"/>
  <c r="J555" i="1"/>
  <c r="A555" i="1"/>
  <c r="S554" i="1"/>
  <c r="M554" i="1"/>
  <c r="P554" i="1" s="1"/>
  <c r="K554" i="1"/>
  <c r="J554" i="1"/>
  <c r="A554" i="1"/>
  <c r="W553" i="1"/>
  <c r="Z553" i="1" s="1"/>
  <c r="P553" i="1"/>
  <c r="K553" i="1"/>
  <c r="J553" i="1"/>
  <c r="A553" i="1"/>
  <c r="W552" i="1"/>
  <c r="Z552" i="1" s="1"/>
  <c r="P552" i="1"/>
  <c r="K552" i="1"/>
  <c r="J552" i="1"/>
  <c r="A552" i="1"/>
  <c r="W554" i="1" l="1"/>
  <c r="Z554" i="1" s="1"/>
  <c r="W566" i="1"/>
  <c r="Z566" i="1" s="1"/>
  <c r="A63" i="2"/>
  <c r="J63" i="2"/>
  <c r="K63" i="2"/>
  <c r="P63" i="2"/>
  <c r="W63" i="2"/>
  <c r="Z63" i="2" s="1"/>
  <c r="W62" i="2"/>
  <c r="Z62" i="2" s="1"/>
  <c r="P62" i="2"/>
  <c r="K62" i="2"/>
  <c r="J62" i="2"/>
  <c r="A62" i="2"/>
  <c r="A531" i="1" l="1"/>
  <c r="J531" i="1"/>
  <c r="K531" i="1"/>
  <c r="P531" i="1"/>
  <c r="W531" i="1"/>
  <c r="Z531" i="1" s="1"/>
  <c r="W544" i="1"/>
  <c r="Z544" i="1" s="1"/>
  <c r="P544" i="1"/>
  <c r="K544" i="1"/>
  <c r="J544" i="1"/>
  <c r="A544" i="1"/>
  <c r="W543" i="1"/>
  <c r="Z543" i="1" s="1"/>
  <c r="P543" i="1"/>
  <c r="K543" i="1"/>
  <c r="J543" i="1"/>
  <c r="A543" i="1"/>
  <c r="W541" i="1"/>
  <c r="Z541" i="1" s="1"/>
  <c r="P541" i="1"/>
  <c r="K541" i="1"/>
  <c r="J541" i="1"/>
  <c r="A541" i="1"/>
  <c r="W540" i="1"/>
  <c r="Z540" i="1" s="1"/>
  <c r="P540" i="1"/>
  <c r="K540" i="1"/>
  <c r="J540" i="1"/>
  <c r="A540" i="1"/>
  <c r="A520" i="1"/>
  <c r="J520" i="1"/>
  <c r="K520" i="1"/>
  <c r="P520" i="1"/>
  <c r="W520" i="1"/>
  <c r="Z520" i="1" s="1"/>
  <c r="W537" i="1"/>
  <c r="Z537" i="1" s="1"/>
  <c r="P537" i="1"/>
  <c r="K537" i="1"/>
  <c r="J537" i="1"/>
  <c r="A537" i="1"/>
  <c r="W534" i="1"/>
  <c r="Z534" i="1" s="1"/>
  <c r="P534" i="1"/>
  <c r="K534" i="1"/>
  <c r="J534" i="1"/>
  <c r="A534" i="1"/>
  <c r="W527" i="1"/>
  <c r="Z527" i="1" s="1"/>
  <c r="P527" i="1"/>
  <c r="K527" i="1"/>
  <c r="J527" i="1"/>
  <c r="A527" i="1"/>
  <c r="W525" i="1"/>
  <c r="Z525" i="1" s="1"/>
  <c r="P525" i="1"/>
  <c r="K525" i="1"/>
  <c r="J525" i="1"/>
  <c r="A525" i="1"/>
  <c r="W523" i="1"/>
  <c r="Z523" i="1" s="1"/>
  <c r="P523" i="1"/>
  <c r="K523" i="1"/>
  <c r="J523" i="1"/>
  <c r="A523" i="1"/>
  <c r="W551" i="1"/>
  <c r="Z551" i="1" s="1"/>
  <c r="P551" i="1"/>
  <c r="K551" i="1"/>
  <c r="J551" i="1"/>
  <c r="A551" i="1"/>
  <c r="A550" i="1"/>
  <c r="J550" i="1"/>
  <c r="K550" i="1"/>
  <c r="P550" i="1"/>
  <c r="W550" i="1"/>
  <c r="Z550" i="1" s="1"/>
  <c r="W549" i="1"/>
  <c r="Z549" i="1" s="1"/>
  <c r="P549" i="1"/>
  <c r="K549" i="1"/>
  <c r="J549" i="1"/>
  <c r="A549" i="1"/>
  <c r="W548" i="1"/>
  <c r="Z548" i="1" s="1"/>
  <c r="P548" i="1"/>
  <c r="K548" i="1"/>
  <c r="J548" i="1"/>
  <c r="A548" i="1"/>
  <c r="W88" i="3"/>
  <c r="Z88" i="3" s="1"/>
  <c r="P88" i="3"/>
  <c r="K88" i="3"/>
  <c r="J88" i="3"/>
  <c r="A88" i="3"/>
  <c r="A87" i="3"/>
  <c r="J87" i="3"/>
  <c r="K87" i="3"/>
  <c r="P87" i="3"/>
  <c r="W87" i="3"/>
  <c r="Z87" i="3" s="1"/>
  <c r="A86" i="3"/>
  <c r="J86" i="3"/>
  <c r="K86" i="3"/>
  <c r="P86" i="3"/>
  <c r="W86" i="3"/>
  <c r="Z86" i="3" s="1"/>
  <c r="W547" i="1"/>
  <c r="Z547" i="1" s="1"/>
  <c r="P547" i="1"/>
  <c r="K547" i="1"/>
  <c r="J547" i="1"/>
  <c r="A547" i="1"/>
  <c r="W546" i="1"/>
  <c r="Z546" i="1" s="1"/>
  <c r="P546" i="1"/>
  <c r="K546" i="1"/>
  <c r="J546" i="1"/>
  <c r="A546" i="1"/>
  <c r="W545" i="1"/>
  <c r="Z545" i="1" s="1"/>
  <c r="P545" i="1"/>
  <c r="K545" i="1"/>
  <c r="J545" i="1"/>
  <c r="A545" i="1"/>
  <c r="S542" i="1"/>
  <c r="M542" i="1"/>
  <c r="K542" i="1"/>
  <c r="J542" i="1"/>
  <c r="A542" i="1"/>
  <c r="W539" i="1"/>
  <c r="Z539" i="1" s="1"/>
  <c r="P539" i="1"/>
  <c r="K539" i="1"/>
  <c r="J539" i="1"/>
  <c r="A539" i="1"/>
  <c r="A538" i="1"/>
  <c r="J538" i="1"/>
  <c r="K538" i="1"/>
  <c r="P538" i="1"/>
  <c r="W538" i="1"/>
  <c r="Z538" i="1" s="1"/>
  <c r="W536" i="1"/>
  <c r="Z536" i="1" s="1"/>
  <c r="P536" i="1"/>
  <c r="K536" i="1"/>
  <c r="J536" i="1"/>
  <c r="A536" i="1"/>
  <c r="A535" i="1"/>
  <c r="J535" i="1"/>
  <c r="K535" i="1"/>
  <c r="P535" i="1"/>
  <c r="W535" i="1"/>
  <c r="Z535" i="1" s="1"/>
  <c r="W533" i="1"/>
  <c r="Z533" i="1" s="1"/>
  <c r="P533" i="1"/>
  <c r="K533" i="1"/>
  <c r="J533" i="1"/>
  <c r="A533" i="1"/>
  <c r="W532" i="1"/>
  <c r="Z532" i="1" s="1"/>
  <c r="P532" i="1"/>
  <c r="K532" i="1"/>
  <c r="J532" i="1"/>
  <c r="A532" i="1"/>
  <c r="W530" i="1"/>
  <c r="Z530" i="1" s="1"/>
  <c r="P530" i="1"/>
  <c r="K530" i="1"/>
  <c r="J530" i="1"/>
  <c r="A530" i="1"/>
  <c r="A529" i="1"/>
  <c r="J529" i="1"/>
  <c r="K529" i="1"/>
  <c r="P529" i="1"/>
  <c r="W529" i="1"/>
  <c r="Z529" i="1" s="1"/>
  <c r="A528" i="1"/>
  <c r="J528" i="1"/>
  <c r="K528" i="1"/>
  <c r="P528" i="1"/>
  <c r="W528" i="1"/>
  <c r="Z528" i="1" s="1"/>
  <c r="W526" i="1"/>
  <c r="Z526" i="1" s="1"/>
  <c r="P526" i="1"/>
  <c r="K526" i="1"/>
  <c r="J526" i="1"/>
  <c r="A526" i="1"/>
  <c r="A524" i="1"/>
  <c r="J524" i="1"/>
  <c r="K524" i="1"/>
  <c r="P524" i="1"/>
  <c r="W524" i="1"/>
  <c r="Z524" i="1" s="1"/>
  <c r="W522" i="1"/>
  <c r="Z522" i="1" s="1"/>
  <c r="P522" i="1"/>
  <c r="K522" i="1"/>
  <c r="J522" i="1"/>
  <c r="A522" i="1"/>
  <c r="W542" i="1" l="1"/>
  <c r="Z542" i="1" s="1"/>
  <c r="P542" i="1"/>
  <c r="W521" i="1"/>
  <c r="Z521" i="1" s="1"/>
  <c r="P521" i="1"/>
  <c r="K521" i="1"/>
  <c r="J521" i="1"/>
  <c r="A521" i="1"/>
  <c r="W61" i="2"/>
  <c r="Z61" i="2" s="1"/>
  <c r="P61" i="2"/>
  <c r="K61" i="2"/>
  <c r="J61" i="2"/>
  <c r="A61" i="2"/>
  <c r="W60" i="2" l="1"/>
  <c r="Z60" i="2" s="1"/>
  <c r="P60" i="2"/>
  <c r="K60" i="2"/>
  <c r="J60" i="2"/>
  <c r="A60" i="2"/>
  <c r="W512" i="1" l="1"/>
  <c r="Z512" i="1" s="1"/>
  <c r="P512" i="1"/>
  <c r="K512" i="1"/>
  <c r="J512" i="1"/>
  <c r="A512" i="1"/>
  <c r="W59" i="2"/>
  <c r="Z59" i="2" s="1"/>
  <c r="P59" i="2"/>
  <c r="K59" i="2"/>
  <c r="J59" i="2"/>
  <c r="A59" i="2"/>
  <c r="A519" i="1"/>
  <c r="J519" i="1"/>
  <c r="K519" i="1"/>
  <c r="P519" i="1"/>
  <c r="W519" i="1"/>
  <c r="Z519" i="1" s="1"/>
  <c r="W85" i="3"/>
  <c r="Z85" i="3" s="1"/>
  <c r="P85" i="3"/>
  <c r="K85" i="3"/>
  <c r="J85" i="3"/>
  <c r="A85" i="3"/>
  <c r="W84" i="3"/>
  <c r="Z84" i="3" s="1"/>
  <c r="P84" i="3"/>
  <c r="K84" i="3"/>
  <c r="J84" i="3"/>
  <c r="A84" i="3"/>
  <c r="W83" i="3"/>
  <c r="Z83" i="3" s="1"/>
  <c r="P83" i="3"/>
  <c r="K83" i="3"/>
  <c r="J83" i="3"/>
  <c r="A83" i="3"/>
  <c r="W82" i="3"/>
  <c r="Z82" i="3" s="1"/>
  <c r="P82" i="3"/>
  <c r="K82" i="3"/>
  <c r="J82" i="3"/>
  <c r="A82" i="3"/>
  <c r="W518" i="1"/>
  <c r="Z518" i="1" s="1"/>
  <c r="P518" i="1"/>
  <c r="K518" i="1"/>
  <c r="J518" i="1"/>
  <c r="A518" i="1"/>
  <c r="A517" i="1"/>
  <c r="J517" i="1"/>
  <c r="K517" i="1"/>
  <c r="P517" i="1"/>
  <c r="W517" i="1"/>
  <c r="Z517" i="1" s="1"/>
  <c r="W516" i="1"/>
  <c r="Z516" i="1" s="1"/>
  <c r="P516" i="1"/>
  <c r="K516" i="1"/>
  <c r="J516" i="1"/>
  <c r="A516" i="1"/>
  <c r="A515" i="1"/>
  <c r="J515" i="1"/>
  <c r="K515" i="1"/>
  <c r="P515" i="1"/>
  <c r="W515" i="1"/>
  <c r="Z515" i="1" s="1"/>
  <c r="A514" i="1"/>
  <c r="J514" i="1"/>
  <c r="K514" i="1"/>
  <c r="P514" i="1"/>
  <c r="W514" i="1"/>
  <c r="Z514" i="1" s="1"/>
  <c r="W513" i="1"/>
  <c r="Z513" i="1" s="1"/>
  <c r="P513" i="1"/>
  <c r="K513" i="1"/>
  <c r="J513" i="1"/>
  <c r="A513" i="1"/>
  <c r="W511" i="1"/>
  <c r="Z511" i="1" s="1"/>
  <c r="P511" i="1"/>
  <c r="K511" i="1"/>
  <c r="J511" i="1"/>
  <c r="A511" i="1"/>
  <c r="W510" i="1"/>
  <c r="Z510" i="1" s="1"/>
  <c r="P510" i="1"/>
  <c r="K510" i="1"/>
  <c r="J510" i="1"/>
  <c r="A510" i="1"/>
  <c r="W509" i="1"/>
  <c r="Z509" i="1" s="1"/>
  <c r="P509" i="1"/>
  <c r="K509" i="1"/>
  <c r="J509" i="1"/>
  <c r="A509" i="1"/>
  <c r="M508" i="1"/>
  <c r="P508" i="1" s="1"/>
  <c r="S508" i="1"/>
  <c r="K508" i="1"/>
  <c r="J508" i="1"/>
  <c r="A508" i="1"/>
  <c r="W507" i="1"/>
  <c r="Z507" i="1" s="1"/>
  <c r="P507" i="1"/>
  <c r="K507" i="1"/>
  <c r="J507" i="1"/>
  <c r="A507" i="1"/>
  <c r="W506" i="1"/>
  <c r="Z506" i="1" s="1"/>
  <c r="P506" i="1"/>
  <c r="K506" i="1"/>
  <c r="J506" i="1"/>
  <c r="A506" i="1"/>
  <c r="W505" i="1"/>
  <c r="Z505" i="1" s="1"/>
  <c r="P505" i="1"/>
  <c r="K505" i="1"/>
  <c r="J505" i="1"/>
  <c r="A505" i="1"/>
  <c r="A504" i="1"/>
  <c r="J504" i="1"/>
  <c r="K504" i="1"/>
  <c r="P504" i="1"/>
  <c r="W504" i="1"/>
  <c r="Z504" i="1" s="1"/>
  <c r="W503" i="1"/>
  <c r="Z503" i="1" s="1"/>
  <c r="P503" i="1"/>
  <c r="K503" i="1"/>
  <c r="J503" i="1"/>
  <c r="A503" i="1"/>
  <c r="A502" i="1"/>
  <c r="J502" i="1"/>
  <c r="K502" i="1"/>
  <c r="P502" i="1"/>
  <c r="W502" i="1"/>
  <c r="Z502" i="1" s="1"/>
  <c r="A501" i="1"/>
  <c r="J501" i="1"/>
  <c r="K501" i="1"/>
  <c r="P501" i="1"/>
  <c r="W501" i="1"/>
  <c r="Z501" i="1" s="1"/>
  <c r="A500" i="1"/>
  <c r="J500" i="1"/>
  <c r="K500" i="1"/>
  <c r="P500" i="1"/>
  <c r="W500" i="1"/>
  <c r="Z500" i="1" s="1"/>
  <c r="A499" i="1"/>
  <c r="J499" i="1"/>
  <c r="K499" i="1"/>
  <c r="P499" i="1"/>
  <c r="W499" i="1"/>
  <c r="Z499" i="1" s="1"/>
  <c r="W498" i="1"/>
  <c r="Z498" i="1" s="1"/>
  <c r="P498" i="1"/>
  <c r="K498" i="1"/>
  <c r="J498" i="1"/>
  <c r="A498" i="1"/>
  <c r="W497" i="1"/>
  <c r="Z497" i="1" s="1"/>
  <c r="P497" i="1"/>
  <c r="K497" i="1"/>
  <c r="J497" i="1"/>
  <c r="A497" i="1"/>
  <c r="K496" i="1"/>
  <c r="S496" i="1"/>
  <c r="M496" i="1"/>
  <c r="P496" i="1" s="1"/>
  <c r="J496" i="1"/>
  <c r="A496" i="1"/>
  <c r="W495" i="1"/>
  <c r="Z495" i="1" s="1"/>
  <c r="P495" i="1"/>
  <c r="K495" i="1"/>
  <c r="J495" i="1"/>
  <c r="A495" i="1"/>
  <c r="W494" i="1"/>
  <c r="Z494" i="1" s="1"/>
  <c r="P494" i="1"/>
  <c r="K494" i="1"/>
  <c r="J494" i="1"/>
  <c r="A494" i="1"/>
  <c r="A493" i="1"/>
  <c r="J493" i="1"/>
  <c r="K493" i="1"/>
  <c r="P493" i="1"/>
  <c r="W493" i="1"/>
  <c r="Z493" i="1" s="1"/>
  <c r="W492" i="1"/>
  <c r="Z492" i="1" s="1"/>
  <c r="P492" i="1"/>
  <c r="K492" i="1"/>
  <c r="J492" i="1"/>
  <c r="A492" i="1"/>
  <c r="A491" i="1"/>
  <c r="J491" i="1"/>
  <c r="K491" i="1"/>
  <c r="P491" i="1"/>
  <c r="W491" i="1"/>
  <c r="Z491" i="1" s="1"/>
  <c r="W490" i="1"/>
  <c r="Z490" i="1" s="1"/>
  <c r="P490" i="1"/>
  <c r="K490" i="1"/>
  <c r="J490" i="1"/>
  <c r="A490" i="1"/>
  <c r="S489" i="1"/>
  <c r="M489" i="1"/>
  <c r="P489" i="1" s="1"/>
  <c r="K489" i="1"/>
  <c r="J489" i="1"/>
  <c r="A489" i="1"/>
  <c r="W488" i="1"/>
  <c r="Z488" i="1" s="1"/>
  <c r="P488" i="1"/>
  <c r="K488" i="1"/>
  <c r="J488" i="1"/>
  <c r="A488" i="1"/>
  <c r="W496" i="1" l="1"/>
  <c r="Z496" i="1" s="1"/>
  <c r="W489" i="1"/>
  <c r="Z489" i="1" s="1"/>
  <c r="W508" i="1"/>
  <c r="Z508" i="1" s="1"/>
  <c r="A487" i="1"/>
  <c r="J487" i="1"/>
  <c r="K487" i="1"/>
  <c r="P487" i="1"/>
  <c r="W487" i="1"/>
  <c r="Z487" i="1" s="1"/>
  <c r="A486" i="1"/>
  <c r="J486" i="1"/>
  <c r="K486" i="1"/>
  <c r="P486" i="1"/>
  <c r="W486" i="1"/>
  <c r="Z486" i="1" s="1"/>
  <c r="W58" i="2" l="1"/>
  <c r="Z58" i="2" s="1"/>
  <c r="P58" i="2"/>
  <c r="K58" i="2"/>
  <c r="J58" i="2"/>
  <c r="A58" i="2"/>
  <c r="W57" i="2"/>
  <c r="Z57" i="2" s="1"/>
  <c r="P57" i="2"/>
  <c r="K57" i="2"/>
  <c r="J57" i="2"/>
  <c r="A57" i="2"/>
  <c r="W484" i="1" l="1"/>
  <c r="Z484" i="1" s="1"/>
  <c r="P484" i="1"/>
  <c r="K484" i="1"/>
  <c r="J484" i="1"/>
  <c r="A484" i="1"/>
  <c r="W470" i="1"/>
  <c r="Z470" i="1" s="1"/>
  <c r="P470" i="1"/>
  <c r="K470" i="1"/>
  <c r="J470" i="1"/>
  <c r="A470" i="1"/>
  <c r="W473" i="1"/>
  <c r="Z473" i="1" s="1"/>
  <c r="P473" i="1"/>
  <c r="K473" i="1"/>
  <c r="J473" i="1"/>
  <c r="A473" i="1"/>
  <c r="W472" i="1"/>
  <c r="Z472" i="1" s="1"/>
  <c r="P472" i="1"/>
  <c r="K472" i="1"/>
  <c r="J472" i="1"/>
  <c r="A472" i="1"/>
  <c r="W471" i="1"/>
  <c r="Z471" i="1" s="1"/>
  <c r="P471" i="1"/>
  <c r="K471" i="1"/>
  <c r="J471" i="1"/>
  <c r="A471" i="1"/>
  <c r="W469" i="1"/>
  <c r="Z469" i="1" s="1"/>
  <c r="P469" i="1"/>
  <c r="K469" i="1"/>
  <c r="J469" i="1"/>
  <c r="A469" i="1"/>
  <c r="W476" i="1"/>
  <c r="Z476" i="1" s="1"/>
  <c r="P476" i="1"/>
  <c r="K476" i="1"/>
  <c r="J476" i="1"/>
  <c r="A476" i="1"/>
  <c r="W475" i="1"/>
  <c r="Z475" i="1" s="1"/>
  <c r="P475" i="1"/>
  <c r="K475" i="1"/>
  <c r="J475" i="1"/>
  <c r="A475" i="1"/>
  <c r="A81" i="3"/>
  <c r="J81" i="3"/>
  <c r="K81" i="3"/>
  <c r="P81" i="3"/>
  <c r="W81" i="3"/>
  <c r="Z81" i="3" s="1"/>
  <c r="A485" i="1"/>
  <c r="J485" i="1"/>
  <c r="K485" i="1"/>
  <c r="P485" i="1"/>
  <c r="W485" i="1"/>
  <c r="Z485" i="1" s="1"/>
  <c r="A80" i="3"/>
  <c r="J80" i="3"/>
  <c r="K80" i="3"/>
  <c r="P80" i="3"/>
  <c r="W80" i="3"/>
  <c r="Z80" i="3" s="1"/>
  <c r="A483" i="1"/>
  <c r="J483" i="1"/>
  <c r="K483" i="1"/>
  <c r="P483" i="1"/>
  <c r="W483" i="1"/>
  <c r="Z483" i="1" s="1"/>
  <c r="W482" i="1"/>
  <c r="Z482" i="1" s="1"/>
  <c r="P482" i="1"/>
  <c r="K482" i="1"/>
  <c r="J482" i="1"/>
  <c r="A482" i="1"/>
  <c r="W481" i="1"/>
  <c r="Z481" i="1" s="1"/>
  <c r="P481" i="1"/>
  <c r="K481" i="1"/>
  <c r="J481" i="1"/>
  <c r="A481" i="1"/>
  <c r="A480" i="1"/>
  <c r="J480" i="1"/>
  <c r="K480" i="1"/>
  <c r="P480" i="1"/>
  <c r="W480" i="1"/>
  <c r="Z480" i="1" s="1"/>
  <c r="W479" i="1"/>
  <c r="Z479" i="1" s="1"/>
  <c r="P479" i="1"/>
  <c r="K479" i="1"/>
  <c r="J479" i="1"/>
  <c r="A479" i="1"/>
  <c r="A478" i="1"/>
  <c r="J478" i="1"/>
  <c r="K478" i="1"/>
  <c r="P478" i="1"/>
  <c r="W478" i="1"/>
  <c r="Z478" i="1" s="1"/>
  <c r="A477" i="1"/>
  <c r="J477" i="1"/>
  <c r="K477" i="1"/>
  <c r="P477" i="1"/>
  <c r="W477" i="1"/>
  <c r="Z477" i="1" s="1"/>
  <c r="W474" i="1"/>
  <c r="Z474" i="1" s="1"/>
  <c r="P474" i="1"/>
  <c r="K474" i="1"/>
  <c r="J474" i="1"/>
  <c r="A474" i="1"/>
  <c r="W56" i="2" l="1"/>
  <c r="Z56" i="2" s="1"/>
  <c r="P56" i="2"/>
  <c r="K56" i="2"/>
  <c r="J56" i="2"/>
  <c r="A56" i="2"/>
  <c r="A55" i="2"/>
  <c r="J55" i="2"/>
  <c r="K55" i="2"/>
  <c r="P55" i="2"/>
  <c r="W55" i="2"/>
  <c r="Z55" i="2" s="1"/>
  <c r="W458" i="1"/>
  <c r="Z458" i="1" s="1"/>
  <c r="P458" i="1"/>
  <c r="K458" i="1"/>
  <c r="J458" i="1"/>
  <c r="A458" i="1"/>
  <c r="W456" i="1"/>
  <c r="Z456" i="1" s="1"/>
  <c r="P456" i="1"/>
  <c r="K456" i="1"/>
  <c r="J456" i="1"/>
  <c r="A456" i="1"/>
  <c r="W455" i="1"/>
  <c r="Z455" i="1" s="1"/>
  <c r="P455" i="1"/>
  <c r="K455" i="1"/>
  <c r="J455" i="1"/>
  <c r="A455" i="1"/>
  <c r="W468" i="1"/>
  <c r="Z468" i="1" s="1"/>
  <c r="P468" i="1"/>
  <c r="K468" i="1"/>
  <c r="J468" i="1"/>
  <c r="A468" i="1"/>
  <c r="W467" i="1"/>
  <c r="Z467" i="1" s="1"/>
  <c r="P467" i="1"/>
  <c r="K467" i="1"/>
  <c r="J467" i="1"/>
  <c r="A467" i="1"/>
  <c r="W466" i="1"/>
  <c r="Z466" i="1" s="1"/>
  <c r="P466" i="1"/>
  <c r="K466" i="1"/>
  <c r="J466" i="1"/>
  <c r="A466" i="1"/>
  <c r="W465" i="1"/>
  <c r="Z465" i="1" s="1"/>
  <c r="P465" i="1"/>
  <c r="K465" i="1"/>
  <c r="J465" i="1"/>
  <c r="A465" i="1"/>
  <c r="W79" i="3"/>
  <c r="Z79" i="3" s="1"/>
  <c r="P79" i="3"/>
  <c r="K79" i="3"/>
  <c r="J79" i="3"/>
  <c r="A79" i="3"/>
  <c r="W78" i="3"/>
  <c r="Z78" i="3" s="1"/>
  <c r="P78" i="3"/>
  <c r="K78" i="3"/>
  <c r="J78" i="3"/>
  <c r="A78" i="3"/>
  <c r="W464" i="1"/>
  <c r="Z464" i="1" s="1"/>
  <c r="P464" i="1"/>
  <c r="K464" i="1"/>
  <c r="J464" i="1"/>
  <c r="A464" i="1"/>
  <c r="W77" i="3"/>
  <c r="Z77" i="3" s="1"/>
  <c r="P77" i="3"/>
  <c r="K77" i="3"/>
  <c r="J77" i="3"/>
  <c r="A77" i="3"/>
  <c r="W76" i="3"/>
  <c r="Z76" i="3" s="1"/>
  <c r="P76" i="3"/>
  <c r="K76" i="3"/>
  <c r="J76" i="3"/>
  <c r="A76" i="3"/>
  <c r="W463" i="1"/>
  <c r="Z463" i="1" s="1"/>
  <c r="P463" i="1"/>
  <c r="K463" i="1"/>
  <c r="J463" i="1"/>
  <c r="A463" i="1"/>
  <c r="W54" i="2"/>
  <c r="Z54" i="2" s="1"/>
  <c r="P54" i="2"/>
  <c r="K54" i="2"/>
  <c r="J54" i="2"/>
  <c r="A54" i="2"/>
  <c r="W462" i="1"/>
  <c r="Z462" i="1" s="1"/>
  <c r="P462" i="1"/>
  <c r="K462" i="1"/>
  <c r="J462" i="1"/>
  <c r="A462" i="1"/>
  <c r="W461" i="1"/>
  <c r="Z461" i="1" s="1"/>
  <c r="P461" i="1"/>
  <c r="K461" i="1"/>
  <c r="J461" i="1"/>
  <c r="A461" i="1"/>
  <c r="W460" i="1"/>
  <c r="Z460" i="1" s="1"/>
  <c r="P460" i="1"/>
  <c r="K460" i="1"/>
  <c r="J460" i="1"/>
  <c r="A460" i="1"/>
  <c r="W459" i="1"/>
  <c r="Z459" i="1" s="1"/>
  <c r="P459" i="1"/>
  <c r="K459" i="1"/>
  <c r="J459" i="1"/>
  <c r="A459" i="1"/>
  <c r="W457" i="1"/>
  <c r="Z457" i="1" s="1"/>
  <c r="P457" i="1"/>
  <c r="K457" i="1"/>
  <c r="J457" i="1"/>
  <c r="A457" i="1"/>
  <c r="W454" i="1"/>
  <c r="Z454" i="1" s="1"/>
  <c r="P454" i="1"/>
  <c r="K454" i="1"/>
  <c r="J454" i="1"/>
  <c r="A454" i="1"/>
  <c r="W453" i="1"/>
  <c r="Z453" i="1" s="1"/>
  <c r="P453" i="1"/>
  <c r="K453" i="1"/>
  <c r="J453" i="1"/>
  <c r="A453" i="1"/>
  <c r="W452" i="1"/>
  <c r="Z452" i="1" s="1"/>
  <c r="P452" i="1"/>
  <c r="K452" i="1"/>
  <c r="J452" i="1"/>
  <c r="A452" i="1"/>
  <c r="W451" i="1"/>
  <c r="Z451" i="1" s="1"/>
  <c r="P451" i="1"/>
  <c r="K451" i="1"/>
  <c r="J451" i="1"/>
  <c r="A451" i="1"/>
  <c r="W53" i="2" l="1"/>
  <c r="Z53" i="2" s="1"/>
  <c r="P53" i="2"/>
  <c r="K53" i="2"/>
  <c r="J53" i="2"/>
  <c r="A53" i="2"/>
  <c r="W450" i="1"/>
  <c r="Z450" i="1" s="1"/>
  <c r="P450" i="1"/>
  <c r="K450" i="1"/>
  <c r="J450" i="1"/>
  <c r="A450" i="1"/>
  <c r="W75" i="3"/>
  <c r="Z75" i="3" s="1"/>
  <c r="P75" i="3"/>
  <c r="K75" i="3"/>
  <c r="J75" i="3"/>
  <c r="A75" i="3"/>
  <c r="W74" i="3"/>
  <c r="Z74" i="3" s="1"/>
  <c r="P74" i="3"/>
  <c r="K74" i="3"/>
  <c r="J74" i="3"/>
  <c r="A74" i="3"/>
  <c r="W73" i="3"/>
  <c r="Z73" i="3" s="1"/>
  <c r="P73" i="3"/>
  <c r="K73" i="3"/>
  <c r="J73" i="3"/>
  <c r="A73" i="3"/>
  <c r="W72" i="3"/>
  <c r="Z72" i="3" s="1"/>
  <c r="P72" i="3"/>
  <c r="K72" i="3"/>
  <c r="J72" i="3"/>
  <c r="A72" i="3"/>
  <c r="W449" i="1"/>
  <c r="Z449" i="1" s="1"/>
  <c r="P449" i="1"/>
  <c r="K449" i="1"/>
  <c r="J449" i="1"/>
  <c r="A449" i="1"/>
  <c r="W448" i="1"/>
  <c r="Z448" i="1" s="1"/>
  <c r="P448" i="1"/>
  <c r="K448" i="1"/>
  <c r="J448" i="1"/>
  <c r="A448" i="1"/>
  <c r="W447" i="1"/>
  <c r="Z447" i="1" s="1"/>
  <c r="P447" i="1"/>
  <c r="K447" i="1"/>
  <c r="J447" i="1"/>
  <c r="A447" i="1"/>
  <c r="W446" i="1"/>
  <c r="Z446" i="1" s="1"/>
  <c r="P446" i="1"/>
  <c r="K446" i="1"/>
  <c r="J446" i="1"/>
  <c r="A446" i="1"/>
  <c r="W434" i="1" l="1"/>
  <c r="Z434" i="1" s="1"/>
  <c r="P434" i="1"/>
  <c r="K434" i="1"/>
  <c r="J434" i="1"/>
  <c r="A434" i="1"/>
  <c r="W439" i="1"/>
  <c r="Z439" i="1" s="1"/>
  <c r="P439" i="1"/>
  <c r="K439" i="1"/>
  <c r="J439" i="1"/>
  <c r="A439" i="1"/>
  <c r="W445" i="1"/>
  <c r="Z445" i="1" s="1"/>
  <c r="P445" i="1"/>
  <c r="K445" i="1"/>
  <c r="J445" i="1"/>
  <c r="A445" i="1"/>
  <c r="W444" i="1"/>
  <c r="Z444" i="1" s="1"/>
  <c r="P444" i="1"/>
  <c r="K444" i="1"/>
  <c r="J444" i="1"/>
  <c r="A444" i="1"/>
  <c r="W443" i="1"/>
  <c r="Z443" i="1" s="1"/>
  <c r="P443" i="1"/>
  <c r="K443" i="1"/>
  <c r="J443" i="1"/>
  <c r="A443" i="1"/>
  <c r="W442" i="1"/>
  <c r="Z442" i="1" s="1"/>
  <c r="P442" i="1"/>
  <c r="K442" i="1"/>
  <c r="J442" i="1"/>
  <c r="A442" i="1"/>
  <c r="W441" i="1"/>
  <c r="Z441" i="1" s="1"/>
  <c r="P441" i="1"/>
  <c r="K441" i="1"/>
  <c r="J441" i="1"/>
  <c r="A441" i="1"/>
  <c r="W440" i="1"/>
  <c r="Z440" i="1" s="1"/>
  <c r="P440" i="1"/>
  <c r="K440" i="1"/>
  <c r="J440" i="1"/>
  <c r="A440" i="1"/>
  <c r="W438" i="1"/>
  <c r="Z438" i="1" s="1"/>
  <c r="P438" i="1"/>
  <c r="K438" i="1"/>
  <c r="J438" i="1"/>
  <c r="A438" i="1"/>
  <c r="S437" i="1"/>
  <c r="M437" i="1"/>
  <c r="P437" i="1" s="1"/>
  <c r="K437" i="1"/>
  <c r="J437" i="1"/>
  <c r="A437" i="1"/>
  <c r="W436" i="1"/>
  <c r="Z436" i="1" s="1"/>
  <c r="P436" i="1"/>
  <c r="K436" i="1"/>
  <c r="J436" i="1"/>
  <c r="A436" i="1"/>
  <c r="W435" i="1"/>
  <c r="Z435" i="1" s="1"/>
  <c r="P435" i="1"/>
  <c r="K435" i="1"/>
  <c r="J435" i="1"/>
  <c r="A435" i="1"/>
  <c r="W433" i="1"/>
  <c r="Z433" i="1" s="1"/>
  <c r="P433" i="1"/>
  <c r="K433" i="1"/>
  <c r="J433" i="1"/>
  <c r="A433" i="1"/>
  <c r="W432" i="1"/>
  <c r="Z432" i="1" s="1"/>
  <c r="P432" i="1"/>
  <c r="K432" i="1"/>
  <c r="J432" i="1"/>
  <c r="A432" i="1"/>
  <c r="W431" i="1"/>
  <c r="Z431" i="1" s="1"/>
  <c r="P431" i="1"/>
  <c r="K431" i="1"/>
  <c r="J431" i="1"/>
  <c r="A431" i="1"/>
  <c r="W430" i="1"/>
  <c r="Z430" i="1" s="1"/>
  <c r="P430" i="1"/>
  <c r="K430" i="1"/>
  <c r="J430" i="1"/>
  <c r="A430" i="1"/>
  <c r="W429" i="1"/>
  <c r="Z429" i="1" s="1"/>
  <c r="P429" i="1"/>
  <c r="K429" i="1"/>
  <c r="J429" i="1"/>
  <c r="A429" i="1"/>
  <c r="W428" i="1"/>
  <c r="Z428" i="1" s="1"/>
  <c r="P428" i="1"/>
  <c r="K428" i="1"/>
  <c r="J428" i="1"/>
  <c r="A428" i="1"/>
  <c r="W52" i="2"/>
  <c r="Z52" i="2" s="1"/>
  <c r="P52" i="2"/>
  <c r="K52" i="2"/>
  <c r="J52" i="2"/>
  <c r="A52" i="2"/>
  <c r="W427" i="1"/>
  <c r="Z427" i="1" s="1"/>
  <c r="P427" i="1"/>
  <c r="K427" i="1"/>
  <c r="J427" i="1"/>
  <c r="A427" i="1"/>
  <c r="W437" i="1" l="1"/>
  <c r="Z437" i="1" s="1"/>
  <c r="W416" i="1"/>
  <c r="Z416" i="1" s="1"/>
  <c r="P416" i="1"/>
  <c r="K416" i="1"/>
  <c r="J416" i="1"/>
  <c r="A416" i="1"/>
  <c r="W413" i="1"/>
  <c r="Z413" i="1" s="1"/>
  <c r="P413" i="1"/>
  <c r="K413" i="1"/>
  <c r="J413" i="1"/>
  <c r="A413" i="1"/>
  <c r="W51" i="2"/>
  <c r="Z51" i="2" s="1"/>
  <c r="P51" i="2"/>
  <c r="K51" i="2"/>
  <c r="J51" i="2"/>
  <c r="A51" i="2"/>
  <c r="W426" i="1"/>
  <c r="Z426" i="1" s="1"/>
  <c r="P426" i="1"/>
  <c r="K426" i="1"/>
  <c r="J426" i="1"/>
  <c r="A426" i="1"/>
  <c r="A425" i="1"/>
  <c r="J425" i="1"/>
  <c r="K425" i="1"/>
  <c r="P425" i="1"/>
  <c r="W425" i="1"/>
  <c r="Z425" i="1" s="1"/>
  <c r="W424" i="1"/>
  <c r="Z424" i="1" s="1"/>
  <c r="P424" i="1"/>
  <c r="K424" i="1"/>
  <c r="J424" i="1"/>
  <c r="A424" i="1"/>
  <c r="A423" i="1"/>
  <c r="J423" i="1"/>
  <c r="K423" i="1"/>
  <c r="P423" i="1"/>
  <c r="W423" i="1"/>
  <c r="Z423" i="1" s="1"/>
  <c r="W422" i="1"/>
  <c r="Z422" i="1" s="1"/>
  <c r="P422" i="1"/>
  <c r="K422" i="1"/>
  <c r="J422" i="1"/>
  <c r="A422" i="1"/>
  <c r="W421" i="1"/>
  <c r="Z421" i="1" s="1"/>
  <c r="P421" i="1"/>
  <c r="K421" i="1"/>
  <c r="J421" i="1"/>
  <c r="A421" i="1"/>
  <c r="W71" i="3"/>
  <c r="Z71" i="3" s="1"/>
  <c r="P71" i="3"/>
  <c r="K71" i="3"/>
  <c r="J71" i="3"/>
  <c r="A71" i="3"/>
  <c r="A70" i="3"/>
  <c r="J70" i="3"/>
  <c r="K70" i="3"/>
  <c r="P70" i="3"/>
  <c r="W70" i="3"/>
  <c r="Z70" i="3" s="1"/>
  <c r="W69" i="3"/>
  <c r="Z69" i="3" s="1"/>
  <c r="P69" i="3"/>
  <c r="K69" i="3"/>
  <c r="J69" i="3"/>
  <c r="A69" i="3"/>
  <c r="W420" i="1"/>
  <c r="Z420" i="1" s="1"/>
  <c r="P420" i="1"/>
  <c r="K420" i="1"/>
  <c r="J420" i="1"/>
  <c r="A420" i="1"/>
  <c r="A419" i="1"/>
  <c r="J419" i="1"/>
  <c r="K419" i="1"/>
  <c r="P419" i="1"/>
  <c r="W419" i="1"/>
  <c r="Z419" i="1" s="1"/>
  <c r="A418" i="1"/>
  <c r="J418" i="1"/>
  <c r="K418" i="1"/>
  <c r="P418" i="1"/>
  <c r="W418" i="1"/>
  <c r="Z418" i="1" s="1"/>
  <c r="A417" i="1"/>
  <c r="J417" i="1"/>
  <c r="K417" i="1"/>
  <c r="P417" i="1"/>
  <c r="W417" i="1"/>
  <c r="Z417" i="1" s="1"/>
  <c r="A415" i="1"/>
  <c r="J415" i="1"/>
  <c r="K415" i="1"/>
  <c r="P415" i="1"/>
  <c r="W415" i="1"/>
  <c r="Z415" i="1" s="1"/>
  <c r="W414" i="1"/>
  <c r="Z414" i="1" s="1"/>
  <c r="P414" i="1"/>
  <c r="K414" i="1"/>
  <c r="J414" i="1"/>
  <c r="A414" i="1"/>
  <c r="A388" i="1" l="1"/>
  <c r="J388" i="1"/>
  <c r="K388" i="1"/>
  <c r="P388" i="1"/>
  <c r="W388" i="1"/>
  <c r="Z388" i="1" s="1"/>
  <c r="W50" i="2"/>
  <c r="Z50" i="2" s="1"/>
  <c r="P50" i="2"/>
  <c r="K50" i="2"/>
  <c r="J50" i="2"/>
  <c r="A50" i="2"/>
  <c r="M396" i="1"/>
  <c r="W412" i="1"/>
  <c r="Z412" i="1" s="1"/>
  <c r="P412" i="1"/>
  <c r="K412" i="1"/>
  <c r="J412" i="1"/>
  <c r="A412" i="1"/>
  <c r="S411" i="1"/>
  <c r="M411" i="1"/>
  <c r="P411" i="1" s="1"/>
  <c r="K411" i="1"/>
  <c r="J411" i="1"/>
  <c r="A411" i="1"/>
  <c r="W410" i="1"/>
  <c r="Z410" i="1" s="1"/>
  <c r="P410" i="1"/>
  <c r="K410" i="1"/>
  <c r="J410" i="1"/>
  <c r="A410" i="1"/>
  <c r="W409" i="1"/>
  <c r="Z409" i="1" s="1"/>
  <c r="P409" i="1"/>
  <c r="K409" i="1"/>
  <c r="J409" i="1"/>
  <c r="A409" i="1"/>
  <c r="W408" i="1"/>
  <c r="Z408" i="1" s="1"/>
  <c r="P408" i="1"/>
  <c r="K408" i="1"/>
  <c r="J408" i="1"/>
  <c r="A408" i="1"/>
  <c r="W407" i="1"/>
  <c r="Z407" i="1" s="1"/>
  <c r="P407" i="1"/>
  <c r="K407" i="1"/>
  <c r="J407" i="1"/>
  <c r="A407" i="1"/>
  <c r="W406" i="1"/>
  <c r="Z406" i="1" s="1"/>
  <c r="P406" i="1"/>
  <c r="K406" i="1"/>
  <c r="J406" i="1"/>
  <c r="A406" i="1"/>
  <c r="W405" i="1"/>
  <c r="Z405" i="1" s="1"/>
  <c r="P405" i="1"/>
  <c r="K405" i="1"/>
  <c r="J405" i="1"/>
  <c r="A405" i="1"/>
  <c r="W404" i="1"/>
  <c r="Z404" i="1" s="1"/>
  <c r="P404" i="1"/>
  <c r="K404" i="1"/>
  <c r="J404" i="1"/>
  <c r="A404" i="1"/>
  <c r="W403" i="1"/>
  <c r="Z403" i="1" s="1"/>
  <c r="P403" i="1"/>
  <c r="K403" i="1"/>
  <c r="J403" i="1"/>
  <c r="A403" i="1"/>
  <c r="W402" i="1"/>
  <c r="Z402" i="1" s="1"/>
  <c r="P402" i="1"/>
  <c r="K402" i="1"/>
  <c r="J402" i="1"/>
  <c r="A402" i="1"/>
  <c r="W401" i="1"/>
  <c r="Z401" i="1" s="1"/>
  <c r="P401" i="1"/>
  <c r="K401" i="1"/>
  <c r="J401" i="1"/>
  <c r="A401" i="1"/>
  <c r="W400" i="1"/>
  <c r="Z400" i="1" s="1"/>
  <c r="P400" i="1"/>
  <c r="K400" i="1"/>
  <c r="J400" i="1"/>
  <c r="A400" i="1"/>
  <c r="W399" i="1"/>
  <c r="Z399" i="1" s="1"/>
  <c r="P399" i="1"/>
  <c r="K399" i="1"/>
  <c r="J399" i="1"/>
  <c r="A399" i="1"/>
  <c r="W398" i="1"/>
  <c r="Z398" i="1" s="1"/>
  <c r="P398" i="1"/>
  <c r="K398" i="1"/>
  <c r="J398" i="1"/>
  <c r="A398" i="1"/>
  <c r="W397" i="1"/>
  <c r="Z397" i="1" s="1"/>
  <c r="P397" i="1"/>
  <c r="K397" i="1"/>
  <c r="J397" i="1"/>
  <c r="A397" i="1"/>
  <c r="S396" i="1"/>
  <c r="J396" i="1"/>
  <c r="A396" i="1"/>
  <c r="W395" i="1"/>
  <c r="Z395" i="1" s="1"/>
  <c r="P395" i="1"/>
  <c r="K395" i="1"/>
  <c r="J395" i="1"/>
  <c r="A395" i="1"/>
  <c r="W394" i="1"/>
  <c r="Z394" i="1" s="1"/>
  <c r="P394" i="1"/>
  <c r="K394" i="1"/>
  <c r="J394" i="1"/>
  <c r="A394" i="1"/>
  <c r="W393" i="1"/>
  <c r="Z393" i="1" s="1"/>
  <c r="P393" i="1"/>
  <c r="K393" i="1"/>
  <c r="J393" i="1"/>
  <c r="A393" i="1"/>
  <c r="W392" i="1"/>
  <c r="Z392" i="1" s="1"/>
  <c r="P392" i="1"/>
  <c r="K392" i="1"/>
  <c r="J392" i="1"/>
  <c r="A392" i="1"/>
  <c r="W391" i="1"/>
  <c r="Z391" i="1" s="1"/>
  <c r="P391" i="1"/>
  <c r="K391" i="1"/>
  <c r="J391" i="1"/>
  <c r="A391" i="1"/>
  <c r="W390" i="1"/>
  <c r="Z390" i="1" s="1"/>
  <c r="P390" i="1"/>
  <c r="K390" i="1"/>
  <c r="J390" i="1"/>
  <c r="A390" i="1"/>
  <c r="W389" i="1"/>
  <c r="Z389" i="1" s="1"/>
  <c r="P389" i="1"/>
  <c r="K389" i="1"/>
  <c r="J389" i="1"/>
  <c r="A389" i="1"/>
  <c r="W387" i="1"/>
  <c r="Z387" i="1" s="1"/>
  <c r="P387" i="1"/>
  <c r="K387" i="1"/>
  <c r="J387" i="1"/>
  <c r="A387" i="1"/>
  <c r="W385" i="1"/>
  <c r="Z385" i="1" s="1"/>
  <c r="P385" i="1"/>
  <c r="K385" i="1"/>
  <c r="J385" i="1"/>
  <c r="A385" i="1"/>
  <c r="W383" i="1"/>
  <c r="Z383" i="1" s="1"/>
  <c r="P383" i="1"/>
  <c r="K383" i="1"/>
  <c r="J383" i="1"/>
  <c r="A383" i="1"/>
  <c r="W382" i="1"/>
  <c r="Z382" i="1" s="1"/>
  <c r="P382" i="1"/>
  <c r="K382" i="1"/>
  <c r="J382" i="1"/>
  <c r="A382" i="1"/>
  <c r="W381" i="1"/>
  <c r="Z381" i="1" s="1"/>
  <c r="P381" i="1"/>
  <c r="K381" i="1"/>
  <c r="J381" i="1"/>
  <c r="A381" i="1"/>
  <c r="W49" i="2"/>
  <c r="Z49" i="2" s="1"/>
  <c r="P49" i="2"/>
  <c r="K49" i="2"/>
  <c r="J49" i="2"/>
  <c r="A49" i="2"/>
  <c r="W48" i="2"/>
  <c r="Z48" i="2" s="1"/>
  <c r="P48" i="2"/>
  <c r="K48" i="2"/>
  <c r="J48" i="2"/>
  <c r="A48" i="2"/>
  <c r="A68" i="3"/>
  <c r="J68" i="3"/>
  <c r="K68" i="3"/>
  <c r="P68" i="3"/>
  <c r="W68" i="3"/>
  <c r="Z68" i="3" s="1"/>
  <c r="W67" i="3"/>
  <c r="Z67" i="3" s="1"/>
  <c r="P67" i="3"/>
  <c r="K67" i="3"/>
  <c r="J67" i="3"/>
  <c r="A67" i="3"/>
  <c r="W66" i="3"/>
  <c r="Z66" i="3" s="1"/>
  <c r="P66" i="3"/>
  <c r="K66" i="3"/>
  <c r="J66" i="3"/>
  <c r="A66" i="3"/>
  <c r="W65" i="3"/>
  <c r="Z65" i="3" s="1"/>
  <c r="P65" i="3"/>
  <c r="K65" i="3"/>
  <c r="J65" i="3"/>
  <c r="A65" i="3"/>
  <c r="A386" i="1"/>
  <c r="J386" i="1"/>
  <c r="K386" i="1"/>
  <c r="P386" i="1"/>
  <c r="W386" i="1"/>
  <c r="Z386" i="1" s="1"/>
  <c r="W384" i="1"/>
  <c r="Z384" i="1" s="1"/>
  <c r="P384" i="1"/>
  <c r="K384" i="1"/>
  <c r="J384" i="1"/>
  <c r="A384" i="1"/>
  <c r="W411" i="1" l="1"/>
  <c r="Z411" i="1" s="1"/>
  <c r="W396" i="1"/>
  <c r="Z396" i="1" s="1"/>
  <c r="P396" i="1"/>
  <c r="W47" i="2" l="1"/>
  <c r="Z47" i="2" s="1"/>
  <c r="P47" i="2"/>
  <c r="K47" i="2"/>
  <c r="J47" i="2"/>
  <c r="A47" i="2"/>
  <c r="W46" i="2"/>
  <c r="Z46" i="2" s="1"/>
  <c r="P46" i="2"/>
  <c r="K46" i="2"/>
  <c r="J46" i="2"/>
  <c r="A46" i="2"/>
  <c r="W378" i="1"/>
  <c r="Z378" i="1" s="1"/>
  <c r="P378" i="1"/>
  <c r="K378" i="1"/>
  <c r="J378" i="1"/>
  <c r="A378" i="1"/>
  <c r="W375" i="1"/>
  <c r="Z375" i="1" s="1"/>
  <c r="P375" i="1"/>
  <c r="K375" i="1"/>
  <c r="J375" i="1"/>
  <c r="A375" i="1"/>
  <c r="W372" i="1"/>
  <c r="Z372" i="1" s="1"/>
  <c r="P372" i="1"/>
  <c r="K372" i="1"/>
  <c r="J372" i="1"/>
  <c r="A372" i="1"/>
  <c r="A64" i="3"/>
  <c r="J64" i="3"/>
  <c r="K64" i="3"/>
  <c r="P64" i="3"/>
  <c r="W64" i="3"/>
  <c r="Z64" i="3" s="1"/>
  <c r="W380" i="1"/>
  <c r="Z380" i="1" s="1"/>
  <c r="P380" i="1"/>
  <c r="K380" i="1"/>
  <c r="J380" i="1"/>
  <c r="A380" i="1"/>
  <c r="W379" i="1"/>
  <c r="Z379" i="1" s="1"/>
  <c r="P379" i="1"/>
  <c r="K379" i="1"/>
  <c r="J379" i="1"/>
  <c r="A379" i="1"/>
  <c r="A63" i="3"/>
  <c r="J63" i="3"/>
  <c r="K63" i="3"/>
  <c r="P63" i="3"/>
  <c r="W63" i="3"/>
  <c r="Z63" i="3" s="1"/>
  <c r="A62" i="3"/>
  <c r="J62" i="3"/>
  <c r="K62" i="3"/>
  <c r="P62" i="3"/>
  <c r="W62" i="3"/>
  <c r="Z62" i="3" s="1"/>
  <c r="W377" i="1"/>
  <c r="Z377" i="1" s="1"/>
  <c r="P377" i="1"/>
  <c r="K377" i="1"/>
  <c r="J377" i="1"/>
  <c r="A377" i="1"/>
  <c r="S376" i="1"/>
  <c r="M376" i="1"/>
  <c r="K376" i="1"/>
  <c r="J376" i="1"/>
  <c r="A376" i="1"/>
  <c r="A374" i="1"/>
  <c r="J374" i="1"/>
  <c r="K374" i="1"/>
  <c r="P374" i="1"/>
  <c r="W374" i="1"/>
  <c r="Z374" i="1" s="1"/>
  <c r="A373" i="1"/>
  <c r="J373" i="1"/>
  <c r="K373" i="1"/>
  <c r="P373" i="1"/>
  <c r="W373" i="1"/>
  <c r="Z373" i="1" s="1"/>
  <c r="A371" i="1"/>
  <c r="J371" i="1"/>
  <c r="K371" i="1"/>
  <c r="P371" i="1"/>
  <c r="W371" i="1"/>
  <c r="Z371" i="1" s="1"/>
  <c r="A370" i="1"/>
  <c r="J370" i="1"/>
  <c r="K370" i="1"/>
  <c r="P370" i="1"/>
  <c r="W370" i="1"/>
  <c r="Z370" i="1" s="1"/>
  <c r="W376" i="1" l="1"/>
  <c r="Z376" i="1" s="1"/>
  <c r="W45" i="2" l="1"/>
  <c r="Z45" i="2" s="1"/>
  <c r="P45" i="2"/>
  <c r="K45" i="2"/>
  <c r="J45" i="2"/>
  <c r="A45" i="2"/>
  <c r="W43" i="2" l="1"/>
  <c r="Z43" i="2" s="1"/>
  <c r="P43" i="2"/>
  <c r="K43" i="2"/>
  <c r="J43" i="2"/>
  <c r="A43" i="2"/>
  <c r="W364" i="1" l="1"/>
  <c r="Z364" i="1" s="1"/>
  <c r="P364" i="1"/>
  <c r="K364" i="1"/>
  <c r="J364" i="1"/>
  <c r="A364" i="1"/>
  <c r="W367" i="1"/>
  <c r="Z367" i="1" s="1"/>
  <c r="P367" i="1"/>
  <c r="K367" i="1"/>
  <c r="J367" i="1"/>
  <c r="A367" i="1"/>
  <c r="S366" i="1"/>
  <c r="M366" i="1"/>
  <c r="P366" i="1" s="1"/>
  <c r="K366" i="1"/>
  <c r="J366" i="1"/>
  <c r="A366" i="1"/>
  <c r="W365" i="1"/>
  <c r="Z365" i="1" s="1"/>
  <c r="P365" i="1"/>
  <c r="K365" i="1"/>
  <c r="J365" i="1"/>
  <c r="A365" i="1"/>
  <c r="W362" i="1"/>
  <c r="Z362" i="1" s="1"/>
  <c r="P362" i="1"/>
  <c r="K362" i="1"/>
  <c r="J362" i="1"/>
  <c r="A362" i="1"/>
  <c r="W361" i="1"/>
  <c r="Z361" i="1" s="1"/>
  <c r="P361" i="1"/>
  <c r="K361" i="1"/>
  <c r="J361" i="1"/>
  <c r="A361" i="1"/>
  <c r="W360" i="1"/>
  <c r="Z360" i="1" s="1"/>
  <c r="P360" i="1"/>
  <c r="K360" i="1"/>
  <c r="J360" i="1"/>
  <c r="A360" i="1"/>
  <c r="W359" i="1"/>
  <c r="Z359" i="1" s="1"/>
  <c r="P359" i="1"/>
  <c r="K359" i="1"/>
  <c r="J359" i="1"/>
  <c r="A359" i="1"/>
  <c r="W358" i="1"/>
  <c r="Z358" i="1" s="1"/>
  <c r="P358" i="1"/>
  <c r="K358" i="1"/>
  <c r="J358" i="1"/>
  <c r="A358" i="1"/>
  <c r="W356" i="1"/>
  <c r="Z356" i="1" s="1"/>
  <c r="P356" i="1"/>
  <c r="K356" i="1"/>
  <c r="J356" i="1"/>
  <c r="A356" i="1"/>
  <c r="W355" i="1"/>
  <c r="Z355" i="1" s="1"/>
  <c r="P355" i="1"/>
  <c r="K355" i="1"/>
  <c r="J355" i="1"/>
  <c r="A355" i="1"/>
  <c r="W357" i="1"/>
  <c r="Z357" i="1" s="1"/>
  <c r="P357" i="1"/>
  <c r="K357" i="1"/>
  <c r="J357" i="1"/>
  <c r="A357" i="1"/>
  <c r="W44" i="2"/>
  <c r="Z44" i="2" s="1"/>
  <c r="P44" i="2"/>
  <c r="K44" i="2"/>
  <c r="J44" i="2"/>
  <c r="A44" i="2"/>
  <c r="A369" i="1"/>
  <c r="J369" i="1"/>
  <c r="K369" i="1"/>
  <c r="P369" i="1"/>
  <c r="W369" i="1"/>
  <c r="Z369" i="1" s="1"/>
  <c r="A368" i="1"/>
  <c r="J368" i="1"/>
  <c r="K368" i="1"/>
  <c r="P368" i="1"/>
  <c r="W368" i="1"/>
  <c r="Z368" i="1" s="1"/>
  <c r="A363" i="1"/>
  <c r="J363" i="1"/>
  <c r="K363" i="1"/>
  <c r="P363" i="1"/>
  <c r="W363" i="1"/>
  <c r="Z363" i="1" s="1"/>
  <c r="A61" i="3"/>
  <c r="J61" i="3"/>
  <c r="K61" i="3"/>
  <c r="P61" i="3"/>
  <c r="W61" i="3"/>
  <c r="Z61" i="3" s="1"/>
  <c r="A60" i="3"/>
  <c r="J60" i="3"/>
  <c r="K60" i="3"/>
  <c r="P60" i="3"/>
  <c r="W60" i="3"/>
  <c r="Z60" i="3" s="1"/>
  <c r="W366" i="1" l="1"/>
  <c r="Z366" i="1" s="1"/>
  <c r="W42" i="2"/>
  <c r="Z42" i="2" s="1"/>
  <c r="P42" i="2"/>
  <c r="K42" i="2"/>
  <c r="J42" i="2"/>
  <c r="A42" i="2"/>
  <c r="A59" i="3"/>
  <c r="J59" i="3"/>
  <c r="K59" i="3"/>
  <c r="P59" i="3"/>
  <c r="W59" i="3"/>
  <c r="Z59" i="3" s="1"/>
  <c r="W337" i="1"/>
  <c r="Z337" i="1" s="1"/>
  <c r="P337" i="1"/>
  <c r="K337" i="1"/>
  <c r="J337" i="1"/>
  <c r="A337" i="1"/>
  <c r="A354" i="1"/>
  <c r="J354" i="1"/>
  <c r="K354" i="1"/>
  <c r="P354" i="1"/>
  <c r="W354" i="1"/>
  <c r="Z354" i="1" s="1"/>
  <c r="W353" i="1"/>
  <c r="Z353" i="1" s="1"/>
  <c r="P353" i="1"/>
  <c r="K353" i="1"/>
  <c r="J353" i="1"/>
  <c r="A353" i="1"/>
  <c r="A352" i="1"/>
  <c r="J352" i="1"/>
  <c r="K352" i="1"/>
  <c r="P352" i="1"/>
  <c r="W352" i="1"/>
  <c r="Z352" i="1" s="1"/>
  <c r="W351" i="1"/>
  <c r="Z351" i="1" s="1"/>
  <c r="P351" i="1"/>
  <c r="K351" i="1"/>
  <c r="J351" i="1"/>
  <c r="A351" i="1"/>
  <c r="W58" i="3" l="1"/>
  <c r="Z58" i="3" s="1"/>
  <c r="P58" i="3"/>
  <c r="K58" i="3"/>
  <c r="J58" i="3"/>
  <c r="A58" i="3"/>
  <c r="A57" i="3"/>
  <c r="J57" i="3"/>
  <c r="K57" i="3"/>
  <c r="P57" i="3"/>
  <c r="W57" i="3"/>
  <c r="Z57" i="3" s="1"/>
  <c r="S350" i="1"/>
  <c r="M350" i="1"/>
  <c r="K350" i="1"/>
  <c r="J350" i="1"/>
  <c r="A350" i="1"/>
  <c r="W349" i="1"/>
  <c r="Z349" i="1" s="1"/>
  <c r="P349" i="1"/>
  <c r="K349" i="1"/>
  <c r="J349" i="1"/>
  <c r="A349" i="1"/>
  <c r="W348" i="1"/>
  <c r="Z348" i="1" s="1"/>
  <c r="P348" i="1"/>
  <c r="K348" i="1"/>
  <c r="J348" i="1"/>
  <c r="A348" i="1"/>
  <c r="W347" i="1"/>
  <c r="Z347" i="1" s="1"/>
  <c r="P347" i="1"/>
  <c r="K347" i="1"/>
  <c r="J347" i="1"/>
  <c r="A347" i="1"/>
  <c r="A346" i="1"/>
  <c r="J346" i="1"/>
  <c r="K346" i="1"/>
  <c r="P346" i="1"/>
  <c r="W346" i="1"/>
  <c r="Z346" i="1" s="1"/>
  <c r="A345" i="1"/>
  <c r="J345" i="1"/>
  <c r="K345" i="1"/>
  <c r="P345" i="1"/>
  <c r="W345" i="1"/>
  <c r="Z345" i="1" s="1"/>
  <c r="W344" i="1"/>
  <c r="Z344" i="1" s="1"/>
  <c r="P344" i="1"/>
  <c r="K344" i="1"/>
  <c r="J344" i="1"/>
  <c r="A344" i="1"/>
  <c r="S343" i="1"/>
  <c r="M343" i="1"/>
  <c r="K343" i="1"/>
  <c r="J343" i="1"/>
  <c r="A343" i="1"/>
  <c r="W342" i="1"/>
  <c r="Z342" i="1" s="1"/>
  <c r="P342" i="1"/>
  <c r="K342" i="1"/>
  <c r="J342" i="1"/>
  <c r="A342" i="1"/>
  <c r="A341" i="1"/>
  <c r="J341" i="1"/>
  <c r="K341" i="1"/>
  <c r="P341" i="1"/>
  <c r="W341" i="1"/>
  <c r="Z341" i="1" s="1"/>
  <c r="W340" i="1"/>
  <c r="Z340" i="1" s="1"/>
  <c r="P340" i="1"/>
  <c r="K340" i="1"/>
  <c r="J340" i="1"/>
  <c r="A340" i="1"/>
  <c r="W339" i="1"/>
  <c r="Z339" i="1" s="1"/>
  <c r="P339" i="1"/>
  <c r="K339" i="1"/>
  <c r="J339" i="1"/>
  <c r="A339" i="1"/>
  <c r="A338" i="1"/>
  <c r="J338" i="1"/>
  <c r="K338" i="1"/>
  <c r="P338" i="1"/>
  <c r="W338" i="1"/>
  <c r="Z338" i="1" s="1"/>
  <c r="W350" i="1" l="1"/>
  <c r="Z350" i="1" s="1"/>
  <c r="P350" i="1"/>
  <c r="W343" i="1"/>
  <c r="Z343" i="1" s="1"/>
  <c r="P343" i="1"/>
  <c r="W56" i="3"/>
  <c r="Z56" i="3" s="1"/>
  <c r="P56" i="3"/>
  <c r="K56" i="3"/>
  <c r="J56" i="3"/>
  <c r="A56" i="3"/>
  <c r="W55" i="3"/>
  <c r="Z55" i="3" s="1"/>
  <c r="P55" i="3"/>
  <c r="K55" i="3"/>
  <c r="J55" i="3"/>
  <c r="A55" i="3"/>
  <c r="A54" i="3"/>
  <c r="J54" i="3"/>
  <c r="K54" i="3"/>
  <c r="P54" i="3"/>
  <c r="W54" i="3"/>
  <c r="Z54" i="3" s="1"/>
  <c r="W53" i="3"/>
  <c r="Z53" i="3" s="1"/>
  <c r="P53" i="3"/>
  <c r="K53" i="3"/>
  <c r="J53" i="3"/>
  <c r="A53" i="3"/>
  <c r="A336" i="1"/>
  <c r="J336" i="1"/>
  <c r="K336" i="1"/>
  <c r="P336" i="1"/>
  <c r="W336" i="1"/>
  <c r="Z336" i="1" s="1"/>
  <c r="W335" i="1"/>
  <c r="Z335" i="1" s="1"/>
  <c r="P335" i="1"/>
  <c r="K335" i="1"/>
  <c r="J335" i="1"/>
  <c r="A335" i="1"/>
  <c r="A334" i="1"/>
  <c r="J334" i="1"/>
  <c r="K334" i="1"/>
  <c r="P334" i="1"/>
  <c r="W334" i="1"/>
  <c r="Z334" i="1" s="1"/>
  <c r="W333" i="1"/>
  <c r="Z333" i="1" s="1"/>
  <c r="P333" i="1"/>
  <c r="K333" i="1"/>
  <c r="J333" i="1"/>
  <c r="A333" i="1"/>
  <c r="W332" i="1"/>
  <c r="Z332" i="1" s="1"/>
  <c r="P332" i="1"/>
  <c r="K332" i="1"/>
  <c r="J332" i="1"/>
  <c r="A332" i="1"/>
  <c r="A331" i="1"/>
  <c r="J331" i="1"/>
  <c r="K331" i="1"/>
  <c r="P331" i="1"/>
  <c r="W331" i="1"/>
  <c r="Z331" i="1" s="1"/>
  <c r="W330" i="1"/>
  <c r="Z330" i="1" s="1"/>
  <c r="P330" i="1"/>
  <c r="K330" i="1"/>
  <c r="J330" i="1"/>
  <c r="A330" i="1"/>
  <c r="A329" i="1"/>
  <c r="J329" i="1"/>
  <c r="K329" i="1"/>
  <c r="P329" i="1"/>
  <c r="W329" i="1"/>
  <c r="Z329" i="1" s="1"/>
  <c r="W328" i="1"/>
  <c r="Z328" i="1" s="1"/>
  <c r="P328" i="1"/>
  <c r="K328" i="1"/>
  <c r="J328" i="1"/>
  <c r="A328" i="1"/>
  <c r="W327" i="1"/>
  <c r="Z327" i="1" s="1"/>
  <c r="P327" i="1"/>
  <c r="K327" i="1"/>
  <c r="J327" i="1"/>
  <c r="A327" i="1"/>
  <c r="W326" i="1"/>
  <c r="Z326" i="1" s="1"/>
  <c r="P326" i="1"/>
  <c r="K326" i="1"/>
  <c r="J326" i="1"/>
  <c r="A326" i="1"/>
  <c r="S325" i="1"/>
  <c r="M325" i="1"/>
  <c r="P325" i="1" s="1"/>
  <c r="K325" i="1"/>
  <c r="J325" i="1"/>
  <c r="A325" i="1"/>
  <c r="A324" i="1"/>
  <c r="J324" i="1"/>
  <c r="K324" i="1"/>
  <c r="P324" i="1"/>
  <c r="W324" i="1"/>
  <c r="Z324" i="1" s="1"/>
  <c r="A323" i="1"/>
  <c r="J323" i="1"/>
  <c r="K323" i="1"/>
  <c r="P323" i="1"/>
  <c r="W323" i="1"/>
  <c r="Z323" i="1" s="1"/>
  <c r="W322" i="1"/>
  <c r="Z322" i="1" s="1"/>
  <c r="P322" i="1"/>
  <c r="K322" i="1"/>
  <c r="J322" i="1"/>
  <c r="A322" i="1"/>
  <c r="W321" i="1"/>
  <c r="Z321" i="1" s="1"/>
  <c r="P321" i="1"/>
  <c r="K321" i="1"/>
  <c r="J321" i="1"/>
  <c r="A321" i="1"/>
  <c r="W320" i="1"/>
  <c r="Z320" i="1" s="1"/>
  <c r="P320" i="1"/>
  <c r="K320" i="1"/>
  <c r="J320" i="1"/>
  <c r="A320" i="1"/>
  <c r="W319" i="1"/>
  <c r="Z319" i="1" s="1"/>
  <c r="P319" i="1"/>
  <c r="K319" i="1"/>
  <c r="J319" i="1"/>
  <c r="A319" i="1"/>
  <c r="A318" i="1"/>
  <c r="J318" i="1"/>
  <c r="K318" i="1"/>
  <c r="P318" i="1"/>
  <c r="W318" i="1"/>
  <c r="Z318" i="1" s="1"/>
  <c r="W325" i="1" l="1"/>
  <c r="Z325" i="1" s="1"/>
  <c r="W41" i="2"/>
  <c r="Z41" i="2" s="1"/>
  <c r="P41" i="2"/>
  <c r="K41" i="2"/>
  <c r="J41" i="2"/>
  <c r="A41" i="2"/>
  <c r="A40" i="2"/>
  <c r="J40" i="2"/>
  <c r="K40" i="2"/>
  <c r="P40" i="2"/>
  <c r="W40" i="2"/>
  <c r="Z40" i="2" s="1"/>
  <c r="W315" i="1" l="1"/>
  <c r="Z315" i="1" s="1"/>
  <c r="P315" i="1"/>
  <c r="K315" i="1"/>
  <c r="J315" i="1"/>
  <c r="A315" i="1"/>
  <c r="W317" i="1"/>
  <c r="Z317" i="1" s="1"/>
  <c r="P317" i="1"/>
  <c r="K317" i="1"/>
  <c r="J317" i="1"/>
  <c r="A317" i="1"/>
  <c r="W316" i="1"/>
  <c r="Z316" i="1" s="1"/>
  <c r="P316" i="1"/>
  <c r="K316" i="1"/>
  <c r="J316" i="1"/>
  <c r="A316" i="1"/>
  <c r="A314" i="1"/>
  <c r="J314" i="1"/>
  <c r="K314" i="1"/>
  <c r="P314" i="1"/>
  <c r="W314" i="1"/>
  <c r="Z314" i="1" s="1"/>
  <c r="W52" i="3"/>
  <c r="Z52" i="3" s="1"/>
  <c r="P52" i="3"/>
  <c r="K52" i="3"/>
  <c r="J52" i="3"/>
  <c r="A52" i="3"/>
  <c r="W51" i="3"/>
  <c r="Z51" i="3" s="1"/>
  <c r="P51" i="3"/>
  <c r="K51" i="3"/>
  <c r="J51" i="3"/>
  <c r="A51" i="3"/>
  <c r="W313" i="1"/>
  <c r="Z313" i="1" s="1"/>
  <c r="P313" i="1"/>
  <c r="K313" i="1"/>
  <c r="J313" i="1"/>
  <c r="A313" i="1"/>
  <c r="S312" i="1"/>
  <c r="M312" i="1"/>
  <c r="K312" i="1"/>
  <c r="J312" i="1"/>
  <c r="A312" i="1"/>
  <c r="A311" i="1"/>
  <c r="J311" i="1"/>
  <c r="K311" i="1"/>
  <c r="P311" i="1"/>
  <c r="W311" i="1"/>
  <c r="Z311" i="1" s="1"/>
  <c r="A310" i="1"/>
  <c r="J310" i="1"/>
  <c r="K310" i="1"/>
  <c r="P310" i="1"/>
  <c r="W310" i="1"/>
  <c r="Z310" i="1" s="1"/>
  <c r="W309" i="1"/>
  <c r="Z309" i="1" s="1"/>
  <c r="P309" i="1"/>
  <c r="K309" i="1"/>
  <c r="J309" i="1"/>
  <c r="A309" i="1"/>
  <c r="W308" i="1"/>
  <c r="Z308" i="1" s="1"/>
  <c r="P308" i="1"/>
  <c r="K308" i="1"/>
  <c r="J308" i="1"/>
  <c r="A308" i="1"/>
  <c r="W312" i="1" l="1"/>
  <c r="Z312" i="1" s="1"/>
  <c r="P312" i="1"/>
  <c r="A307" i="1"/>
  <c r="J307" i="1"/>
  <c r="K307" i="1"/>
  <c r="P307" i="1"/>
  <c r="W307" i="1"/>
  <c r="Z307" i="1" s="1"/>
  <c r="A306" i="1"/>
  <c r="J306" i="1"/>
  <c r="K306" i="1"/>
  <c r="P306" i="1"/>
  <c r="W306" i="1"/>
  <c r="Z306" i="1" s="1"/>
  <c r="W39" i="2"/>
  <c r="Z39" i="2" s="1"/>
  <c r="P39" i="2"/>
  <c r="K39" i="2"/>
  <c r="J39" i="2"/>
  <c r="A39" i="2"/>
  <c r="W38" i="2"/>
  <c r="Z38" i="2" s="1"/>
  <c r="P38" i="2"/>
  <c r="K38" i="2"/>
  <c r="J38" i="2"/>
  <c r="A38" i="2"/>
  <c r="A305" i="1" l="1"/>
  <c r="J305" i="1"/>
  <c r="K305" i="1"/>
  <c r="P305" i="1"/>
  <c r="W305" i="1"/>
  <c r="Z305" i="1" s="1"/>
  <c r="A304" i="1"/>
  <c r="J304" i="1"/>
  <c r="K304" i="1"/>
  <c r="P304" i="1"/>
  <c r="W304" i="1"/>
  <c r="Z304" i="1" s="1"/>
  <c r="W303" i="1"/>
  <c r="Z303" i="1" s="1"/>
  <c r="P303" i="1"/>
  <c r="K303" i="1"/>
  <c r="J303" i="1"/>
  <c r="A303" i="1"/>
  <c r="W302" i="1"/>
  <c r="Z302" i="1" s="1"/>
  <c r="P302" i="1"/>
  <c r="K302" i="1"/>
  <c r="J302" i="1"/>
  <c r="A302" i="1"/>
  <c r="W50" i="3"/>
  <c r="Z50" i="3" s="1"/>
  <c r="P50" i="3"/>
  <c r="K50" i="3"/>
  <c r="J50" i="3"/>
  <c r="A50" i="3"/>
  <c r="W49" i="3"/>
  <c r="Z49" i="3" s="1"/>
  <c r="P49" i="3"/>
  <c r="K49" i="3"/>
  <c r="J49" i="3"/>
  <c r="A49" i="3"/>
  <c r="W48" i="3"/>
  <c r="Z48" i="3" s="1"/>
  <c r="P48" i="3"/>
  <c r="K48" i="3"/>
  <c r="J48" i="3"/>
  <c r="A48" i="3"/>
  <c r="W47" i="3"/>
  <c r="Z47" i="3" s="1"/>
  <c r="P47" i="3"/>
  <c r="K47" i="3"/>
  <c r="J47" i="3"/>
  <c r="A47" i="3"/>
  <c r="A301" i="1"/>
  <c r="J301" i="1"/>
  <c r="K301" i="1"/>
  <c r="P301" i="1"/>
  <c r="W301" i="1"/>
  <c r="Z301" i="1" s="1"/>
  <c r="W300" i="1"/>
  <c r="Z300" i="1" s="1"/>
  <c r="P300" i="1"/>
  <c r="K300" i="1"/>
  <c r="J300" i="1"/>
  <c r="A300" i="1"/>
  <c r="W299" i="1"/>
  <c r="Z299" i="1" s="1"/>
  <c r="P299" i="1"/>
  <c r="K299" i="1"/>
  <c r="J299" i="1"/>
  <c r="A299" i="1"/>
  <c r="W298" i="1"/>
  <c r="Z298" i="1" s="1"/>
  <c r="P298" i="1"/>
  <c r="K298" i="1"/>
  <c r="J298" i="1"/>
  <c r="A298" i="1"/>
  <c r="W297" i="1"/>
  <c r="Z297" i="1" s="1"/>
  <c r="P297" i="1"/>
  <c r="K297" i="1"/>
  <c r="J297" i="1"/>
  <c r="A297" i="1"/>
  <c r="A296" i="1"/>
  <c r="W296" i="1"/>
  <c r="Z296" i="1" s="1"/>
  <c r="P296" i="1"/>
  <c r="K296" i="1"/>
  <c r="J296" i="1"/>
  <c r="W295" i="1"/>
  <c r="Z295" i="1" s="1"/>
  <c r="P295" i="1"/>
  <c r="K295" i="1"/>
  <c r="J295" i="1"/>
  <c r="A295" i="1"/>
  <c r="A294" i="1"/>
  <c r="J294" i="1"/>
  <c r="K294" i="1"/>
  <c r="P294" i="1"/>
  <c r="W294" i="1"/>
  <c r="Z294" i="1" s="1"/>
  <c r="A293" i="1"/>
  <c r="J293" i="1"/>
  <c r="K293" i="1"/>
  <c r="P293" i="1"/>
  <c r="W293" i="1"/>
  <c r="Z293" i="1" s="1"/>
  <c r="A292" i="1"/>
  <c r="J292" i="1"/>
  <c r="K292" i="1"/>
  <c r="P292" i="1"/>
  <c r="W292" i="1"/>
  <c r="Z292" i="1" s="1"/>
  <c r="W291" i="1"/>
  <c r="Z291" i="1" s="1"/>
  <c r="P291" i="1"/>
  <c r="K291" i="1"/>
  <c r="J291" i="1"/>
  <c r="A291" i="1"/>
  <c r="W290" i="1"/>
  <c r="Z290" i="1" s="1"/>
  <c r="P290" i="1"/>
  <c r="K290" i="1"/>
  <c r="J290" i="1"/>
  <c r="A290" i="1"/>
  <c r="W289" i="1"/>
  <c r="Z289" i="1" s="1"/>
  <c r="P289" i="1"/>
  <c r="K289" i="1"/>
  <c r="J289" i="1"/>
  <c r="A289" i="1"/>
  <c r="W288" i="1"/>
  <c r="Z288" i="1" s="1"/>
  <c r="P288" i="1"/>
  <c r="K288" i="1"/>
  <c r="J288" i="1"/>
  <c r="A288" i="1"/>
  <c r="W287" i="1"/>
  <c r="Z287" i="1" s="1"/>
  <c r="P287" i="1"/>
  <c r="K287" i="1"/>
  <c r="J287" i="1"/>
  <c r="A287" i="1"/>
  <c r="W286" i="1"/>
  <c r="Z286" i="1" s="1"/>
  <c r="P286" i="1"/>
  <c r="K286" i="1"/>
  <c r="J286" i="1"/>
  <c r="A286" i="1"/>
  <c r="S285" i="1"/>
  <c r="M285" i="1"/>
  <c r="K285" i="1"/>
  <c r="J285" i="1"/>
  <c r="A285" i="1"/>
  <c r="W284" i="1"/>
  <c r="Z284" i="1" s="1"/>
  <c r="P284" i="1"/>
  <c r="K284" i="1"/>
  <c r="J284" i="1"/>
  <c r="A284" i="1"/>
  <c r="W283" i="1"/>
  <c r="Z283" i="1" s="1"/>
  <c r="P283" i="1"/>
  <c r="K283" i="1"/>
  <c r="J283" i="1"/>
  <c r="A283" i="1"/>
  <c r="W282" i="1"/>
  <c r="Z282" i="1" s="1"/>
  <c r="P282" i="1"/>
  <c r="K282" i="1"/>
  <c r="J282" i="1"/>
  <c r="A282" i="1"/>
  <c r="W281" i="1"/>
  <c r="Z281" i="1" s="1"/>
  <c r="P281" i="1"/>
  <c r="K281" i="1"/>
  <c r="J281" i="1"/>
  <c r="A281" i="1"/>
  <c r="A280" i="1"/>
  <c r="J280" i="1"/>
  <c r="K280" i="1"/>
  <c r="P280" i="1"/>
  <c r="W280" i="1"/>
  <c r="Z280" i="1" s="1"/>
  <c r="A279" i="1"/>
  <c r="J279" i="1"/>
  <c r="K279" i="1"/>
  <c r="P279" i="1"/>
  <c r="W279" i="1"/>
  <c r="Z279" i="1" s="1"/>
  <c r="A278" i="1"/>
  <c r="J278" i="1"/>
  <c r="K278" i="1"/>
  <c r="P278" i="1"/>
  <c r="W278" i="1"/>
  <c r="Z278" i="1" s="1"/>
  <c r="A277" i="1"/>
  <c r="J277" i="1"/>
  <c r="K277" i="1"/>
  <c r="P277" i="1"/>
  <c r="W277" i="1"/>
  <c r="Z277" i="1" s="1"/>
  <c r="A276" i="1"/>
  <c r="J276" i="1"/>
  <c r="K276" i="1"/>
  <c r="P276" i="1"/>
  <c r="W276" i="1"/>
  <c r="Z276" i="1" s="1"/>
  <c r="A275" i="1"/>
  <c r="J275" i="1"/>
  <c r="K275" i="1"/>
  <c r="P275" i="1"/>
  <c r="W275" i="1"/>
  <c r="Z275" i="1" s="1"/>
  <c r="A274" i="1"/>
  <c r="J274" i="1"/>
  <c r="K274" i="1"/>
  <c r="P274" i="1"/>
  <c r="W274" i="1"/>
  <c r="Z274" i="1" s="1"/>
  <c r="W273" i="1"/>
  <c r="Z273" i="1" s="1"/>
  <c r="P273" i="1"/>
  <c r="K273" i="1"/>
  <c r="J273" i="1"/>
  <c r="A273" i="1"/>
  <c r="A272" i="1"/>
  <c r="J272" i="1"/>
  <c r="K272" i="1"/>
  <c r="P272" i="1"/>
  <c r="W272" i="1"/>
  <c r="Z272" i="1" s="1"/>
  <c r="A271" i="1"/>
  <c r="J271" i="1"/>
  <c r="K271" i="1"/>
  <c r="P271" i="1"/>
  <c r="W271" i="1"/>
  <c r="Z271" i="1" s="1"/>
  <c r="A270" i="1"/>
  <c r="J270" i="1"/>
  <c r="K270" i="1"/>
  <c r="P270" i="1"/>
  <c r="W270" i="1"/>
  <c r="Z270" i="1" s="1"/>
  <c r="W285" i="1" l="1"/>
  <c r="Z285" i="1" s="1"/>
  <c r="P285" i="1"/>
  <c r="W37" i="2" l="1"/>
  <c r="Z37" i="2" s="1"/>
  <c r="P37" i="2"/>
  <c r="K37" i="2"/>
  <c r="J37" i="2"/>
  <c r="A37" i="2"/>
  <c r="W36" i="2"/>
  <c r="Z36" i="2" s="1"/>
  <c r="P36" i="2"/>
  <c r="K36" i="2"/>
  <c r="J36" i="2"/>
  <c r="A36" i="2"/>
  <c r="W35" i="2"/>
  <c r="Z35" i="2" s="1"/>
  <c r="P35" i="2"/>
  <c r="K35" i="2"/>
  <c r="J35" i="2"/>
  <c r="A35" i="2"/>
  <c r="W45" i="3"/>
  <c r="Z45" i="3" s="1"/>
  <c r="P45" i="3"/>
  <c r="K45" i="3"/>
  <c r="J45" i="3"/>
  <c r="A45" i="3"/>
  <c r="A34" i="2"/>
  <c r="J34" i="2"/>
  <c r="K34" i="2"/>
  <c r="P34" i="2"/>
  <c r="W34" i="2"/>
  <c r="Z34" i="2" s="1"/>
  <c r="A46" i="3"/>
  <c r="J46" i="3"/>
  <c r="K46" i="3"/>
  <c r="P46" i="3"/>
  <c r="W46" i="3"/>
  <c r="Z46" i="3" s="1"/>
  <c r="W44" i="3"/>
  <c r="Z44" i="3" s="1"/>
  <c r="P44" i="3"/>
  <c r="K44" i="3"/>
  <c r="J44" i="3"/>
  <c r="A44" i="3"/>
  <c r="A269" i="1"/>
  <c r="J269" i="1"/>
  <c r="K269" i="1"/>
  <c r="P269" i="1"/>
  <c r="W269" i="1"/>
  <c r="Z269" i="1" s="1"/>
  <c r="W268" i="1"/>
  <c r="Z268" i="1" s="1"/>
  <c r="P268" i="1"/>
  <c r="K268" i="1"/>
  <c r="J268" i="1"/>
  <c r="A268" i="1"/>
  <c r="S267" i="1"/>
  <c r="M267" i="1"/>
  <c r="K267" i="1"/>
  <c r="J267" i="1"/>
  <c r="A267" i="1"/>
  <c r="A266" i="1"/>
  <c r="J266" i="1"/>
  <c r="K266" i="1"/>
  <c r="P266" i="1"/>
  <c r="W266" i="1"/>
  <c r="Z266" i="1" s="1"/>
  <c r="A265" i="1"/>
  <c r="J265" i="1"/>
  <c r="K265" i="1"/>
  <c r="P265" i="1"/>
  <c r="W265" i="1"/>
  <c r="Z265" i="1" s="1"/>
  <c r="A264" i="1"/>
  <c r="J264" i="1"/>
  <c r="K264" i="1"/>
  <c r="P264" i="1"/>
  <c r="W264" i="1"/>
  <c r="Z264" i="1" s="1"/>
  <c r="A263" i="1"/>
  <c r="J263" i="1"/>
  <c r="K263" i="1"/>
  <c r="P263" i="1"/>
  <c r="W263" i="1"/>
  <c r="Z263" i="1" s="1"/>
  <c r="A262" i="1"/>
  <c r="J262" i="1"/>
  <c r="K262" i="1"/>
  <c r="P262" i="1"/>
  <c r="W262" i="1"/>
  <c r="Z262" i="1" s="1"/>
  <c r="A261" i="1"/>
  <c r="J261" i="1"/>
  <c r="K261" i="1"/>
  <c r="P261" i="1"/>
  <c r="W261" i="1"/>
  <c r="Z261" i="1" s="1"/>
  <c r="W43" i="3"/>
  <c r="Z43" i="3" s="1"/>
  <c r="P43" i="3"/>
  <c r="K43" i="3"/>
  <c r="J43" i="3"/>
  <c r="A43" i="3"/>
  <c r="A260" i="1"/>
  <c r="J260" i="1"/>
  <c r="K260" i="1"/>
  <c r="P260" i="1"/>
  <c r="W260" i="1"/>
  <c r="Z260" i="1" s="1"/>
  <c r="A259" i="1"/>
  <c r="J259" i="1"/>
  <c r="K259" i="1"/>
  <c r="P259" i="1"/>
  <c r="W259" i="1"/>
  <c r="Z259" i="1" s="1"/>
  <c r="A258" i="1"/>
  <c r="J258" i="1"/>
  <c r="K258" i="1"/>
  <c r="P258" i="1"/>
  <c r="W258" i="1"/>
  <c r="Z258" i="1" s="1"/>
  <c r="A257" i="1"/>
  <c r="J257" i="1"/>
  <c r="K257" i="1"/>
  <c r="P257" i="1"/>
  <c r="W257" i="1"/>
  <c r="Z257" i="1" s="1"/>
  <c r="W256" i="1"/>
  <c r="Z256" i="1" s="1"/>
  <c r="P256" i="1"/>
  <c r="K256" i="1"/>
  <c r="J256" i="1"/>
  <c r="A256" i="1"/>
  <c r="A255" i="1"/>
  <c r="J255" i="1"/>
  <c r="K255" i="1"/>
  <c r="P255" i="1"/>
  <c r="W255" i="1"/>
  <c r="Z255" i="1" s="1"/>
  <c r="W254" i="1"/>
  <c r="Z254" i="1" s="1"/>
  <c r="P254" i="1"/>
  <c r="K254" i="1"/>
  <c r="J254" i="1"/>
  <c r="A254" i="1"/>
  <c r="W267" i="1" l="1"/>
  <c r="Z267" i="1" s="1"/>
  <c r="P267" i="1"/>
  <c r="A234" i="1" l="1"/>
  <c r="J234" i="1"/>
  <c r="K234" i="1"/>
  <c r="P234" i="1"/>
  <c r="W234" i="1"/>
  <c r="Z234" i="1" s="1"/>
  <c r="W252" i="1"/>
  <c r="Z252" i="1" s="1"/>
  <c r="P252" i="1"/>
  <c r="K252" i="1"/>
  <c r="J252" i="1"/>
  <c r="A252" i="1"/>
  <c r="W33" i="2" l="1"/>
  <c r="Z33" i="2" s="1"/>
  <c r="P33" i="2"/>
  <c r="K33" i="2"/>
  <c r="J33" i="2"/>
  <c r="A33" i="2"/>
  <c r="S253" i="1"/>
  <c r="M253" i="1"/>
  <c r="P253" i="1" s="1"/>
  <c r="A253" i="1"/>
  <c r="J253" i="1"/>
  <c r="K253" i="1"/>
  <c r="W253" i="1" l="1"/>
  <c r="Z253" i="1" s="1"/>
  <c r="W233" i="1"/>
  <c r="Z233" i="1" s="1"/>
  <c r="P233" i="1"/>
  <c r="K233" i="1"/>
  <c r="J233" i="1"/>
  <c r="A233" i="1"/>
  <c r="S235" i="1"/>
  <c r="M235" i="1"/>
  <c r="P235" i="1" s="1"/>
  <c r="K235" i="1"/>
  <c r="J235" i="1"/>
  <c r="A235" i="1"/>
  <c r="W251" i="1"/>
  <c r="Z251" i="1" s="1"/>
  <c r="P251" i="1"/>
  <c r="K251" i="1"/>
  <c r="J251" i="1"/>
  <c r="A251" i="1"/>
  <c r="A250" i="1"/>
  <c r="J250" i="1"/>
  <c r="K250" i="1"/>
  <c r="P250" i="1"/>
  <c r="W250" i="1"/>
  <c r="Z250" i="1" s="1"/>
  <c r="W249" i="1"/>
  <c r="Z249" i="1" s="1"/>
  <c r="P249" i="1"/>
  <c r="K249" i="1"/>
  <c r="J249" i="1"/>
  <c r="A249" i="1"/>
  <c r="A42" i="3"/>
  <c r="J42" i="3"/>
  <c r="K42" i="3"/>
  <c r="P42" i="3"/>
  <c r="W42" i="3"/>
  <c r="Z42" i="3" s="1"/>
  <c r="W41" i="3"/>
  <c r="Z41" i="3" s="1"/>
  <c r="P41" i="3"/>
  <c r="K41" i="3"/>
  <c r="J41" i="3"/>
  <c r="A41" i="3"/>
  <c r="W248" i="1"/>
  <c r="Z248" i="1" s="1"/>
  <c r="P248" i="1"/>
  <c r="K248" i="1"/>
  <c r="J248" i="1"/>
  <c r="A248" i="1"/>
  <c r="M247" i="1"/>
  <c r="P247" i="1" s="1"/>
  <c r="S247" i="1"/>
  <c r="K247" i="1"/>
  <c r="J247" i="1"/>
  <c r="A247" i="1"/>
  <c r="W246" i="1"/>
  <c r="Z246" i="1" s="1"/>
  <c r="P246" i="1"/>
  <c r="K246" i="1"/>
  <c r="J246" i="1"/>
  <c r="A246" i="1"/>
  <c r="A245" i="1"/>
  <c r="J245" i="1"/>
  <c r="K245" i="1"/>
  <c r="P245" i="1"/>
  <c r="W245" i="1"/>
  <c r="Z245" i="1" s="1"/>
  <c r="A244" i="1"/>
  <c r="J244" i="1"/>
  <c r="K244" i="1"/>
  <c r="P244" i="1"/>
  <c r="W244" i="1"/>
  <c r="Z244" i="1" s="1"/>
  <c r="W243" i="1"/>
  <c r="Z243" i="1" s="1"/>
  <c r="P243" i="1"/>
  <c r="K243" i="1"/>
  <c r="J243" i="1"/>
  <c r="A243" i="1"/>
  <c r="W242" i="1"/>
  <c r="Z242" i="1" s="1"/>
  <c r="P242" i="1"/>
  <c r="K242" i="1"/>
  <c r="J242" i="1"/>
  <c r="A242" i="1"/>
  <c r="A241" i="1"/>
  <c r="J241" i="1"/>
  <c r="K241" i="1"/>
  <c r="P241" i="1"/>
  <c r="W241" i="1"/>
  <c r="Z241" i="1" s="1"/>
  <c r="A240" i="1"/>
  <c r="J240" i="1"/>
  <c r="K240" i="1"/>
  <c r="P240" i="1"/>
  <c r="W240" i="1"/>
  <c r="Z240" i="1" s="1"/>
  <c r="A239" i="1"/>
  <c r="J239" i="1"/>
  <c r="K239" i="1"/>
  <c r="P239" i="1"/>
  <c r="W239" i="1"/>
  <c r="Z239" i="1" s="1"/>
  <c r="W238" i="1"/>
  <c r="Z238" i="1" s="1"/>
  <c r="P238" i="1"/>
  <c r="K238" i="1"/>
  <c r="J238" i="1"/>
  <c r="A238" i="1"/>
  <c r="A237" i="1"/>
  <c r="J237" i="1"/>
  <c r="K237" i="1"/>
  <c r="P237" i="1"/>
  <c r="W237" i="1"/>
  <c r="Z237" i="1" s="1"/>
  <c r="A236" i="1"/>
  <c r="J236" i="1"/>
  <c r="K236" i="1"/>
  <c r="P236" i="1"/>
  <c r="W236" i="1"/>
  <c r="Z236" i="1" s="1"/>
  <c r="W32" i="2"/>
  <c r="Z32" i="2" s="1"/>
  <c r="P32" i="2"/>
  <c r="K32" i="2"/>
  <c r="J32" i="2"/>
  <c r="A32" i="2"/>
  <c r="A31" i="2"/>
  <c r="J31" i="2"/>
  <c r="K31" i="2"/>
  <c r="P31" i="2"/>
  <c r="W31" i="2"/>
  <c r="Z31" i="2" s="1"/>
  <c r="W30" i="2"/>
  <c r="Z30" i="2" s="1"/>
  <c r="P30" i="2"/>
  <c r="K30" i="2"/>
  <c r="J30" i="2"/>
  <c r="A30" i="2"/>
  <c r="W227" i="1"/>
  <c r="Z227" i="1" s="1"/>
  <c r="P227" i="1"/>
  <c r="K227" i="1"/>
  <c r="J227" i="1"/>
  <c r="A227" i="1"/>
  <c r="W226" i="1"/>
  <c r="Z226" i="1" s="1"/>
  <c r="P226" i="1"/>
  <c r="K226" i="1"/>
  <c r="J226" i="1"/>
  <c r="A226" i="1"/>
  <c r="S225" i="1"/>
  <c r="M225" i="1"/>
  <c r="P225" i="1" s="1"/>
  <c r="K225" i="1"/>
  <c r="J225" i="1"/>
  <c r="A225" i="1"/>
  <c r="W224" i="1"/>
  <c r="Z224" i="1" s="1"/>
  <c r="P224" i="1"/>
  <c r="K224" i="1"/>
  <c r="J224" i="1"/>
  <c r="A224" i="1"/>
  <c r="W223" i="1"/>
  <c r="Z223" i="1" s="1"/>
  <c r="P223" i="1"/>
  <c r="K223" i="1"/>
  <c r="J223" i="1"/>
  <c r="A223" i="1"/>
  <c r="W222" i="1"/>
  <c r="Z222" i="1" s="1"/>
  <c r="P222" i="1"/>
  <c r="K222" i="1"/>
  <c r="J222" i="1"/>
  <c r="A222" i="1"/>
  <c r="W221" i="1"/>
  <c r="Z221" i="1" s="1"/>
  <c r="P221" i="1"/>
  <c r="K221" i="1"/>
  <c r="J221" i="1"/>
  <c r="A221" i="1"/>
  <c r="W220" i="1"/>
  <c r="Z220" i="1" s="1"/>
  <c r="P220" i="1"/>
  <c r="K220" i="1"/>
  <c r="J220" i="1"/>
  <c r="A220" i="1"/>
  <c r="W219" i="1"/>
  <c r="Z219" i="1" s="1"/>
  <c r="P219" i="1"/>
  <c r="K219" i="1"/>
  <c r="J219" i="1"/>
  <c r="A219" i="1"/>
  <c r="W232" i="1"/>
  <c r="Z232" i="1" s="1"/>
  <c r="P232" i="1"/>
  <c r="K232" i="1"/>
  <c r="J232" i="1"/>
  <c r="A232" i="1"/>
  <c r="W231" i="1"/>
  <c r="Z231" i="1" s="1"/>
  <c r="P231" i="1"/>
  <c r="K231" i="1"/>
  <c r="J231" i="1"/>
  <c r="A231" i="1"/>
  <c r="W40" i="3"/>
  <c r="Z40" i="3" s="1"/>
  <c r="P40" i="3"/>
  <c r="K40" i="3"/>
  <c r="J40" i="3"/>
  <c r="A40" i="3"/>
  <c r="A39" i="3"/>
  <c r="J39" i="3"/>
  <c r="K39" i="3"/>
  <c r="P39" i="3"/>
  <c r="W39" i="3"/>
  <c r="Z39" i="3" s="1"/>
  <c r="W38" i="3"/>
  <c r="Z38" i="3" s="1"/>
  <c r="P38" i="3"/>
  <c r="K38" i="3"/>
  <c r="J38" i="3"/>
  <c r="A38" i="3"/>
  <c r="A230" i="1"/>
  <c r="J230" i="1"/>
  <c r="K230" i="1"/>
  <c r="P230" i="1"/>
  <c r="W230" i="1"/>
  <c r="Z230" i="1" s="1"/>
  <c r="A229" i="1"/>
  <c r="J229" i="1"/>
  <c r="K229" i="1"/>
  <c r="P229" i="1"/>
  <c r="W229" i="1"/>
  <c r="Z229" i="1" s="1"/>
  <c r="A228" i="1"/>
  <c r="J228" i="1"/>
  <c r="K228" i="1"/>
  <c r="P228" i="1"/>
  <c r="W228" i="1"/>
  <c r="Z228" i="1" s="1"/>
  <c r="W235" i="1" l="1"/>
  <c r="Z235" i="1" s="1"/>
  <c r="W247" i="1"/>
  <c r="Z247" i="1" s="1"/>
  <c r="W225" i="1"/>
  <c r="Z225" i="1" s="1"/>
  <c r="A215" i="1"/>
  <c r="J215" i="1"/>
  <c r="K215" i="1"/>
  <c r="P215" i="1"/>
  <c r="W215" i="1"/>
  <c r="Z215" i="1" s="1"/>
  <c r="W37" i="3"/>
  <c r="Z37" i="3" s="1"/>
  <c r="P37" i="3"/>
  <c r="K37" i="3"/>
  <c r="J37" i="3"/>
  <c r="A37" i="3"/>
  <c r="A36" i="3"/>
  <c r="J36" i="3"/>
  <c r="K36" i="3"/>
  <c r="P36" i="3"/>
  <c r="W36" i="3"/>
  <c r="Z36" i="3" s="1"/>
  <c r="W35" i="3"/>
  <c r="Z35" i="3" s="1"/>
  <c r="P35" i="3"/>
  <c r="K35" i="3"/>
  <c r="J35" i="3"/>
  <c r="A35" i="3"/>
  <c r="A218" i="1"/>
  <c r="J218" i="1"/>
  <c r="K218" i="1"/>
  <c r="P218" i="1"/>
  <c r="W218" i="1"/>
  <c r="Z218" i="1" s="1"/>
  <c r="W217" i="1"/>
  <c r="Z217" i="1" s="1"/>
  <c r="P217" i="1"/>
  <c r="K217" i="1"/>
  <c r="J217" i="1"/>
  <c r="A217" i="1"/>
  <c r="W213" i="1"/>
  <c r="Z213" i="1" s="1"/>
  <c r="P213" i="1"/>
  <c r="K213" i="1"/>
  <c r="J213" i="1"/>
  <c r="A213" i="1"/>
  <c r="W210" i="1"/>
  <c r="Z210" i="1" s="1"/>
  <c r="P210" i="1"/>
  <c r="K210" i="1"/>
  <c r="J210" i="1"/>
  <c r="A210" i="1"/>
  <c r="W208" i="1"/>
  <c r="Z208" i="1" s="1"/>
  <c r="P208" i="1"/>
  <c r="K208" i="1"/>
  <c r="J208" i="1"/>
  <c r="A208" i="1"/>
  <c r="W207" i="1"/>
  <c r="Z207" i="1" s="1"/>
  <c r="P207" i="1"/>
  <c r="K207" i="1"/>
  <c r="J207" i="1"/>
  <c r="A207" i="1"/>
  <c r="W206" i="1"/>
  <c r="Z206" i="1" s="1"/>
  <c r="P206" i="1"/>
  <c r="K206" i="1"/>
  <c r="J206" i="1"/>
  <c r="A206" i="1"/>
  <c r="W205" i="1"/>
  <c r="Z205" i="1" s="1"/>
  <c r="P205" i="1"/>
  <c r="K205" i="1"/>
  <c r="J205" i="1"/>
  <c r="A205" i="1"/>
  <c r="W204" i="1"/>
  <c r="Z204" i="1" s="1"/>
  <c r="P204" i="1"/>
  <c r="K204" i="1"/>
  <c r="J204" i="1"/>
  <c r="A204" i="1"/>
  <c r="W29" i="2"/>
  <c r="Z29" i="2" s="1"/>
  <c r="P29" i="2"/>
  <c r="K29" i="2"/>
  <c r="J29" i="2"/>
  <c r="A29" i="2"/>
  <c r="S216" i="1"/>
  <c r="M216" i="1"/>
  <c r="K216" i="1"/>
  <c r="J216" i="1"/>
  <c r="A216" i="1"/>
  <c r="A34" i="3"/>
  <c r="J34" i="3"/>
  <c r="K34" i="3"/>
  <c r="P34" i="3"/>
  <c r="W34" i="3"/>
  <c r="Z34" i="3" s="1"/>
  <c r="A214" i="1"/>
  <c r="J214" i="1"/>
  <c r="K214" i="1"/>
  <c r="P214" i="1"/>
  <c r="W214" i="1"/>
  <c r="Z214" i="1" s="1"/>
  <c r="W212" i="1"/>
  <c r="Z212" i="1" s="1"/>
  <c r="P212" i="1"/>
  <c r="K212" i="1"/>
  <c r="J212" i="1"/>
  <c r="A212" i="1"/>
  <c r="A211" i="1"/>
  <c r="J211" i="1"/>
  <c r="K211" i="1"/>
  <c r="P211" i="1"/>
  <c r="W211" i="1"/>
  <c r="Z211" i="1" s="1"/>
  <c r="W209" i="1"/>
  <c r="Z209" i="1" s="1"/>
  <c r="P209" i="1"/>
  <c r="K209" i="1"/>
  <c r="J209" i="1"/>
  <c r="A209" i="1"/>
  <c r="A33" i="3"/>
  <c r="J33" i="3"/>
  <c r="K33" i="3"/>
  <c r="P33" i="3"/>
  <c r="W33" i="3"/>
  <c r="Z33" i="3" s="1"/>
  <c r="W216" i="1" l="1"/>
  <c r="Z216" i="1" s="1"/>
  <c r="P216" i="1"/>
  <c r="W187" i="1" l="1"/>
  <c r="Z187" i="1" s="1"/>
  <c r="P187" i="1"/>
  <c r="K187" i="1"/>
  <c r="J187" i="1"/>
  <c r="A187" i="1"/>
  <c r="W185" i="1"/>
  <c r="Z185" i="1" s="1"/>
  <c r="P185" i="1"/>
  <c r="K185" i="1"/>
  <c r="J185" i="1"/>
  <c r="A185" i="1"/>
  <c r="W203" i="1"/>
  <c r="Z203" i="1" s="1"/>
  <c r="P203" i="1"/>
  <c r="K203" i="1"/>
  <c r="J203" i="1"/>
  <c r="A203" i="1"/>
  <c r="W202" i="1"/>
  <c r="Z202" i="1" s="1"/>
  <c r="P202" i="1"/>
  <c r="K202" i="1"/>
  <c r="J202" i="1"/>
  <c r="A202" i="1"/>
  <c r="S201" i="1"/>
  <c r="M201" i="1"/>
  <c r="P201" i="1" s="1"/>
  <c r="A201" i="1"/>
  <c r="J201" i="1"/>
  <c r="K201" i="1"/>
  <c r="W200" i="1"/>
  <c r="Z200" i="1" s="1"/>
  <c r="P200" i="1"/>
  <c r="K200" i="1"/>
  <c r="J200" i="1"/>
  <c r="A200" i="1"/>
  <c r="W199" i="1"/>
  <c r="Z199" i="1" s="1"/>
  <c r="P199" i="1"/>
  <c r="K199" i="1"/>
  <c r="J199" i="1"/>
  <c r="A199" i="1"/>
  <c r="W198" i="1"/>
  <c r="Z198" i="1" s="1"/>
  <c r="P198" i="1"/>
  <c r="K198" i="1"/>
  <c r="J198" i="1"/>
  <c r="A198" i="1"/>
  <c r="W197" i="1"/>
  <c r="Z197" i="1" s="1"/>
  <c r="P197" i="1"/>
  <c r="K197" i="1"/>
  <c r="J197" i="1"/>
  <c r="A197" i="1"/>
  <c r="P196" i="1"/>
  <c r="K196" i="1"/>
  <c r="J196" i="1"/>
  <c r="A196" i="1"/>
  <c r="W195" i="1"/>
  <c r="Z195" i="1" s="1"/>
  <c r="P195" i="1"/>
  <c r="K195" i="1"/>
  <c r="J195" i="1"/>
  <c r="A195" i="1"/>
  <c r="W194" i="1"/>
  <c r="Z194" i="1" s="1"/>
  <c r="P194" i="1"/>
  <c r="K194" i="1"/>
  <c r="J194" i="1"/>
  <c r="A194" i="1"/>
  <c r="W193" i="1"/>
  <c r="Z193" i="1" s="1"/>
  <c r="P193" i="1"/>
  <c r="K193" i="1"/>
  <c r="J193" i="1"/>
  <c r="A193" i="1"/>
  <c r="A192" i="1"/>
  <c r="J192" i="1"/>
  <c r="K192" i="1"/>
  <c r="P192" i="1"/>
  <c r="W192" i="1"/>
  <c r="Z192" i="1" s="1"/>
  <c r="A191" i="1"/>
  <c r="J191" i="1"/>
  <c r="K191" i="1"/>
  <c r="P191" i="1"/>
  <c r="W191" i="1"/>
  <c r="Z191" i="1" s="1"/>
  <c r="W190" i="1"/>
  <c r="Z190" i="1" s="1"/>
  <c r="P190" i="1"/>
  <c r="K190" i="1"/>
  <c r="J190" i="1"/>
  <c r="A190" i="1"/>
  <c r="S189" i="1"/>
  <c r="M189" i="1"/>
  <c r="P189" i="1" s="1"/>
  <c r="A189" i="1"/>
  <c r="J189" i="1"/>
  <c r="K189" i="1"/>
  <c r="W188" i="1"/>
  <c r="Z188" i="1" s="1"/>
  <c r="P188" i="1"/>
  <c r="K188" i="1"/>
  <c r="J188" i="1"/>
  <c r="A188" i="1"/>
  <c r="A186" i="1"/>
  <c r="J186" i="1"/>
  <c r="K186" i="1"/>
  <c r="P186" i="1"/>
  <c r="W186" i="1"/>
  <c r="Z186" i="1" s="1"/>
  <c r="W184" i="1"/>
  <c r="Z184" i="1" s="1"/>
  <c r="K184" i="1"/>
  <c r="J184" i="1"/>
  <c r="A184" i="1"/>
  <c r="W201" i="1" l="1"/>
  <c r="Z201" i="1" s="1"/>
  <c r="W189" i="1"/>
  <c r="Z189" i="1" s="1"/>
  <c r="P184" i="1"/>
  <c r="W179" i="1" l="1"/>
  <c r="Z179" i="1" s="1"/>
  <c r="P179" i="1"/>
  <c r="K179" i="1"/>
  <c r="J179" i="1"/>
  <c r="A179" i="1"/>
  <c r="W28" i="2"/>
  <c r="Z28" i="2" s="1"/>
  <c r="P28" i="2"/>
  <c r="K28" i="2"/>
  <c r="J28" i="2"/>
  <c r="A28" i="2"/>
  <c r="W26" i="2"/>
  <c r="Z26" i="2" s="1"/>
  <c r="P26" i="2"/>
  <c r="K26" i="2"/>
  <c r="J26" i="2"/>
  <c r="A26" i="2"/>
  <c r="W27" i="2"/>
  <c r="Z27" i="2" s="1"/>
  <c r="P27" i="2"/>
  <c r="K27" i="2"/>
  <c r="J27" i="2"/>
  <c r="A27" i="2"/>
  <c r="W25" i="2"/>
  <c r="Z25" i="2" s="1"/>
  <c r="P25" i="2"/>
  <c r="K25" i="2"/>
  <c r="J25" i="2"/>
  <c r="A25" i="2"/>
  <c r="W30" i="3"/>
  <c r="Z30" i="3" s="1"/>
  <c r="P30" i="3"/>
  <c r="K30" i="3"/>
  <c r="J30" i="3"/>
  <c r="A30" i="3"/>
  <c r="W29" i="3"/>
  <c r="Z29" i="3" s="1"/>
  <c r="P29" i="3"/>
  <c r="K29" i="3"/>
  <c r="J29" i="3"/>
  <c r="A29" i="3"/>
  <c r="W163" i="1"/>
  <c r="Z163" i="1" s="1"/>
  <c r="P163" i="1"/>
  <c r="K163" i="1"/>
  <c r="J163" i="1"/>
  <c r="A163" i="1"/>
  <c r="W162" i="1"/>
  <c r="Z162" i="1" s="1"/>
  <c r="N162" i="1"/>
  <c r="P162" i="1" s="1"/>
  <c r="K162" i="1"/>
  <c r="J162" i="1"/>
  <c r="A162" i="1"/>
  <c r="W167" i="1"/>
  <c r="Z167" i="1" s="1"/>
  <c r="P167" i="1"/>
  <c r="K167" i="1"/>
  <c r="J167" i="1"/>
  <c r="A167" i="1"/>
  <c r="W166" i="1"/>
  <c r="Z166" i="1" s="1"/>
  <c r="P166" i="1"/>
  <c r="K166" i="1"/>
  <c r="J166" i="1"/>
  <c r="A166" i="1"/>
  <c r="W165" i="1"/>
  <c r="Z165" i="1" s="1"/>
  <c r="P165" i="1"/>
  <c r="K165" i="1"/>
  <c r="J165" i="1"/>
  <c r="A165" i="1"/>
  <c r="W164" i="1"/>
  <c r="Z164" i="1" s="1"/>
  <c r="P164" i="1"/>
  <c r="K164" i="1"/>
  <c r="J164" i="1"/>
  <c r="A164" i="1"/>
  <c r="W161" i="1"/>
  <c r="Z161" i="1" s="1"/>
  <c r="P161" i="1"/>
  <c r="K161" i="1"/>
  <c r="J161" i="1"/>
  <c r="A161" i="1"/>
  <c r="W160" i="1"/>
  <c r="Z160" i="1" s="1"/>
  <c r="P160" i="1"/>
  <c r="K160" i="1"/>
  <c r="J160" i="1"/>
  <c r="A160" i="1"/>
  <c r="A32" i="3"/>
  <c r="J32" i="3"/>
  <c r="K32" i="3"/>
  <c r="P32" i="3"/>
  <c r="W32" i="3"/>
  <c r="Z32" i="3" s="1"/>
  <c r="W31" i="3"/>
  <c r="Z31" i="3" s="1"/>
  <c r="P31" i="3"/>
  <c r="K31" i="3"/>
  <c r="J31" i="3"/>
  <c r="A31" i="3"/>
  <c r="W183" i="1"/>
  <c r="Z183" i="1" s="1"/>
  <c r="P183" i="1"/>
  <c r="K183" i="1"/>
  <c r="J183" i="1"/>
  <c r="A183" i="1"/>
  <c r="W182" i="1"/>
  <c r="Z182" i="1" s="1"/>
  <c r="P182" i="1"/>
  <c r="K182" i="1"/>
  <c r="J182" i="1"/>
  <c r="A182" i="1"/>
  <c r="W181" i="1"/>
  <c r="Z181" i="1" s="1"/>
  <c r="P181" i="1"/>
  <c r="K181" i="1"/>
  <c r="J181" i="1"/>
  <c r="A181" i="1"/>
  <c r="A180" i="1"/>
  <c r="J180" i="1"/>
  <c r="K180" i="1"/>
  <c r="P180" i="1"/>
  <c r="W180" i="1"/>
  <c r="Z180" i="1" s="1"/>
  <c r="A178" i="1"/>
  <c r="J178" i="1"/>
  <c r="K178" i="1"/>
  <c r="P178" i="1"/>
  <c r="W178" i="1"/>
  <c r="Z178" i="1" s="1"/>
  <c r="A177" i="1"/>
  <c r="J177" i="1"/>
  <c r="K177" i="1"/>
  <c r="P177" i="1"/>
  <c r="W177" i="1"/>
  <c r="Z177" i="1" s="1"/>
  <c r="A176" i="1"/>
  <c r="J176" i="1"/>
  <c r="K176" i="1"/>
  <c r="P176" i="1"/>
  <c r="W176" i="1"/>
  <c r="Z176" i="1" s="1"/>
  <c r="A175" i="1"/>
  <c r="J175" i="1"/>
  <c r="K175" i="1"/>
  <c r="P175" i="1"/>
  <c r="W175" i="1"/>
  <c r="Z175" i="1" s="1"/>
  <c r="W174" i="1"/>
  <c r="Z174" i="1" s="1"/>
  <c r="P174" i="1"/>
  <c r="K174" i="1"/>
  <c r="J174" i="1"/>
  <c r="A174" i="1"/>
  <c r="A173" i="1"/>
  <c r="J173" i="1"/>
  <c r="K173" i="1"/>
  <c r="P173" i="1"/>
  <c r="W173" i="1"/>
  <c r="Z173" i="1" s="1"/>
  <c r="W172" i="1"/>
  <c r="Z172" i="1" s="1"/>
  <c r="P172" i="1"/>
  <c r="K172" i="1"/>
  <c r="J172" i="1"/>
  <c r="A172" i="1"/>
  <c r="W171" i="1"/>
  <c r="Z171" i="1" s="1"/>
  <c r="P171" i="1"/>
  <c r="K171" i="1"/>
  <c r="J171" i="1"/>
  <c r="A171" i="1"/>
  <c r="W170" i="1"/>
  <c r="Z170" i="1" s="1"/>
  <c r="P170" i="1"/>
  <c r="K170" i="1"/>
  <c r="J170" i="1"/>
  <c r="A170" i="1"/>
  <c r="W169" i="1"/>
  <c r="Z169" i="1" s="1"/>
  <c r="P169" i="1"/>
  <c r="K169" i="1"/>
  <c r="J169" i="1"/>
  <c r="A169" i="1"/>
  <c r="A168" i="1"/>
  <c r="J168" i="1"/>
  <c r="K168" i="1"/>
  <c r="P168" i="1"/>
  <c r="W168" i="1"/>
  <c r="Z168" i="1" s="1"/>
  <c r="W25" i="3" l="1"/>
  <c r="Z25" i="3" s="1"/>
  <c r="P25" i="3"/>
  <c r="K25" i="3"/>
  <c r="J25" i="3"/>
  <c r="A25" i="3"/>
  <c r="W28" i="3"/>
  <c r="Z28" i="3" s="1"/>
  <c r="P28" i="3"/>
  <c r="K28" i="3"/>
  <c r="J28" i="3"/>
  <c r="A28" i="3"/>
  <c r="A27" i="3"/>
  <c r="J27" i="3"/>
  <c r="K27" i="3"/>
  <c r="P27" i="3"/>
  <c r="W27" i="3"/>
  <c r="Z27" i="3" s="1"/>
  <c r="W26" i="3"/>
  <c r="Z26" i="3" s="1"/>
  <c r="P26" i="3"/>
  <c r="K26" i="3"/>
  <c r="J26" i="3"/>
  <c r="A26" i="3"/>
  <c r="W155" i="1" l="1"/>
  <c r="Z155" i="1" s="1"/>
  <c r="P155" i="1"/>
  <c r="K155" i="1"/>
  <c r="J155" i="1"/>
  <c r="A155" i="1"/>
  <c r="S154" i="1"/>
  <c r="M154" i="1"/>
  <c r="P154" i="1" s="1"/>
  <c r="K154" i="1"/>
  <c r="J154" i="1"/>
  <c r="A154" i="1"/>
  <c r="W150" i="1"/>
  <c r="Z150" i="1" s="1"/>
  <c r="P150" i="1"/>
  <c r="K150" i="1"/>
  <c r="J150" i="1"/>
  <c r="A150" i="1"/>
  <c r="A159" i="1"/>
  <c r="J159" i="1"/>
  <c r="K159" i="1"/>
  <c r="P159" i="1"/>
  <c r="W159" i="1"/>
  <c r="Z159" i="1" s="1"/>
  <c r="A158" i="1"/>
  <c r="J158" i="1"/>
  <c r="K158" i="1"/>
  <c r="P158" i="1"/>
  <c r="W158" i="1"/>
  <c r="Z158" i="1" s="1"/>
  <c r="W157" i="1"/>
  <c r="Z157" i="1" s="1"/>
  <c r="P157" i="1"/>
  <c r="K157" i="1"/>
  <c r="J157" i="1"/>
  <c r="A157" i="1"/>
  <c r="A156" i="1"/>
  <c r="J156" i="1"/>
  <c r="K156" i="1"/>
  <c r="P156" i="1"/>
  <c r="W156" i="1"/>
  <c r="Z156" i="1" s="1"/>
  <c r="A153" i="1"/>
  <c r="J153" i="1"/>
  <c r="K153" i="1"/>
  <c r="P153" i="1"/>
  <c r="W153" i="1"/>
  <c r="Z153" i="1" s="1"/>
  <c r="A152" i="1"/>
  <c r="J152" i="1"/>
  <c r="K152" i="1"/>
  <c r="P152" i="1"/>
  <c r="W152" i="1"/>
  <c r="Z152" i="1" s="1"/>
  <c r="A151" i="1"/>
  <c r="J151" i="1"/>
  <c r="K151" i="1"/>
  <c r="P151" i="1"/>
  <c r="W151" i="1"/>
  <c r="Z151" i="1" s="1"/>
  <c r="A149" i="1"/>
  <c r="J149" i="1"/>
  <c r="K149" i="1"/>
  <c r="P149" i="1"/>
  <c r="W149" i="1"/>
  <c r="Z149" i="1" s="1"/>
  <c r="W148" i="1"/>
  <c r="Z148" i="1" s="1"/>
  <c r="P148" i="1"/>
  <c r="K148" i="1"/>
  <c r="J148" i="1"/>
  <c r="A148" i="1"/>
  <c r="W24" i="2"/>
  <c r="Z24" i="2" s="1"/>
  <c r="P24" i="2"/>
  <c r="K24" i="2"/>
  <c r="J24" i="2"/>
  <c r="A24" i="2"/>
  <c r="W23" i="2"/>
  <c r="Z23" i="2" s="1"/>
  <c r="P23" i="2"/>
  <c r="K23" i="2"/>
  <c r="J23" i="2"/>
  <c r="A23" i="2"/>
  <c r="A22" i="3"/>
  <c r="J22" i="3"/>
  <c r="K22" i="3"/>
  <c r="P22" i="3"/>
  <c r="W22" i="3"/>
  <c r="Z22" i="3" s="1"/>
  <c r="W154" i="1" l="1"/>
  <c r="Z154" i="1" s="1"/>
  <c r="W20" i="3"/>
  <c r="Z20" i="3" s="1"/>
  <c r="P20" i="3"/>
  <c r="K20" i="3"/>
  <c r="J20" i="3"/>
  <c r="A20" i="3"/>
  <c r="W141" i="1"/>
  <c r="Z141" i="1" s="1"/>
  <c r="P141" i="1"/>
  <c r="K141" i="1"/>
  <c r="J141" i="1"/>
  <c r="A141" i="1"/>
  <c r="W140" i="1"/>
  <c r="Z140" i="1" s="1"/>
  <c r="P140" i="1"/>
  <c r="K140" i="1"/>
  <c r="J140" i="1"/>
  <c r="A140" i="1"/>
  <c r="W139" i="1"/>
  <c r="Z139" i="1" s="1"/>
  <c r="P139" i="1"/>
  <c r="K139" i="1"/>
  <c r="J139" i="1"/>
  <c r="A139" i="1"/>
  <c r="W138" i="1"/>
  <c r="Z138" i="1" s="1"/>
  <c r="P138" i="1"/>
  <c r="K138" i="1"/>
  <c r="J138" i="1"/>
  <c r="A138" i="1"/>
  <c r="W137" i="1"/>
  <c r="Z137" i="1" s="1"/>
  <c r="P137" i="1"/>
  <c r="K137" i="1"/>
  <c r="J137" i="1"/>
  <c r="A137" i="1"/>
  <c r="W22" i="2"/>
  <c r="Z22" i="2" s="1"/>
  <c r="P22" i="2"/>
  <c r="K22" i="2"/>
  <c r="J22" i="2"/>
  <c r="A22" i="2"/>
  <c r="W24" i="3"/>
  <c r="Z24" i="3" s="1"/>
  <c r="P24" i="3"/>
  <c r="K24" i="3"/>
  <c r="J24" i="3"/>
  <c r="A24" i="3"/>
  <c r="A23" i="3"/>
  <c r="J23" i="3"/>
  <c r="K23" i="3"/>
  <c r="P23" i="3"/>
  <c r="W23" i="3"/>
  <c r="Z23" i="3" s="1"/>
  <c r="A21" i="3"/>
  <c r="J21" i="3"/>
  <c r="K21" i="3"/>
  <c r="P21" i="3"/>
  <c r="W21" i="3"/>
  <c r="Z21" i="3" s="1"/>
  <c r="A19" i="3"/>
  <c r="J19" i="3"/>
  <c r="K19" i="3"/>
  <c r="P19" i="3"/>
  <c r="W19" i="3"/>
  <c r="Z19" i="3" s="1"/>
  <c r="W18" i="3"/>
  <c r="Z18" i="3" s="1"/>
  <c r="P18" i="3"/>
  <c r="K18" i="3"/>
  <c r="J18" i="3"/>
  <c r="A18" i="3"/>
  <c r="W147" i="1"/>
  <c r="Z147" i="1" s="1"/>
  <c r="P147" i="1"/>
  <c r="K147" i="1"/>
  <c r="J147" i="1"/>
  <c r="A147" i="1"/>
  <c r="S146" i="1"/>
  <c r="M146" i="1"/>
  <c r="P146" i="1" s="1"/>
  <c r="K146" i="1"/>
  <c r="J146" i="1"/>
  <c r="A146" i="1"/>
  <c r="W145" i="1"/>
  <c r="Z145" i="1" s="1"/>
  <c r="P145" i="1"/>
  <c r="K145" i="1"/>
  <c r="J145" i="1"/>
  <c r="A145" i="1"/>
  <c r="A144" i="1"/>
  <c r="J144" i="1"/>
  <c r="K144" i="1"/>
  <c r="P144" i="1"/>
  <c r="W144" i="1"/>
  <c r="Z144" i="1" s="1"/>
  <c r="A143" i="1"/>
  <c r="J143" i="1"/>
  <c r="K143" i="1"/>
  <c r="P143" i="1"/>
  <c r="W143" i="1"/>
  <c r="Z143" i="1" s="1"/>
  <c r="W142" i="1"/>
  <c r="Z142" i="1" s="1"/>
  <c r="P142" i="1"/>
  <c r="K142" i="1"/>
  <c r="J142" i="1"/>
  <c r="A142" i="1"/>
  <c r="W146" i="1" l="1"/>
  <c r="Z146" i="1" s="1"/>
  <c r="A21" i="2" l="1"/>
  <c r="J21" i="2"/>
  <c r="K21" i="2"/>
  <c r="P21" i="2"/>
  <c r="W21" i="2"/>
  <c r="Z21" i="2" s="1"/>
  <c r="A20" i="2"/>
  <c r="J20" i="2"/>
  <c r="K20" i="2"/>
  <c r="P20" i="2"/>
  <c r="W20" i="2"/>
  <c r="Z20" i="2" s="1"/>
  <c r="W17" i="3"/>
  <c r="Z17" i="3" s="1"/>
  <c r="P17" i="3"/>
  <c r="K17" i="3"/>
  <c r="J17" i="3"/>
  <c r="A17" i="3"/>
  <c r="W16" i="3"/>
  <c r="Z16" i="3" s="1"/>
  <c r="P16" i="3"/>
  <c r="K16" i="3"/>
  <c r="J16" i="3"/>
  <c r="A16" i="3"/>
  <c r="W15" i="3"/>
  <c r="Z15" i="3" s="1"/>
  <c r="P15" i="3"/>
  <c r="K15" i="3"/>
  <c r="J15" i="3"/>
  <c r="A15" i="3"/>
  <c r="W136" i="1"/>
  <c r="Z136" i="1" s="1"/>
  <c r="P136" i="1"/>
  <c r="K136" i="1"/>
  <c r="J136" i="1"/>
  <c r="A136" i="1"/>
  <c r="S135" i="1"/>
  <c r="M135" i="1"/>
  <c r="P135" i="1" s="1"/>
  <c r="A135" i="1"/>
  <c r="J135" i="1"/>
  <c r="K135" i="1"/>
  <c r="W134" i="1"/>
  <c r="Z134" i="1" s="1"/>
  <c r="P134" i="1"/>
  <c r="K134" i="1"/>
  <c r="J134" i="1"/>
  <c r="A134" i="1"/>
  <c r="A133" i="1"/>
  <c r="J133" i="1"/>
  <c r="K133" i="1"/>
  <c r="P133" i="1"/>
  <c r="W133" i="1"/>
  <c r="Z133" i="1" s="1"/>
  <c r="W132" i="1"/>
  <c r="Z132" i="1" s="1"/>
  <c r="P132" i="1"/>
  <c r="K132" i="1"/>
  <c r="J132" i="1"/>
  <c r="A132" i="1"/>
  <c r="A131" i="1"/>
  <c r="J131" i="1"/>
  <c r="K131" i="1"/>
  <c r="P131" i="1"/>
  <c r="W131" i="1"/>
  <c r="Z131" i="1" s="1"/>
  <c r="A130" i="1"/>
  <c r="J130" i="1"/>
  <c r="K130" i="1"/>
  <c r="P130" i="1"/>
  <c r="W130" i="1"/>
  <c r="Z130" i="1" s="1"/>
  <c r="W129" i="1"/>
  <c r="Z129" i="1" s="1"/>
  <c r="P129" i="1"/>
  <c r="K129" i="1"/>
  <c r="J129" i="1"/>
  <c r="A129" i="1"/>
  <c r="S128" i="1"/>
  <c r="M128" i="1"/>
  <c r="P128" i="1" s="1"/>
  <c r="A128" i="1"/>
  <c r="J128" i="1"/>
  <c r="K128" i="1"/>
  <c r="A127" i="1"/>
  <c r="J127" i="1"/>
  <c r="K127" i="1"/>
  <c r="P127" i="1"/>
  <c r="W127" i="1"/>
  <c r="Z127" i="1" s="1"/>
  <c r="A126" i="1"/>
  <c r="J126" i="1"/>
  <c r="K126" i="1"/>
  <c r="P126" i="1"/>
  <c r="W126" i="1"/>
  <c r="Z126" i="1" s="1"/>
  <c r="W125" i="1"/>
  <c r="Z125" i="1" s="1"/>
  <c r="P125" i="1"/>
  <c r="K125" i="1"/>
  <c r="J125" i="1"/>
  <c r="A125" i="1"/>
  <c r="W124" i="1"/>
  <c r="Z124" i="1" s="1"/>
  <c r="P124" i="1"/>
  <c r="K124" i="1"/>
  <c r="J124" i="1"/>
  <c r="A124" i="1"/>
  <c r="A123" i="1"/>
  <c r="J123" i="1"/>
  <c r="K123" i="1"/>
  <c r="P123" i="1"/>
  <c r="W123" i="1"/>
  <c r="Z123" i="1" s="1"/>
  <c r="W135" i="1" l="1"/>
  <c r="Z135" i="1" s="1"/>
  <c r="W128" i="1"/>
  <c r="Z128" i="1" s="1"/>
  <c r="W19" i="2" l="1"/>
  <c r="Z19" i="2" s="1"/>
  <c r="P19" i="2"/>
  <c r="K19" i="2"/>
  <c r="J19" i="2"/>
  <c r="A19" i="2"/>
  <c r="W18" i="2"/>
  <c r="Z18" i="2" s="1"/>
  <c r="P18" i="2"/>
  <c r="K18" i="2"/>
  <c r="J18" i="2"/>
  <c r="A18" i="2"/>
  <c r="W115" i="1"/>
  <c r="Z115" i="1" s="1"/>
  <c r="P115" i="1"/>
  <c r="K115" i="1"/>
  <c r="J115" i="1"/>
  <c r="A115" i="1"/>
  <c r="W114" i="1"/>
  <c r="Z114" i="1" s="1"/>
  <c r="P114" i="1"/>
  <c r="K114" i="1"/>
  <c r="J114" i="1"/>
  <c r="A114" i="1"/>
  <c r="W113" i="1"/>
  <c r="Z113" i="1" s="1"/>
  <c r="P113" i="1"/>
  <c r="K113" i="1"/>
  <c r="J113" i="1"/>
  <c r="A113" i="1"/>
  <c r="W109" i="1"/>
  <c r="Z109" i="1" s="1"/>
  <c r="P109" i="1"/>
  <c r="K109" i="1"/>
  <c r="J109" i="1"/>
  <c r="A109" i="1"/>
  <c r="W107" i="1"/>
  <c r="Z107" i="1" s="1"/>
  <c r="P107" i="1"/>
  <c r="K107" i="1"/>
  <c r="J107" i="1"/>
  <c r="A107" i="1"/>
  <c r="W17" i="2"/>
  <c r="Z17" i="2" s="1"/>
  <c r="P17" i="2"/>
  <c r="K17" i="2"/>
  <c r="J17" i="2"/>
  <c r="A17" i="2"/>
  <c r="W16" i="2"/>
  <c r="Z16" i="2" s="1"/>
  <c r="P16" i="2"/>
  <c r="K16" i="2"/>
  <c r="J16" i="2"/>
  <c r="A16" i="2"/>
  <c r="W122" i="1"/>
  <c r="Z122" i="1" s="1"/>
  <c r="P122" i="1"/>
  <c r="K122" i="1"/>
  <c r="J122" i="1"/>
  <c r="A122" i="1"/>
  <c r="W121" i="1"/>
  <c r="Z121" i="1" s="1"/>
  <c r="P121" i="1"/>
  <c r="K121" i="1"/>
  <c r="J121" i="1"/>
  <c r="A121" i="1"/>
  <c r="S120" i="1"/>
  <c r="M120" i="1"/>
  <c r="P120" i="1" s="1"/>
  <c r="A120" i="1"/>
  <c r="J120" i="1"/>
  <c r="K120" i="1"/>
  <c r="A119" i="1"/>
  <c r="J119" i="1"/>
  <c r="K119" i="1"/>
  <c r="P119" i="1"/>
  <c r="W119" i="1"/>
  <c r="Z119" i="1" s="1"/>
  <c r="W118" i="1"/>
  <c r="Z118" i="1" s="1"/>
  <c r="P118" i="1"/>
  <c r="K118" i="1"/>
  <c r="J118" i="1"/>
  <c r="A118" i="1"/>
  <c r="A14" i="3"/>
  <c r="J14" i="3"/>
  <c r="K14" i="3"/>
  <c r="P14" i="3"/>
  <c r="W14" i="3"/>
  <c r="Z14" i="3" s="1"/>
  <c r="A13" i="3"/>
  <c r="J13" i="3"/>
  <c r="K13" i="3"/>
  <c r="P13" i="3"/>
  <c r="W13" i="3"/>
  <c r="Z13" i="3" s="1"/>
  <c r="A12" i="3"/>
  <c r="J12" i="3"/>
  <c r="K12" i="3"/>
  <c r="P12" i="3"/>
  <c r="W12" i="3"/>
  <c r="Z12" i="3" s="1"/>
  <c r="W11" i="3"/>
  <c r="Z11" i="3" s="1"/>
  <c r="P11" i="3"/>
  <c r="K11" i="3"/>
  <c r="J11" i="3"/>
  <c r="A11" i="3"/>
  <c r="W117" i="1"/>
  <c r="Z117" i="1" s="1"/>
  <c r="P117" i="1"/>
  <c r="K117" i="1"/>
  <c r="J117" i="1"/>
  <c r="A117" i="1"/>
  <c r="A116" i="1"/>
  <c r="J116" i="1"/>
  <c r="K116" i="1"/>
  <c r="P116" i="1"/>
  <c r="W116" i="1"/>
  <c r="Z116" i="1" s="1"/>
  <c r="W112" i="1"/>
  <c r="Z112" i="1" s="1"/>
  <c r="P112" i="1"/>
  <c r="K112" i="1"/>
  <c r="J112" i="1"/>
  <c r="A112" i="1"/>
  <c r="W111" i="1"/>
  <c r="Z111" i="1" s="1"/>
  <c r="P111" i="1"/>
  <c r="K111" i="1"/>
  <c r="J111" i="1"/>
  <c r="A111" i="1"/>
  <c r="A110" i="1"/>
  <c r="J110" i="1"/>
  <c r="K110" i="1"/>
  <c r="P110" i="1"/>
  <c r="W110" i="1"/>
  <c r="Z110" i="1" s="1"/>
  <c r="W108" i="1"/>
  <c r="Z108" i="1" s="1"/>
  <c r="P108" i="1"/>
  <c r="K108" i="1"/>
  <c r="J108" i="1"/>
  <c r="A108" i="1"/>
  <c r="A106" i="1"/>
  <c r="J106" i="1"/>
  <c r="K106" i="1"/>
  <c r="P106" i="1"/>
  <c r="W106" i="1"/>
  <c r="Z106" i="1" s="1"/>
  <c r="W105" i="1"/>
  <c r="Z105" i="1" s="1"/>
  <c r="P105" i="1"/>
  <c r="K105" i="1"/>
  <c r="J105" i="1"/>
  <c r="A105" i="1"/>
  <c r="S104" i="1"/>
  <c r="M104" i="1"/>
  <c r="P104" i="1" s="1"/>
  <c r="K104" i="1"/>
  <c r="J104" i="1"/>
  <c r="A104" i="1"/>
  <c r="W103" i="1"/>
  <c r="Z103" i="1" s="1"/>
  <c r="P103" i="1"/>
  <c r="K103" i="1"/>
  <c r="J103" i="1"/>
  <c r="A103" i="1"/>
  <c r="W120" i="1" l="1"/>
  <c r="Z120" i="1" s="1"/>
  <c r="W104" i="1"/>
  <c r="Z104" i="1" s="1"/>
  <c r="W96" i="1" l="1"/>
  <c r="Z96" i="1" s="1"/>
  <c r="P96" i="1"/>
  <c r="K96" i="1"/>
  <c r="J96" i="1"/>
  <c r="A96" i="1"/>
  <c r="W94" i="1"/>
  <c r="Z94" i="1" s="1"/>
  <c r="P94" i="1"/>
  <c r="K94" i="1"/>
  <c r="J94" i="1"/>
  <c r="A94" i="1"/>
  <c r="W101" i="1"/>
  <c r="Z101" i="1" s="1"/>
  <c r="P101" i="1"/>
  <c r="K101" i="1"/>
  <c r="J101" i="1"/>
  <c r="A101" i="1"/>
  <c r="W100" i="1"/>
  <c r="Z100" i="1" s="1"/>
  <c r="P100" i="1"/>
  <c r="K100" i="1"/>
  <c r="J100" i="1"/>
  <c r="A100" i="1"/>
  <c r="S99" i="1"/>
  <c r="M99" i="1"/>
  <c r="P99" i="1" s="1"/>
  <c r="K99" i="1"/>
  <c r="J99" i="1"/>
  <c r="A99" i="1"/>
  <c r="A102" i="1"/>
  <c r="J102" i="1"/>
  <c r="K102" i="1"/>
  <c r="P102" i="1"/>
  <c r="W102" i="1"/>
  <c r="Z102" i="1" s="1"/>
  <c r="A98" i="1"/>
  <c r="J98" i="1"/>
  <c r="K98" i="1"/>
  <c r="P98" i="1"/>
  <c r="W98" i="1"/>
  <c r="Z98" i="1" s="1"/>
  <c r="A97" i="1"/>
  <c r="J97" i="1"/>
  <c r="K97" i="1"/>
  <c r="P97" i="1"/>
  <c r="W97" i="1"/>
  <c r="Z97" i="1" s="1"/>
  <c r="A95" i="1"/>
  <c r="J95" i="1"/>
  <c r="K95" i="1"/>
  <c r="P95" i="1"/>
  <c r="W95" i="1"/>
  <c r="Z95" i="1" s="1"/>
  <c r="W93" i="1"/>
  <c r="Z93" i="1" s="1"/>
  <c r="P93" i="1"/>
  <c r="K93" i="1"/>
  <c r="J93" i="1"/>
  <c r="A93" i="1"/>
  <c r="A92" i="1"/>
  <c r="J92" i="1"/>
  <c r="K92" i="1"/>
  <c r="P92" i="1"/>
  <c r="W92" i="1"/>
  <c r="Z92" i="1" s="1"/>
  <c r="W10" i="3"/>
  <c r="Z10" i="3" s="1"/>
  <c r="P10" i="3"/>
  <c r="K10" i="3"/>
  <c r="J10" i="3"/>
  <c r="A10" i="3"/>
  <c r="W99" i="1" l="1"/>
  <c r="Z99" i="1" s="1"/>
  <c r="W81" i="1"/>
  <c r="Z81" i="1" s="1"/>
  <c r="P81" i="1"/>
  <c r="K81" i="1"/>
  <c r="J81" i="1"/>
  <c r="A81" i="1"/>
  <c r="W60" i="1"/>
  <c r="Z60" i="1" s="1"/>
  <c r="P60" i="1"/>
  <c r="K60" i="1"/>
  <c r="J60" i="1"/>
  <c r="A60" i="1"/>
  <c r="W71" i="1"/>
  <c r="Z71" i="1" s="1"/>
  <c r="P71" i="1"/>
  <c r="K71" i="1"/>
  <c r="J71" i="1"/>
  <c r="A71" i="1"/>
  <c r="W70" i="1"/>
  <c r="Z70" i="1" s="1"/>
  <c r="P70" i="1"/>
  <c r="K70" i="1"/>
  <c r="J70" i="1"/>
  <c r="A70" i="1"/>
  <c r="W69" i="1"/>
  <c r="Z69" i="1" s="1"/>
  <c r="P69" i="1"/>
  <c r="K69" i="1"/>
  <c r="J69" i="1"/>
  <c r="A69" i="1"/>
  <c r="W68" i="1"/>
  <c r="Z68" i="1" s="1"/>
  <c r="P68" i="1"/>
  <c r="K68" i="1"/>
  <c r="J68" i="1"/>
  <c r="A68" i="1"/>
  <c r="W67" i="1"/>
  <c r="Z67" i="1" s="1"/>
  <c r="P67" i="1"/>
  <c r="K67" i="1"/>
  <c r="J67" i="1"/>
  <c r="A67" i="1"/>
  <c r="W65" i="1"/>
  <c r="Z65" i="1" s="1"/>
  <c r="P65" i="1"/>
  <c r="K65" i="1"/>
  <c r="J65" i="1"/>
  <c r="A65" i="1"/>
  <c r="W59" i="1"/>
  <c r="Z59" i="1" s="1"/>
  <c r="P59" i="1"/>
  <c r="K59" i="1"/>
  <c r="J59" i="1"/>
  <c r="A59" i="1"/>
  <c r="W63" i="1"/>
  <c r="Z63" i="1" s="1"/>
  <c r="P63" i="1"/>
  <c r="K63" i="1"/>
  <c r="J63" i="1"/>
  <c r="A63" i="1"/>
  <c r="W62" i="1"/>
  <c r="Z62" i="1" s="1"/>
  <c r="P62" i="1"/>
  <c r="K62" i="1"/>
  <c r="J62" i="1"/>
  <c r="A62" i="1"/>
  <c r="W57" i="1"/>
  <c r="Z57" i="1" s="1"/>
  <c r="P57" i="1"/>
  <c r="K57" i="1"/>
  <c r="J57" i="1"/>
  <c r="A57" i="1"/>
  <c r="A15" i="2" l="1"/>
  <c r="J15" i="2"/>
  <c r="K15" i="2"/>
  <c r="P15" i="2"/>
  <c r="W15" i="2"/>
  <c r="Z15" i="2" s="1"/>
  <c r="A14" i="2"/>
  <c r="J14" i="2"/>
  <c r="K14" i="2"/>
  <c r="P14" i="2"/>
  <c r="W14" i="2"/>
  <c r="Z14" i="2" s="1"/>
  <c r="W91" i="1"/>
  <c r="Z91" i="1" s="1"/>
  <c r="P91" i="1"/>
  <c r="K91" i="1"/>
  <c r="J91" i="1"/>
  <c r="A91" i="1"/>
  <c r="W90" i="1"/>
  <c r="Z90" i="1" s="1"/>
  <c r="P90" i="1"/>
  <c r="K90" i="1"/>
  <c r="J90" i="1"/>
  <c r="A90" i="1"/>
  <c r="S89" i="1"/>
  <c r="M89" i="1"/>
  <c r="P89" i="1" s="1"/>
  <c r="A89" i="1"/>
  <c r="J89" i="1"/>
  <c r="K89" i="1"/>
  <c r="S88" i="1"/>
  <c r="M88" i="1"/>
  <c r="P88" i="1" s="1"/>
  <c r="A88" i="1"/>
  <c r="J88" i="1"/>
  <c r="K88" i="1"/>
  <c r="A87" i="1"/>
  <c r="J87" i="1"/>
  <c r="K87" i="1"/>
  <c r="P87" i="1"/>
  <c r="W87" i="1"/>
  <c r="Z87" i="1" s="1"/>
  <c r="W86" i="1"/>
  <c r="Z86" i="1" s="1"/>
  <c r="P86" i="1"/>
  <c r="K86" i="1"/>
  <c r="J86" i="1"/>
  <c r="A86" i="1"/>
  <c r="A85" i="1"/>
  <c r="J85" i="1"/>
  <c r="K85" i="1"/>
  <c r="P85" i="1"/>
  <c r="W85" i="1"/>
  <c r="Z85" i="1" s="1"/>
  <c r="A84" i="1"/>
  <c r="J84" i="1"/>
  <c r="K84" i="1"/>
  <c r="P84" i="1"/>
  <c r="W84" i="1"/>
  <c r="Z84" i="1" s="1"/>
  <c r="A83" i="1"/>
  <c r="J83" i="1"/>
  <c r="K83" i="1"/>
  <c r="P83" i="1"/>
  <c r="W83" i="1"/>
  <c r="Z83" i="1" s="1"/>
  <c r="A13" i="2"/>
  <c r="J13" i="2"/>
  <c r="K13" i="2"/>
  <c r="P13" i="2"/>
  <c r="W13" i="2"/>
  <c r="Z13" i="2" s="1"/>
  <c r="W9" i="3"/>
  <c r="Z9" i="3" s="1"/>
  <c r="P9" i="3"/>
  <c r="K9" i="3"/>
  <c r="J9" i="3"/>
  <c r="A9" i="3"/>
  <c r="A8" i="3"/>
  <c r="J8" i="3"/>
  <c r="K8" i="3"/>
  <c r="P8" i="3"/>
  <c r="W8" i="3"/>
  <c r="Z8" i="3" s="1"/>
  <c r="W7" i="3"/>
  <c r="Z7" i="3" s="1"/>
  <c r="P7" i="3"/>
  <c r="K7" i="3"/>
  <c r="J7" i="3"/>
  <c r="A7" i="3"/>
  <c r="A82" i="1"/>
  <c r="J82" i="1"/>
  <c r="K82" i="1"/>
  <c r="P82" i="1"/>
  <c r="W82" i="1"/>
  <c r="Z82" i="1" s="1"/>
  <c r="A80" i="1"/>
  <c r="J80" i="1"/>
  <c r="K80" i="1"/>
  <c r="P80" i="1"/>
  <c r="W80" i="1"/>
  <c r="Z80" i="1" s="1"/>
  <c r="A79" i="1"/>
  <c r="J79" i="1"/>
  <c r="K79" i="1"/>
  <c r="P79" i="1"/>
  <c r="W79" i="1"/>
  <c r="Z79" i="1" s="1"/>
  <c r="W78" i="1"/>
  <c r="Z78" i="1" s="1"/>
  <c r="P78" i="1"/>
  <c r="K78" i="1"/>
  <c r="J78" i="1"/>
  <c r="A78" i="1"/>
  <c r="W77" i="1"/>
  <c r="Z77" i="1" s="1"/>
  <c r="P77" i="1"/>
  <c r="K77" i="1"/>
  <c r="J77" i="1"/>
  <c r="A77" i="1"/>
  <c r="W76" i="1"/>
  <c r="Z76" i="1" s="1"/>
  <c r="P76" i="1"/>
  <c r="K76" i="1"/>
  <c r="J76" i="1"/>
  <c r="A76" i="1"/>
  <c r="A75" i="1"/>
  <c r="S75" i="1"/>
  <c r="M75" i="1"/>
  <c r="P75" i="1" s="1"/>
  <c r="J75" i="1"/>
  <c r="K75" i="1"/>
  <c r="W74" i="1"/>
  <c r="Z74" i="1" s="1"/>
  <c r="P74" i="1"/>
  <c r="K74" i="1"/>
  <c r="J74" i="1"/>
  <c r="A74" i="1"/>
  <c r="A73" i="1"/>
  <c r="J73" i="1"/>
  <c r="K73" i="1"/>
  <c r="P73" i="1"/>
  <c r="W73" i="1"/>
  <c r="Z73" i="1" s="1"/>
  <c r="W72" i="1"/>
  <c r="Z72" i="1" s="1"/>
  <c r="P72" i="1"/>
  <c r="K72" i="1"/>
  <c r="J72" i="1"/>
  <c r="A72" i="1"/>
  <c r="W66" i="1"/>
  <c r="Z66" i="1" s="1"/>
  <c r="P66" i="1"/>
  <c r="K66" i="1"/>
  <c r="J66" i="1"/>
  <c r="A66" i="1"/>
  <c r="W64" i="1"/>
  <c r="Z64" i="1" s="1"/>
  <c r="P64" i="1"/>
  <c r="K64" i="1"/>
  <c r="J64" i="1"/>
  <c r="A64" i="1"/>
  <c r="W88" i="1" l="1"/>
  <c r="Z88" i="1" s="1"/>
  <c r="W89" i="1"/>
  <c r="Z89" i="1" s="1"/>
  <c r="W75" i="1"/>
  <c r="Z75" i="1" s="1"/>
  <c r="W61" i="1" l="1"/>
  <c r="Z61" i="1" s="1"/>
  <c r="P61" i="1"/>
  <c r="K61" i="1"/>
  <c r="J61" i="1"/>
  <c r="A61" i="1"/>
  <c r="W58" i="1"/>
  <c r="Z58" i="1" s="1"/>
  <c r="P58" i="1"/>
  <c r="K58" i="1"/>
  <c r="J58" i="1"/>
  <c r="A58" i="1"/>
  <c r="A12" i="2"/>
  <c r="J12" i="2"/>
  <c r="K12" i="2"/>
  <c r="P12" i="2"/>
  <c r="W12" i="2"/>
  <c r="Z12" i="2" s="1"/>
  <c r="S56" i="1"/>
  <c r="M56" i="1"/>
  <c r="K56" i="1"/>
  <c r="J56" i="1"/>
  <c r="A56" i="1"/>
  <c r="W56" i="1" l="1"/>
  <c r="Z56" i="1" s="1"/>
  <c r="P56" i="1"/>
  <c r="W5" i="3"/>
  <c r="Z5" i="3" s="1"/>
  <c r="P5" i="3"/>
  <c r="K5" i="3"/>
  <c r="J5" i="3"/>
  <c r="A5" i="3"/>
  <c r="W54" i="1"/>
  <c r="Z54" i="1" s="1"/>
  <c r="P54" i="1"/>
  <c r="K54" i="1"/>
  <c r="J54" i="1"/>
  <c r="A54" i="1"/>
  <c r="W51" i="1"/>
  <c r="Z51" i="1" s="1"/>
  <c r="P51" i="1"/>
  <c r="K51" i="1"/>
  <c r="J51" i="1"/>
  <c r="A51" i="1"/>
  <c r="S49" i="1"/>
  <c r="M49" i="1"/>
  <c r="P49" i="1" s="1"/>
  <c r="K49" i="1"/>
  <c r="J49" i="1"/>
  <c r="A49" i="1"/>
  <c r="W48" i="1"/>
  <c r="Z48" i="1" s="1"/>
  <c r="P48" i="1"/>
  <c r="K48" i="1"/>
  <c r="J48" i="1"/>
  <c r="A48" i="1"/>
  <c r="W47" i="1"/>
  <c r="Z47" i="1" s="1"/>
  <c r="P47" i="1"/>
  <c r="K47" i="1"/>
  <c r="J47" i="1"/>
  <c r="A47" i="1"/>
  <c r="W45" i="1"/>
  <c r="Z45" i="1" s="1"/>
  <c r="P45" i="1"/>
  <c r="K45" i="1"/>
  <c r="J45" i="1"/>
  <c r="A45" i="1"/>
  <c r="W44" i="1"/>
  <c r="Z44" i="1" s="1"/>
  <c r="P44" i="1"/>
  <c r="K44" i="1"/>
  <c r="J44" i="1"/>
  <c r="A44" i="1"/>
  <c r="W43" i="1"/>
  <c r="Z43" i="1" s="1"/>
  <c r="P43" i="1"/>
  <c r="K43" i="1"/>
  <c r="J43" i="1"/>
  <c r="A43" i="1"/>
  <c r="W42" i="1"/>
  <c r="Z42" i="1" s="1"/>
  <c r="P42" i="1"/>
  <c r="K42" i="1"/>
  <c r="J42" i="1"/>
  <c r="A42" i="1"/>
  <c r="W11" i="2"/>
  <c r="Z11" i="2" s="1"/>
  <c r="P11" i="2"/>
  <c r="K11" i="2"/>
  <c r="J11" i="2"/>
  <c r="A11" i="2"/>
  <c r="W10" i="2"/>
  <c r="Z10" i="2" s="1"/>
  <c r="P10" i="2"/>
  <c r="K10" i="2"/>
  <c r="J10" i="2"/>
  <c r="A10" i="2"/>
  <c r="W55" i="1"/>
  <c r="Z55" i="1" s="1"/>
  <c r="P55" i="1"/>
  <c r="K55" i="1"/>
  <c r="J55" i="1"/>
  <c r="A55" i="1"/>
  <c r="W6" i="3"/>
  <c r="Z6" i="3" s="1"/>
  <c r="P6" i="3"/>
  <c r="K6" i="3"/>
  <c r="J6" i="3"/>
  <c r="A6" i="3"/>
  <c r="A4" i="3"/>
  <c r="J4" i="3"/>
  <c r="K4" i="3"/>
  <c r="P4" i="3"/>
  <c r="W4" i="3"/>
  <c r="Z4" i="3" s="1"/>
  <c r="W3" i="3"/>
  <c r="Z3" i="3" s="1"/>
  <c r="P3" i="3"/>
  <c r="K3" i="3"/>
  <c r="J3" i="3"/>
  <c r="A3" i="3"/>
  <c r="W53" i="1"/>
  <c r="Z53" i="1" s="1"/>
  <c r="P53" i="1"/>
  <c r="K53" i="1"/>
  <c r="J53" i="1"/>
  <c r="A53" i="1"/>
  <c r="A52" i="1"/>
  <c r="J52" i="1"/>
  <c r="K52" i="1"/>
  <c r="P52" i="1"/>
  <c r="W52" i="1"/>
  <c r="Z52" i="1" s="1"/>
  <c r="A50" i="1"/>
  <c r="J50" i="1"/>
  <c r="K50" i="1"/>
  <c r="P50" i="1"/>
  <c r="W50" i="1"/>
  <c r="Z50" i="1" s="1"/>
  <c r="A46" i="1"/>
  <c r="J46" i="1"/>
  <c r="K46" i="1"/>
  <c r="P46" i="1"/>
  <c r="W46" i="1"/>
  <c r="Z46" i="1" s="1"/>
  <c r="W41" i="1"/>
  <c r="Z41" i="1" s="1"/>
  <c r="P41" i="1"/>
  <c r="K41" i="1"/>
  <c r="J41" i="1"/>
  <c r="A41" i="1"/>
  <c r="W49" i="1" l="1"/>
  <c r="Z49" i="1" s="1"/>
  <c r="W36" i="1" l="1"/>
  <c r="Z36" i="1" s="1"/>
  <c r="P36" i="1"/>
  <c r="K36" i="1"/>
  <c r="J36" i="1"/>
  <c r="A36" i="1"/>
  <c r="W35" i="1"/>
  <c r="Z35" i="1" s="1"/>
  <c r="P35" i="1"/>
  <c r="K35" i="1"/>
  <c r="J35" i="1"/>
  <c r="A35" i="1"/>
  <c r="W34" i="1"/>
  <c r="Z34" i="1" s="1"/>
  <c r="P34" i="1"/>
  <c r="K34" i="1"/>
  <c r="J34" i="1"/>
  <c r="A34" i="1"/>
  <c r="W33" i="1"/>
  <c r="Z33" i="1" s="1"/>
  <c r="P33" i="1"/>
  <c r="K33" i="1"/>
  <c r="J33" i="1"/>
  <c r="A33" i="1"/>
  <c r="W31" i="1"/>
  <c r="Z31" i="1" s="1"/>
  <c r="P31" i="1"/>
  <c r="K31" i="1"/>
  <c r="J31" i="1"/>
  <c r="A31" i="1"/>
  <c r="W30" i="1"/>
  <c r="Z30" i="1" s="1"/>
  <c r="P30" i="1"/>
  <c r="K30" i="1"/>
  <c r="J30" i="1"/>
  <c r="A30" i="1"/>
  <c r="W29" i="1"/>
  <c r="Z29" i="1" s="1"/>
  <c r="P29" i="1"/>
  <c r="K29" i="1"/>
  <c r="J29" i="1"/>
  <c r="A29" i="1"/>
  <c r="S28" i="1"/>
  <c r="M28" i="1"/>
  <c r="K28" i="1"/>
  <c r="J28" i="1"/>
  <c r="A28" i="1"/>
  <c r="W26" i="1"/>
  <c r="Z26" i="1" s="1"/>
  <c r="P26" i="1"/>
  <c r="K26" i="1"/>
  <c r="J26" i="1"/>
  <c r="A26" i="1"/>
  <c r="W25" i="1"/>
  <c r="Z25" i="1" s="1"/>
  <c r="P25" i="1"/>
  <c r="K25" i="1"/>
  <c r="J25" i="1"/>
  <c r="A25" i="1"/>
  <c r="S40" i="1"/>
  <c r="M40" i="1"/>
  <c r="P40" i="1" s="1"/>
  <c r="A40" i="1"/>
  <c r="J40" i="1"/>
  <c r="K40" i="1"/>
  <c r="A39" i="1"/>
  <c r="J39" i="1"/>
  <c r="K39" i="1"/>
  <c r="P39" i="1"/>
  <c r="W39" i="1"/>
  <c r="Z39" i="1" s="1"/>
  <c r="A38" i="1"/>
  <c r="J38" i="1"/>
  <c r="K38" i="1"/>
  <c r="P38" i="1"/>
  <c r="W38" i="1"/>
  <c r="Z38" i="1" s="1"/>
  <c r="A37" i="1"/>
  <c r="J37" i="1"/>
  <c r="K37" i="1"/>
  <c r="P37" i="1"/>
  <c r="W37" i="1"/>
  <c r="Z37" i="1" s="1"/>
  <c r="A32" i="1"/>
  <c r="J32" i="1"/>
  <c r="K32" i="1"/>
  <c r="P32" i="1"/>
  <c r="W32" i="1"/>
  <c r="Z32" i="1" s="1"/>
  <c r="A27" i="1"/>
  <c r="J27" i="1"/>
  <c r="K27" i="1"/>
  <c r="P27" i="1"/>
  <c r="W27" i="1"/>
  <c r="Z27" i="1" s="1"/>
  <c r="W24" i="1"/>
  <c r="Z24" i="1" s="1"/>
  <c r="P24" i="1"/>
  <c r="K24" i="1"/>
  <c r="J24" i="1"/>
  <c r="A24" i="1"/>
  <c r="W28" i="1" l="1"/>
  <c r="Z28" i="1" s="1"/>
  <c r="P28" i="1"/>
  <c r="W40" i="1"/>
  <c r="Z40" i="1" s="1"/>
  <c r="W23" i="1" l="1"/>
  <c r="Z23" i="1" s="1"/>
  <c r="P23" i="1"/>
  <c r="K23" i="1"/>
  <c r="J23" i="1"/>
  <c r="A23" i="1"/>
  <c r="A22" i="1"/>
  <c r="J22" i="1"/>
  <c r="K22" i="1"/>
  <c r="P22" i="1"/>
  <c r="W22" i="1"/>
  <c r="Z22" i="1" s="1"/>
  <c r="W21" i="1"/>
  <c r="Z21" i="1" s="1"/>
  <c r="P21" i="1"/>
  <c r="K21" i="1"/>
  <c r="J21" i="1"/>
  <c r="A21" i="1"/>
  <c r="W5" i="2"/>
  <c r="Z5" i="2" s="1"/>
  <c r="P5" i="2"/>
  <c r="K5" i="2"/>
  <c r="J5" i="2"/>
  <c r="A5" i="2"/>
  <c r="W9" i="2"/>
  <c r="Z9" i="2" s="1"/>
  <c r="P9" i="2"/>
  <c r="K9" i="2"/>
  <c r="J9" i="2"/>
  <c r="A9" i="2"/>
  <c r="W8" i="2"/>
  <c r="Z8" i="2" s="1"/>
  <c r="P8" i="2"/>
  <c r="K8" i="2"/>
  <c r="J8" i="2"/>
  <c r="A8" i="2"/>
  <c r="A7" i="2"/>
  <c r="J7" i="2"/>
  <c r="K7" i="2"/>
  <c r="P7" i="2"/>
  <c r="W7" i="2"/>
  <c r="Z7" i="2" s="1"/>
  <c r="A6" i="2"/>
  <c r="J6" i="2"/>
  <c r="K6" i="2"/>
  <c r="P6" i="2"/>
  <c r="W6" i="2"/>
  <c r="Z6" i="2" s="1"/>
  <c r="S20" i="1"/>
  <c r="M20" i="1"/>
  <c r="A20" i="1"/>
  <c r="J20" i="1"/>
  <c r="K20" i="1"/>
  <c r="P20" i="1"/>
  <c r="W12" i="1"/>
  <c r="Z12" i="1" s="1"/>
  <c r="P12" i="1"/>
  <c r="K12" i="1"/>
  <c r="J12" i="1"/>
  <c r="A12" i="1"/>
  <c r="W11" i="1"/>
  <c r="Z11" i="1" s="1"/>
  <c r="P11" i="1"/>
  <c r="K11" i="1"/>
  <c r="J11" i="1"/>
  <c r="A11" i="1"/>
  <c r="W10" i="1"/>
  <c r="Z10" i="1" s="1"/>
  <c r="P10" i="1"/>
  <c r="K10" i="1"/>
  <c r="J10" i="1"/>
  <c r="A10" i="1"/>
  <c r="A19" i="1"/>
  <c r="J19" i="1"/>
  <c r="K19" i="1"/>
  <c r="P19" i="1"/>
  <c r="W19" i="1"/>
  <c r="Z19" i="1" s="1"/>
  <c r="A18" i="1"/>
  <c r="J18" i="1"/>
  <c r="K18" i="1"/>
  <c r="P18" i="1"/>
  <c r="W18" i="1"/>
  <c r="Z18" i="1" s="1"/>
  <c r="A17" i="1"/>
  <c r="J17" i="1"/>
  <c r="K17" i="1"/>
  <c r="P17" i="1"/>
  <c r="W17" i="1"/>
  <c r="Z17" i="1" s="1"/>
  <c r="W16" i="1"/>
  <c r="Z16" i="1" s="1"/>
  <c r="P16" i="1"/>
  <c r="K16" i="1"/>
  <c r="J16" i="1"/>
  <c r="A16" i="1"/>
  <c r="W15" i="1"/>
  <c r="Z15" i="1" s="1"/>
  <c r="P15" i="1"/>
  <c r="K15" i="1"/>
  <c r="J15" i="1"/>
  <c r="A15" i="1"/>
  <c r="A14" i="1"/>
  <c r="J14" i="1"/>
  <c r="K14" i="1"/>
  <c r="P14" i="1"/>
  <c r="W14" i="1"/>
  <c r="Z14" i="1" s="1"/>
  <c r="A13" i="1"/>
  <c r="J13" i="1"/>
  <c r="K13" i="1"/>
  <c r="P13" i="1"/>
  <c r="W13" i="1"/>
  <c r="Z13" i="1" s="1"/>
  <c r="A4" i="2"/>
  <c r="J4" i="2"/>
  <c r="K4" i="2"/>
  <c r="P4" i="2"/>
  <c r="W4" i="2"/>
  <c r="Z4" i="2" s="1"/>
  <c r="W2" i="1"/>
  <c r="Z2" i="1" s="1"/>
  <c r="P2" i="1"/>
  <c r="K2" i="1"/>
  <c r="J2" i="1"/>
  <c r="A2" i="1"/>
  <c r="W7" i="1"/>
  <c r="Z7" i="1" s="1"/>
  <c r="P7" i="1"/>
  <c r="K7" i="1"/>
  <c r="J7" i="1"/>
  <c r="A7" i="1"/>
  <c r="S6" i="1"/>
  <c r="M6" i="1"/>
  <c r="P6" i="1" s="1"/>
  <c r="K6" i="1"/>
  <c r="J6" i="1"/>
  <c r="A6" i="1"/>
  <c r="W4" i="1"/>
  <c r="Z4" i="1" s="1"/>
  <c r="P4" i="1"/>
  <c r="K4" i="1"/>
  <c r="J4" i="1"/>
  <c r="A4" i="1"/>
  <c r="W3" i="1"/>
  <c r="Z3" i="1" s="1"/>
  <c r="P3" i="1"/>
  <c r="K3" i="1"/>
  <c r="J3" i="1"/>
  <c r="A3" i="1"/>
  <c r="A3" i="2"/>
  <c r="J3" i="2"/>
  <c r="K3" i="2"/>
  <c r="P3" i="2"/>
  <c r="W3" i="2"/>
  <c r="Z3" i="2" s="1"/>
  <c r="A2" i="2"/>
  <c r="J2" i="2"/>
  <c r="K2" i="2"/>
  <c r="P2" i="2"/>
  <c r="W2" i="2"/>
  <c r="Z2" i="2" s="1"/>
  <c r="W2" i="3"/>
  <c r="Z2" i="3" s="1"/>
  <c r="P2" i="3"/>
  <c r="K2" i="3"/>
  <c r="J2" i="3"/>
  <c r="A2" i="3"/>
  <c r="A9" i="1"/>
  <c r="J9" i="1"/>
  <c r="K9" i="1"/>
  <c r="P9" i="1"/>
  <c r="W9" i="1"/>
  <c r="Z9" i="1" s="1"/>
  <c r="A8" i="1"/>
  <c r="J8" i="1"/>
  <c r="K8" i="1"/>
  <c r="P8" i="1"/>
  <c r="W8" i="1"/>
  <c r="Z8" i="1" s="1"/>
  <c r="A5" i="1"/>
  <c r="J5" i="1"/>
  <c r="K5" i="1"/>
  <c r="P5" i="1"/>
  <c r="W5" i="1"/>
  <c r="Z5" i="1" s="1"/>
  <c r="W20" i="1" l="1"/>
  <c r="Z20" i="1" s="1"/>
  <c r="W6" i="1"/>
  <c r="Z6" i="1" s="1"/>
  <c r="Z196" i="1"/>
</calcChain>
</file>

<file path=xl/sharedStrings.xml><?xml version="1.0" encoding="utf-8"?>
<sst xmlns="http://schemas.openxmlformats.org/spreadsheetml/2006/main" count="27839" uniqueCount="2784">
  <si>
    <t>NO</t>
  </si>
  <si>
    <t>Month</t>
  </si>
  <si>
    <t>Transpotor name</t>
  </si>
  <si>
    <t>PAN</t>
  </si>
  <si>
    <t>TDS DeclN</t>
  </si>
  <si>
    <t>Vehicle No.</t>
  </si>
  <si>
    <t xml:space="preserve">Vehicle Type </t>
  </si>
  <si>
    <t>LR No</t>
  </si>
  <si>
    <t>LR Date</t>
  </si>
  <si>
    <t>Ageing</t>
  </si>
  <si>
    <t>POD Soft Copy Recd Date</t>
  </si>
  <si>
    <t>Origin to Destination</t>
  </si>
  <si>
    <t>Total 
Trip Charges</t>
  </si>
  <si>
    <t>Advance Payment</t>
  </si>
  <si>
    <t>Advance Paid Date</t>
  </si>
  <si>
    <t>Balance Payment</t>
  </si>
  <si>
    <t>Balance Paid Date</t>
  </si>
  <si>
    <t>Trip Lead by</t>
  </si>
  <si>
    <t>Customer Name (Billing From Vistar)</t>
  </si>
  <si>
    <t>Vistar Bill No</t>
  </si>
  <si>
    <t>Vistar Bill Date</t>
  </si>
  <si>
    <t>Vistar Billing Amount</t>
  </si>
  <si>
    <t>Mathadi 
Charges</t>
  </si>
  <si>
    <t>Vistar 
Margin</t>
  </si>
  <si>
    <t>OF RS ADVANCE PAID BY 
RS WITH NAME</t>
  </si>
  <si>
    <t>ADVANCE PAID BY
Name of the Advance payment</t>
  </si>
  <si>
    <t>Margin</t>
  </si>
  <si>
    <t>Aging</t>
  </si>
  <si>
    <t>Nil</t>
  </si>
  <si>
    <t>VISTAR</t>
  </si>
  <si>
    <t>1) Apr-26</t>
  </si>
  <si>
    <t>New matoshree Roadlines</t>
  </si>
  <si>
    <t>YES</t>
  </si>
  <si>
    <t>Pending</t>
  </si>
  <si>
    <t>1200KG</t>
  </si>
  <si>
    <t> Waluj To  Chennai</t>
  </si>
  <si>
    <t xml:space="preserve">Deepak </t>
  </si>
  <si>
    <t>Endurance K226/02</t>
  </si>
  <si>
    <t>Waluj To  MYSORE</t>
  </si>
  <si>
    <t>Endurance E-71</t>
  </si>
  <si>
    <t>mh57b0585</t>
  </si>
  <si>
    <t>mh57b0367</t>
  </si>
  <si>
    <t>mh20gc5014</t>
  </si>
  <si>
    <t>MH28BB6003</t>
  </si>
  <si>
    <t xml:space="preserve"> Virbhadra transport</t>
  </si>
  <si>
    <t>mh20GC7061</t>
  </si>
  <si>
    <t>1MT</t>
  </si>
  <si>
    <t>Waluj  To MYSORE</t>
  </si>
  <si>
    <t xml:space="preserve"> Ganesh Vitthal Gande </t>
  </si>
  <si>
    <t>MH20GZ0261</t>
  </si>
  <si>
    <t>12MT</t>
  </si>
  <si>
    <t>Endurance Aurangabad  To Endurance Narsapura </t>
  </si>
  <si>
    <t>Endurance K-120</t>
  </si>
  <si>
    <t>mh20gc1727</t>
  </si>
  <si>
    <t>Waluj to narsapura</t>
  </si>
  <si>
    <t>  PUNE To  Mysore </t>
  </si>
  <si>
    <t>Endurance B1/3</t>
  </si>
  <si>
    <t>Ajay Express</t>
  </si>
  <si>
    <t>mh20gc3689</t>
  </si>
  <si>
    <t>7MT</t>
  </si>
  <si>
    <t>G168 To  Hosur</t>
  </si>
  <si>
    <t>Sanjeev Auto</t>
  </si>
  <si>
    <t>MH23AU6511</t>
  </si>
  <si>
    <t>Chetan</t>
  </si>
  <si>
    <t>Reliable Autotech</t>
  </si>
  <si>
    <t>Rajkumar Chouhan</t>
  </si>
  <si>
    <t>MH18BG7759</t>
  </si>
  <si>
    <t>10MT</t>
  </si>
  <si>
    <t>PUN-01578</t>
  </si>
  <si>
    <t>MP13GA7869</t>
  </si>
  <si>
    <t>PUN-01579</t>
  </si>
  <si>
    <t>RAPL7 TO RAPL3</t>
  </si>
  <si>
    <t>RIJWAN RAMJAN</t>
  </si>
  <si>
    <t>ARBAJ SHAH</t>
  </si>
  <si>
    <t>MP09AN9247</t>
  </si>
  <si>
    <t>PUN-01585</t>
  </si>
  <si>
    <t>Indar Khoje</t>
  </si>
  <si>
    <t>mh21bh3688</t>
  </si>
  <si>
    <t>Endurance Narsapura</t>
  </si>
  <si>
    <t>Endurance Waluj To Endurance Narsapura</t>
  </si>
  <si>
    <t>Sai Transport company</t>
  </si>
  <si>
    <t>mh16dp2339</t>
  </si>
  <si>
    <t>mysore  to e71</t>
  </si>
  <si>
    <t>mh20gh9911</t>
  </si>
  <si>
    <t>Pune To Nasapura</t>
  </si>
  <si>
    <t>mh14ka8158</t>
  </si>
  <si>
    <t>waluj To  hosur</t>
  </si>
  <si>
    <t>mh20gc0338</t>
  </si>
  <si>
    <t>Waluj To  Chennai</t>
  </si>
  <si>
    <t>mh16dp1795</t>
  </si>
  <si>
    <t>mh20an9975</t>
  </si>
  <si>
    <t>mh15hh7541</t>
  </si>
  <si>
    <t>mh16cd9872</t>
  </si>
  <si>
    <t>mh20gc8643</t>
  </si>
  <si>
    <t>Taher Ahamad Sayyad </t>
  </si>
  <si>
    <t>MH20GC1901</t>
  </si>
  <si>
    <t>10mt</t>
  </si>
  <si>
    <t>Endurance K120 To Narsapura </t>
  </si>
  <si>
    <t>RJ11GA0589</t>
  </si>
  <si>
    <t>PUN-01595</t>
  </si>
  <si>
    <t>Onkar Satish Sonar</t>
  </si>
  <si>
    <t>MH14MT3155</t>
  </si>
  <si>
    <t>A.K LOGISTICS</t>
  </si>
  <si>
    <t>PUN-01599</t>
  </si>
  <si>
    <t>MP13GB6130</t>
  </si>
  <si>
    <t>PUN-01600</t>
  </si>
  <si>
    <t xml:space="preserve"> MP13GA7869</t>
  </si>
  <si>
    <t>PUN-01601</t>
  </si>
  <si>
    <t>MH10BR5333</t>
  </si>
  <si>
    <t>MH23AU7567</t>
  </si>
  <si>
    <t>mh20gz5309</t>
  </si>
  <si>
    <t>Waluj To  tata Sanand</t>
  </si>
  <si>
    <t>Varroc LTD</t>
  </si>
  <si>
    <t>MH28BB9838</t>
  </si>
  <si>
    <t>MH16CD3443</t>
  </si>
  <si>
    <t>MH16DP3802</t>
  </si>
  <si>
    <t>MH20GZ2882</t>
  </si>
  <si>
    <t>MH22AN5497</t>
  </si>
  <si>
    <t>Endurance L6/3/1&amp;2</t>
  </si>
  <si>
    <t>Ajay Express</t>
  </si>
  <si>
    <t>mh20gc9689</t>
  </si>
  <si>
    <t>Mysore   To  E71</t>
  </si>
  <si>
    <t>mh20eg8851</t>
  </si>
  <si>
    <t>Endurance  K120 To Endurance  Narsapura</t>
  </si>
  <si>
    <t>Dnyaneshwar Laxman Gayke</t>
  </si>
  <si>
    <t>mh20gc9561</t>
  </si>
  <si>
    <t>mh20el9598</t>
  </si>
  <si>
    <t>Waluj  To  HOSUR</t>
  </si>
  <si>
    <t>mh16cd0183</t>
  </si>
  <si>
    <t>PUNE To  Mysore </t>
  </si>
  <si>
    <t>mh13e2434</t>
  </si>
  <si>
    <t> Pune To Nasapura</t>
  </si>
  <si>
    <t>mh20z7688</t>
  </si>
  <si>
    <t>mh20gz5014</t>
  </si>
  <si>
    <t>mh17by3326</t>
  </si>
  <si>
    <t>mh20gc7821</t>
  </si>
  <si>
    <t>mh20gc8178</t>
  </si>
  <si>
    <t>Gajanan Vitthal Katore</t>
  </si>
  <si>
    <t>MH20GC7189</t>
  </si>
  <si>
    <t> Endurance  K120 To Narsapura</t>
  </si>
  <si>
    <t>PUN-01598</t>
  </si>
  <si>
    <t xml:space="preserve"> </t>
  </si>
  <si>
    <t>MH20GZ5689</t>
  </si>
  <si>
    <t>5MT</t>
  </si>
  <si>
    <t>Waluj  To  Mysore</t>
  </si>
  <si>
    <t>MH20GC7061</t>
  </si>
  <si>
    <t>mh20el4379</t>
  </si>
  <si>
    <t>mh28cf0149</t>
  </si>
  <si>
    <t>mh20gc0142</t>
  </si>
  <si>
    <t>mh22an4127</t>
  </si>
  <si>
    <t>mh12vt9444</t>
  </si>
  <si>
    <t>mh57b5757</t>
  </si>
  <si>
    <t>  Waluj To  tata Sanand</t>
  </si>
  <si>
    <t>ka25ac2430</t>
  </si>
  <si>
    <t>mh20gc2381</t>
  </si>
  <si>
    <t>Waluj To Hosur  </t>
  </si>
  <si>
    <t>Shaikh Rasool Shaikk sattar</t>
  </si>
  <si>
    <t>mh20el9004</t>
  </si>
  <si>
    <t>Endurance Aurangabad  To Endurance Narsapura</t>
  </si>
  <si>
    <t>MH16DP1794</t>
  </si>
  <si>
    <t> g168 To  hosur</t>
  </si>
  <si>
    <t>mh20gc2618</t>
  </si>
  <si>
    <t>MH16CD3533</t>
  </si>
  <si>
    <t>Sanjeev Auto G168 To Sanjeev Auto Hosur  </t>
  </si>
  <si>
    <t>MH20EL9004</t>
  </si>
  <si>
    <t>Sanjeev Auto To Sanjeev Auto Hosur</t>
  </si>
  <si>
    <t>PUN-01613</t>
  </si>
  <si>
    <t>MP09GG9987</t>
  </si>
  <si>
    <t>PUN-01615</t>
  </si>
  <si>
    <t>MH17BY7222</t>
  </si>
  <si>
    <t>MH18BZ3117</t>
  </si>
  <si>
    <t>PUN-01624</t>
  </si>
  <si>
    <t>mh14HG9143</t>
  </si>
  <si>
    <t>MH20GC4463</t>
  </si>
  <si>
    <t>Endurance k-228</t>
  </si>
  <si>
    <t>mh57b2689</t>
  </si>
  <si>
    <t>Waluj To  Hosur</t>
  </si>
  <si>
    <t>  mh20gc8674</t>
  </si>
  <si>
    <t>mh14gd1635</t>
  </si>
  <si>
    <t>Varroc pune to waluj</t>
  </si>
  <si>
    <t>mh20eg5225</t>
  </si>
  <si>
    <t>Varroc  waluj to pune</t>
  </si>
  <si>
    <t>mh50n6075</t>
  </si>
  <si>
    <t>MH20GC9486</t>
  </si>
  <si>
    <t>Endurance waluj To Endurance Narsapura</t>
  </si>
  <si>
    <t>Naeem Ayub Shaikh</t>
  </si>
  <si>
    <t>mh20gc7189</t>
  </si>
  <si>
    <t>k120 to narsapura</t>
  </si>
  <si>
    <t>  Endurance K120 To Narsapura </t>
  </si>
  <si>
    <t>mh20gc3732</t>
  </si>
  <si>
    <t>Waluj  To  Hosur</t>
  </si>
  <si>
    <t>mh20gc9838</t>
  </si>
  <si>
    <t>mh12sf8436</t>
  </si>
  <si>
    <t>mh16cd4302</t>
  </si>
  <si>
    <t>mh12yq6620</t>
  </si>
  <si>
    <t>mh20gz3549</t>
  </si>
  <si>
    <t>Endurance E-92</t>
  </si>
  <si>
    <t>mh20gc4718</t>
  </si>
  <si>
    <t>mh14jl1068</t>
  </si>
  <si>
    <t>mh20gz3612</t>
  </si>
  <si>
    <t>mh16cd9048</t>
  </si>
  <si>
    <t>mh20gc7688</t>
  </si>
  <si>
    <t>mh20el7331</t>
  </si>
  <si>
    <t>mh16cd7432</t>
  </si>
  <si>
    <t>mh12wj8573</t>
  </si>
  <si>
    <t>mh22an5979</t>
  </si>
  <si>
    <t>mh12yb6002</t>
  </si>
  <si>
    <t>mh57b8689</t>
  </si>
  <si>
    <t>MH18BZ2678</t>
  </si>
  <si>
    <t>PUN-01623</t>
  </si>
  <si>
    <t>MH14LB1761</t>
  </si>
  <si>
    <t>MH23AU6077</t>
  </si>
  <si>
    <t>MH14KQ2092</t>
  </si>
  <si>
    <t>MH57B0367</t>
  </si>
  <si>
    <t>MH41AU8698</t>
  </si>
  <si>
    <t>mh20el9550</t>
  </si>
  <si>
    <t>Somnath Nivrutti Mogal</t>
  </si>
  <si>
    <t>Endurance K120 To Endurance  Narsapura </t>
  </si>
  <si>
    <t>MH20GZ9810</t>
  </si>
  <si>
    <t> Endurance Waluj to Endurance  Narsapura </t>
  </si>
  <si>
    <t>Mysore TO PUNE</t>
  </si>
  <si>
    <t>mh11ch6123</t>
  </si>
  <si>
    <t>MH41AU6791</t>
  </si>
  <si>
    <t>PUN-01627</t>
  </si>
  <si>
    <t>PUN-01628</t>
  </si>
  <si>
    <t>MH20GC3689</t>
  </si>
  <si>
    <t>Sanjeev Auto To Sanjeev Auto  Hosur</t>
  </si>
  <si>
    <t>Balaji Bapurav Satpute</t>
  </si>
  <si>
    <t>MH12NX8065</t>
  </si>
  <si>
    <t>Varroc L4 To Hyderabad ( up Down Trip ) </t>
  </si>
  <si>
    <t>MH14LL9721</t>
  </si>
  <si>
    <t>MH22AN9975</t>
  </si>
  <si>
    <t>MH20GC5761</t>
  </si>
  <si>
    <t>MH40CM0294</t>
  </si>
  <si>
    <t>MH20GC4472</t>
  </si>
  <si>
    <t>MH14LX8684</t>
  </si>
  <si>
    <t>MH20GZ4689</t>
  </si>
  <si>
    <t>MH48AY0758</t>
  </si>
  <si>
    <t>MH20GC9229</t>
  </si>
  <si>
    <t>Waluj To Narsapura</t>
  </si>
  <si>
    <t>MH20GC0338</t>
  </si>
  <si>
    <t>mh20gc9068</t>
  </si>
  <si>
    <t>JIAU TRANSPORT SERVICE</t>
  </si>
  <si>
    <t>mh20gc8749</t>
  </si>
  <si>
    <t>ka05aq6258</t>
  </si>
  <si>
    <t>mh21bh9473</t>
  </si>
  <si>
    <t> Waluj To Narsapura</t>
  </si>
  <si>
    <t>mh12nx8651</t>
  </si>
  <si>
    <t>mh16cd9691</t>
  </si>
  <si>
    <t>mh16dp4083</t>
  </si>
  <si>
    <t>mh57b0338</t>
  </si>
  <si>
    <t>MH20GZ9707</t>
  </si>
  <si>
    <t>mh20gz3332</t>
  </si>
  <si>
    <t>mh16cc7471</t>
  </si>
  <si>
    <t>mh16dp1794</t>
  </si>
  <si>
    <t>mh16dp0782</t>
  </si>
  <si>
    <t>mh20gc8128</t>
  </si>
  <si>
    <t>MH20EG3929</t>
  </si>
  <si>
    <t>MP20GB1943</t>
  </si>
  <si>
    <t>PUN-26-27-0005</t>
  </si>
  <si>
    <t>MH18BG9318</t>
  </si>
  <si>
    <t>PUN-26-27-0013</t>
  </si>
  <si>
    <t>PUN-26-27-0035</t>
  </si>
  <si>
    <t>PUN-26-27-0036</t>
  </si>
  <si>
    <t>Total 
Trasport Charges</t>
  </si>
  <si>
    <t>Transport Advance Paid</t>
  </si>
  <si>
    <t>TransportBalance Payment</t>
  </si>
  <si>
    <t xml:space="preserve">ADVANCE PAID BY 
</t>
  </si>
  <si>
    <t xml:space="preserve"> ADVANCE PAID BY 
</t>
  </si>
  <si>
    <t>MH57B3415</t>
  </si>
  <si>
    <t>Waluj To hosur</t>
  </si>
  <si>
    <t>mh20gz7688</t>
  </si>
  <si>
    <t>mh12yq0428</t>
  </si>
  <si>
    <t>Pune To Mysore </t>
  </si>
  <si>
    <t>Waluj To  NARSAPURA</t>
  </si>
  <si>
    <t>MH20GC8343</t>
  </si>
  <si>
    <t>Bhagwat Vitthal Devkate</t>
  </si>
  <si>
    <t>mh20gc2859</t>
  </si>
  <si>
    <t>k120 TO  Narsapura </t>
  </si>
  <si>
    <t>mh20gz2882</t>
  </si>
  <si>
    <t>mh20gc9331</t>
  </si>
  <si>
    <t>mh45ax0896</t>
  </si>
  <si>
    <t>mh26be7820</t>
  </si>
  <si>
    <t>mh20gc8669</t>
  </si>
  <si>
    <t>Tijrat green fruit company </t>
  </si>
  <si>
    <t>MH20GC7314</t>
  </si>
  <si>
    <t>VLPLW-26-27-0001</t>
  </si>
  <si>
    <t>MH20GZ2997</t>
  </si>
  <si>
    <t>G168 to Sanjeev Auto Hosur</t>
  </si>
  <si>
    <t>VLPLW-26-27-0002</t>
  </si>
  <si>
    <t>VLPLW-26-27-0003</t>
  </si>
  <si>
    <t>MH14LX9379</t>
  </si>
  <si>
    <t>PUN-26-27-0041</t>
  </si>
  <si>
    <t>MP13GA7557</t>
  </si>
  <si>
    <t>PUN-26-27-0042</t>
  </si>
  <si>
    <t>mh20gc1766</t>
  </si>
  <si>
    <t>mh57b7688</t>
  </si>
  <si>
    <t>mh28bb9249</t>
  </si>
  <si>
    <t>mh16cd3443</t>
  </si>
  <si>
    <t>mh20gz5336</t>
  </si>
  <si>
    <t>mh20gc6370</t>
  </si>
  <si>
    <t>mh22an5497</t>
  </si>
  <si>
    <t> Endurance Waluj To Endurance Narsapura</t>
  </si>
  <si>
    <t>mysore TO PUNE</t>
  </si>
  <si>
    <t>mh20gz5689</t>
  </si>
  <si>
    <t xml:space="preserve">VLPLW-26-27-0006 </t>
  </si>
  <si>
    <t>mh16cd9721</t>
  </si>
  <si>
    <t xml:space="preserve">VLPLW-26-27-0004 </t>
  </si>
  <si>
    <t>VLPLW-26-27-0005</t>
  </si>
  <si>
    <t>VLPLW-26-27-0007</t>
  </si>
  <si>
    <t>mh57b5014</t>
  </si>
  <si>
    <t>mh20gc7061</t>
  </si>
  <si>
    <t>VLPLW-26-27-0008 </t>
  </si>
  <si>
    <t xml:space="preserve"> mh20gz2997</t>
  </si>
  <si>
    <t>7mt</t>
  </si>
  <si>
    <t xml:space="preserve">VLPLW-26-27-0009 </t>
  </si>
  <si>
    <t>MH20DT0208</t>
  </si>
  <si>
    <t xml:space="preserve">VLPLW-26-27-0010 </t>
  </si>
  <si>
    <t>PUN-26-27-0043</t>
  </si>
  <si>
    <t>LR Entry Remark</t>
  </si>
  <si>
    <t>Done</t>
  </si>
  <si>
    <t>MH18BG5730</t>
  </si>
  <si>
    <t>PUN-26-27-0044</t>
  </si>
  <si>
    <t>PUN-26-27-0045</t>
  </si>
  <si>
    <t>mh20gz2986</t>
  </si>
  <si>
    <t>MH16DP9721</t>
  </si>
  <si>
    <t>MH14JL1068</t>
  </si>
  <si>
    <t>MH21BH2864</t>
  </si>
  <si>
    <t>Shivaji Kisan Raut</t>
  </si>
  <si>
    <t>MH20GZ9927</t>
  </si>
  <si>
    <t>mh57b0729</t>
  </si>
  <si>
    <t>mh23au6511</t>
  </si>
  <si>
    <t>mh20gc9229</t>
  </si>
  <si>
    <t> narsapura TO K228</t>
  </si>
  <si>
    <t>MH20GZ1256</t>
  </si>
  <si>
    <t>VLPLW-26-27-0012</t>
  </si>
  <si>
    <t>g168 To  Hosur</t>
  </si>
  <si>
    <t>MH20GZ0755</t>
  </si>
  <si>
    <t xml:space="preserve">VLPLW-26-27-0013  </t>
  </si>
  <si>
    <t>VLPLW-26-27-0011 </t>
  </si>
  <si>
    <t>MH57B8669</t>
  </si>
  <si>
    <t>VLPLW-26-27-0014 </t>
  </si>
  <si>
    <t>mh020el6850</t>
  </si>
  <si>
    <t>mh14ll8239</t>
  </si>
  <si>
    <t>Kayum Kammu Shaikh</t>
  </si>
  <si>
    <t>MH20EL0299</t>
  </si>
  <si>
    <t>MH16CD4302</t>
  </si>
  <si>
    <t>MH20GC7688</t>
  </si>
  <si>
    <t>mh42bf0613</t>
  </si>
  <si>
    <t>mh17cv2719</t>
  </si>
  <si>
    <t>mh14ka6785</t>
  </si>
  <si>
    <t>Mh12um5413 </t>
  </si>
  <si>
    <t>mh22an4965</t>
  </si>
  <si>
    <t>mh14lx8684</t>
  </si>
  <si>
    <t>mh20gz4961</t>
  </si>
  <si>
    <t>Waluj To MYSORE</t>
  </si>
  <si>
    <t>mh16dp3802</t>
  </si>
  <si>
    <t>mh20gz5990</t>
  </si>
  <si>
    <t> Endurance  Waluj To Endurance Narsapura</t>
  </si>
  <si>
    <t>MH12VT9444</t>
  </si>
  <si>
    <t>mh20gz2381</t>
  </si>
  <si>
    <t>VLPLW-26-27-0017</t>
  </si>
  <si>
    <t>MH20GC9689</t>
  </si>
  <si>
    <t>VLPLW-26-27-0016 </t>
  </si>
  <si>
    <t>VLPLW-26-27-0015 </t>
  </si>
  <si>
    <t>VLPLW-26-27-0018</t>
  </si>
  <si>
    <t>DD01M9163</t>
  </si>
  <si>
    <t>PUN-26-27-0071</t>
  </si>
  <si>
    <t>PUN-26-27-0078</t>
  </si>
  <si>
    <t>MP09BL1644</t>
  </si>
  <si>
    <t>PUN-26-27-0077</t>
  </si>
  <si>
    <t>MP09GH0570</t>
  </si>
  <si>
    <t>PUN-26-27-0079</t>
  </si>
  <si>
    <t>MH21BH3688</t>
  </si>
  <si>
    <t>mh20eg5862</t>
  </si>
  <si>
    <t>mh20el5908</t>
  </si>
  <si>
    <t>Waluj To MYSORE</t>
  </si>
  <si>
    <t>mh20gc4721</t>
  </si>
  <si>
    <t>KA05AQ6258</t>
  </si>
  <si>
    <t>mh20gc7561</t>
  </si>
  <si>
    <t>mh12um3800</t>
  </si>
  <si>
    <t>Pune To hosur</t>
  </si>
  <si>
    <t xml:space="preserve"> MH16DP9721</t>
  </si>
  <si>
    <t xml:space="preserve">VLPLW26-27-0019 </t>
  </si>
  <si>
    <t>MH16CD9721</t>
  </si>
  <si>
    <t>VLPLW26-27-0020</t>
  </si>
  <si>
    <t>MH16DP2339</t>
  </si>
  <si>
    <t xml:space="preserve">VLPL26-26-0021 </t>
  </si>
  <si>
    <t>MH20GZ0211</t>
  </si>
  <si>
    <t>VLPLW26-27/0022</t>
  </si>
  <si>
    <t>VLPLW26-27/0023 </t>
  </si>
  <si>
    <t>MH22AN4127</t>
  </si>
  <si>
    <t>Vlplw26-27/0025 </t>
  </si>
  <si>
    <t>MH14GD1635</t>
  </si>
  <si>
    <t xml:space="preserve">VLPLW26/27/0026 </t>
  </si>
  <si>
    <t>MH57B0337</t>
  </si>
  <si>
    <t xml:space="preserve">VLPLW-26-27-0027 </t>
  </si>
  <si>
    <t>Waluj To HOSUR</t>
  </si>
  <si>
    <t>MH20GZ2890</t>
  </si>
  <si>
    <t>VLPLW26-27/0033 </t>
  </si>
  <si>
    <t>Waluj To Chennai</t>
  </si>
  <si>
    <t>MH57B0269</t>
  </si>
  <si>
    <t xml:space="preserve">VLPLW26-27/0035 </t>
  </si>
  <si>
    <t>MH14ll9721</t>
  </si>
  <si>
    <t>VLPLW26-27-0028</t>
  </si>
  <si>
    <t>MH14KA7408</t>
  </si>
  <si>
    <t>VLPLW26-27-0029</t>
  </si>
  <si>
    <t>MH12YQ0284</t>
  </si>
  <si>
    <t>VLPLW26-27-0030</t>
  </si>
  <si>
    <t>MH16CD1470</t>
  </si>
  <si>
    <t>VLPLW26-27-0032</t>
  </si>
  <si>
    <t>mh14mh7567</t>
  </si>
  <si>
    <t>VLPLW26-27-0036</t>
  </si>
  <si>
    <t>VLPLW26-27-0040 </t>
  </si>
  <si>
    <t>mh12vf9973</t>
  </si>
  <si>
    <t>VLPLW 26-27 0038 </t>
  </si>
  <si>
    <t>mh20gz0039</t>
  </si>
  <si>
    <t xml:space="preserve">VLPLW-26-27-0039 </t>
  </si>
  <si>
    <t>MH12WX5016</t>
  </si>
  <si>
    <t>mh20eg1620</t>
  </si>
  <si>
    <t>MH20GC0041</t>
  </si>
  <si>
    <t>VLPLW26-27-0041 </t>
  </si>
  <si>
    <t>VLPLW 26-27 0042 </t>
  </si>
  <si>
    <t>PUN-26-27-0080</t>
  </si>
  <si>
    <t>MH45AX0896 </t>
  </si>
  <si>
    <t xml:space="preserve">Vlplw 26 27 0043 </t>
  </si>
  <si>
    <t>MH12ZE3514</t>
  </si>
  <si>
    <t xml:space="preserve">VLPL26/27/0046 </t>
  </si>
  <si>
    <t xml:space="preserve">VLPLW 26-27-0044 </t>
  </si>
  <si>
    <t>mh20gz4689</t>
  </si>
  <si>
    <t>VLPLW 26-27-0045</t>
  </si>
  <si>
    <t>mh20gc0047</t>
  </si>
  <si>
    <t>VLPLW-26-27-0047 </t>
  </si>
  <si>
    <t>MH12UM5413</t>
  </si>
  <si>
    <t>VLPL26270057 </t>
  </si>
  <si>
    <t>MH57B5014</t>
  </si>
  <si>
    <t xml:space="preserve">VLPLW2627 0055  </t>
  </si>
  <si>
    <t>MH57B2689</t>
  </si>
  <si>
    <t xml:space="preserve">VLPLW2627 0054 </t>
  </si>
  <si>
    <t>MH16CD8157</t>
  </si>
  <si>
    <t>VLPLW2627 0056 </t>
  </si>
  <si>
    <t>Waluj  To  mysore</t>
  </si>
  <si>
    <t>VLPLW2627 0053 </t>
  </si>
  <si>
    <t xml:space="preserve">VLPLW2627  0052 </t>
  </si>
  <si>
    <t xml:space="preserve">VLPLW2627  0049 </t>
  </si>
  <si>
    <t>Waluj  To Chennai</t>
  </si>
  <si>
    <t>mh20el8948</t>
  </si>
  <si>
    <t>VLPLW2627 0048</t>
  </si>
  <si>
    <t>VLPLW2627 0051 </t>
  </si>
  <si>
    <t>VLPLW2627 0050 </t>
  </si>
  <si>
    <t>MH20GC8128</t>
  </si>
  <si>
    <t xml:space="preserve">VLPLW26-27-0058 </t>
  </si>
  <si>
    <t>  MH41AU8698</t>
  </si>
  <si>
    <t xml:space="preserve">VLPLW2427 0059 </t>
  </si>
  <si>
    <t xml:space="preserve">VLPLW-26-27 0060 </t>
  </si>
  <si>
    <t>MH20GZ5014</t>
  </si>
  <si>
    <t>VLPLW-26-27 0061</t>
  </si>
  <si>
    <t>MH20EL9598</t>
  </si>
  <si>
    <t>VLPL2627 0062</t>
  </si>
  <si>
    <t> Sanjeev Auto To Sanjeev Auto  Hosur</t>
  </si>
  <si>
    <t>VLPLW2627  0063</t>
  </si>
  <si>
    <t>VLPLW2627 0064</t>
  </si>
  <si>
    <t>PUN-26-27-0112</t>
  </si>
  <si>
    <t>PUN-26-27-0159</t>
  </si>
  <si>
    <t>PUN-26-27-0158</t>
  </si>
  <si>
    <t>mh20gc4463</t>
  </si>
  <si>
    <t xml:space="preserve">VLPLW2627 0066 </t>
  </si>
  <si>
    <t>MH14LB699</t>
  </si>
  <si>
    <t xml:space="preserve">VLPLW2627  0068 </t>
  </si>
  <si>
    <t xml:space="preserve">VLPLW2627 0067 </t>
  </si>
  <si>
    <t>VLPLW2627 0065 </t>
  </si>
  <si>
    <t>MH42BF5343</t>
  </si>
  <si>
    <t xml:space="preserve">VLPLW2627  0069 </t>
  </si>
  <si>
    <t>VLPLW2627 0070</t>
  </si>
  <si>
    <t>waluj To hosur</t>
  </si>
  <si>
    <t>VLPLW26-27 0071</t>
  </si>
  <si>
    <t>VLPLW26-27 0072 </t>
  </si>
  <si>
    <t>M20GC4472</t>
  </si>
  <si>
    <t>VLPLW26-27 0073</t>
  </si>
  <si>
    <t>MH45AX0896</t>
  </si>
  <si>
    <t xml:space="preserve">VLPLW2627  0074 </t>
  </si>
  <si>
    <t>MH20GZ2986</t>
  </si>
  <si>
    <t xml:space="preserve">VLPLW2627 0075 </t>
  </si>
  <si>
    <t>Waluj To Chennai</t>
  </si>
  <si>
    <t>Hr84 6921</t>
  </si>
  <si>
    <t>VLPLW26-27-0076</t>
  </si>
  <si>
    <t>VLPLW2427 0077 </t>
  </si>
  <si>
    <t xml:space="preserve">VLPLW2627 0078 </t>
  </si>
  <si>
    <t xml:space="preserve">VLPLW2627 0079 </t>
  </si>
  <si>
    <t> Endurance K120 Waluj To  Narsapura  </t>
  </si>
  <si>
    <t>MH20GZ2478</t>
  </si>
  <si>
    <t>VLPLW2627 0080</t>
  </si>
  <si>
    <t>Mysore to e71</t>
  </si>
  <si>
    <t>MH16DP0782</t>
  </si>
  <si>
    <t xml:space="preserve">VLPLW2627 0081 </t>
  </si>
  <si>
    <t>MH20GC7052</t>
  </si>
  <si>
    <t>VLPLW2627 0082 </t>
  </si>
  <si>
    <t>hr46g6836</t>
  </si>
  <si>
    <t xml:space="preserve">VLPLW26-27-0083 </t>
  </si>
  <si>
    <t>Pune To narsapura</t>
  </si>
  <si>
    <t>mh20gc6155</t>
  </si>
  <si>
    <t>VLPLW2627 0084 </t>
  </si>
  <si>
    <t>MH26BE7820</t>
  </si>
  <si>
    <t>VLPLW2627 0085</t>
  </si>
  <si>
    <t>Pune TO Ather</t>
  </si>
  <si>
    <t>Balu Waghmode</t>
  </si>
  <si>
    <t>MH20GZ7850</t>
  </si>
  <si>
    <t>VLPLW2627 0087</t>
  </si>
  <si>
    <t>endurance Aurangabad to Endurance  Narsapura </t>
  </si>
  <si>
    <t>PUN-26-27-0164 </t>
  </si>
  <si>
    <t>VLPLW2627 0086</t>
  </si>
  <si>
    <t>MH14EM9774</t>
  </si>
  <si>
    <t>VLPLW2627 0088</t>
  </si>
  <si>
    <t>MH22AN4965</t>
  </si>
  <si>
    <t>VLPLW2627 0089</t>
  </si>
  <si>
    <t>MH20GC9331</t>
  </si>
  <si>
    <t>VLPLW2627 0090 </t>
  </si>
  <si>
    <t>KA04AF4005</t>
  </si>
  <si>
    <t>VLPLW2627 0091</t>
  </si>
  <si>
    <t>Waluj To NARSAPURA</t>
  </si>
  <si>
    <t>VLPLW2627 0092</t>
  </si>
  <si>
    <t>mh16cd9273</t>
  </si>
  <si>
    <t>VLPLW2627 0093 </t>
  </si>
  <si>
    <t>b1/3To Narsapura</t>
  </si>
  <si>
    <t>VLPLW2627 0094</t>
  </si>
  <si>
    <t>puneTo narsapura</t>
  </si>
  <si>
    <t xml:space="preserve">VLPLw2627 0095 </t>
  </si>
  <si>
    <t>mh20gc3440</t>
  </si>
  <si>
    <t>VLPLW2627 0096</t>
  </si>
  <si>
    <t>VLPLW2627 0097 </t>
  </si>
  <si>
    <t>VLPLW2627 0098</t>
  </si>
  <si>
    <t>MH23AU7350</t>
  </si>
  <si>
    <t>VLPLW2627 0099 </t>
  </si>
  <si>
    <t>MH16CC7194</t>
  </si>
  <si>
    <t xml:space="preserve">VLPLW2627 0100 </t>
  </si>
  <si>
    <t>Pune To BANGALORE</t>
  </si>
  <si>
    <t>KA17D9869</t>
  </si>
  <si>
    <t>VLPLW2627 0101</t>
  </si>
  <si>
    <t>VLPLW2627 0102</t>
  </si>
  <si>
    <t>MH12XM8573</t>
  </si>
  <si>
    <t>Vlplw 26 27 0103 </t>
  </si>
  <si>
    <t>MH48AY6341</t>
  </si>
  <si>
    <t xml:space="preserve">Vlplw 26 27 0104 </t>
  </si>
  <si>
    <t>Pune To HOSUR</t>
  </si>
  <si>
    <t>mh38x2521</t>
  </si>
  <si>
    <t xml:space="preserve">VLPLW2627 0105 </t>
  </si>
  <si>
    <t xml:space="preserve">VLPLW2627 0107 </t>
  </si>
  <si>
    <t>MH20Gz4689</t>
  </si>
  <si>
    <t xml:space="preserve">VLPLW-26-27-0106 </t>
  </si>
  <si>
    <t>G168 To  Hosur</t>
  </si>
  <si>
    <t>MP09ZY0323</t>
  </si>
  <si>
    <t>RAFIQ SHAH</t>
  </si>
  <si>
    <t>PUN-26-27-0176</t>
  </si>
  <si>
    <t>MP04GA7262</t>
  </si>
  <si>
    <t>PUN-26-27-0177</t>
  </si>
  <si>
    <t>PUN-26-27-166</t>
  </si>
  <si>
    <t>MH18BG9317</t>
  </si>
  <si>
    <t>PUN-26-27-0179</t>
  </si>
  <si>
    <t>    MH20GZ3418</t>
  </si>
  <si>
    <t xml:space="preserve">VLPLW2427 0108 </t>
  </si>
  <si>
    <t>  Hydrababd To waluj</t>
  </si>
  <si>
    <t>MH57B7688</t>
  </si>
  <si>
    <t>VLPL2627 0109</t>
  </si>
  <si>
    <t xml:space="preserve">VLPL2627 0110 </t>
  </si>
  <si>
    <t>HOSUR</t>
  </si>
  <si>
    <t>MH28CF0149</t>
  </si>
  <si>
    <t>VLPLW2627 0111</t>
  </si>
  <si>
    <t>VLPLW2627 0112</t>
  </si>
  <si>
    <t>mh12yq0284</t>
  </si>
  <si>
    <t>VLPLW26-27-0113</t>
  </si>
  <si>
    <t>mh20gz0556</t>
  </si>
  <si>
    <t xml:space="preserve">VLPLW2627 0114 </t>
  </si>
  <si>
    <t>MH12YB6002</t>
  </si>
  <si>
    <t>VLPLW2627 0115 </t>
  </si>
  <si>
    <t>mh57b0337</t>
  </si>
  <si>
    <t>VLPLW2627 0116</t>
  </si>
  <si>
    <t>MH16DP4083</t>
  </si>
  <si>
    <t>VLPLW2627 0117 </t>
  </si>
  <si>
    <t xml:space="preserve">VLPLW2627 0118 </t>
  </si>
  <si>
    <t>VLPLW2627 0119</t>
  </si>
  <si>
    <t>Endurance K120 To Narsapura</t>
  </si>
  <si>
    <t>mh13ep8380</t>
  </si>
  <si>
    <t>Vlplw 26 27 0120</t>
  </si>
  <si>
    <t xml:space="preserve"> VLPLW26-27-0121</t>
  </si>
  <si>
    <t xml:space="preserve">VLPL2627 0122 </t>
  </si>
  <si>
    <t>VLPLW2627 0123</t>
  </si>
  <si>
    <t>Endurance Waluj to Endurance  Narsapura </t>
  </si>
  <si>
    <t>MH20GC8258</t>
  </si>
  <si>
    <t xml:space="preserve">VLPLW2627 0124 </t>
  </si>
  <si>
    <t xml:space="preserve">VLPLW2627 0125 </t>
  </si>
  <si>
    <t>Pune To bangalore</t>
  </si>
  <si>
    <t xml:space="preserve">VLPLW2627 0126 </t>
  </si>
  <si>
    <t>mh16cd1470</t>
  </si>
  <si>
    <t>VLPLW2627 0127</t>
  </si>
  <si>
    <t xml:space="preserve">VLPLW2627 0128 </t>
  </si>
  <si>
    <t>VLPLW2627 0129</t>
  </si>
  <si>
    <t>VLPLW2627 0130</t>
  </si>
  <si>
    <t>VLPLW2627 0131</t>
  </si>
  <si>
    <t>Waluj To narsapura</t>
  </si>
  <si>
    <t>VLPLW2627 0132</t>
  </si>
  <si>
    <t>VLPLW2627 0133</t>
  </si>
  <si>
    <t>mh20gz2584</t>
  </si>
  <si>
    <t>VLPLW2627 0134 </t>
  </si>
  <si>
    <t>VLPLW 26-27 135</t>
  </si>
  <si>
    <t>VLPLW2627 0136</t>
  </si>
  <si>
    <t>Waluj To  PSA HOSUR</t>
  </si>
  <si>
    <t>Mh15jr7600 </t>
  </si>
  <si>
    <t>3.5MT</t>
  </si>
  <si>
    <t xml:space="preserve">VLPLW2627 0137 </t>
  </si>
  <si>
    <t>Waluj  To  tada</t>
  </si>
  <si>
    <t>VLPLW26-27-0138</t>
  </si>
  <si>
    <t>Pune To Hosur</t>
  </si>
  <si>
    <t>VLPLW2627 0139</t>
  </si>
  <si>
    <t>mh20gc3648</t>
  </si>
  <si>
    <t xml:space="preserve">VLPLW2627 0140 </t>
  </si>
  <si>
    <t>mh16cd7337</t>
  </si>
  <si>
    <t>VLPLW2627 0141</t>
  </si>
  <si>
    <t xml:space="preserve">VLPLw2627 0142 </t>
  </si>
  <si>
    <t>VLPLW-26-27-0143</t>
  </si>
  <si>
    <t xml:space="preserve">VLPLW2627 0144 </t>
  </si>
  <si>
    <t>Endurance Aurangabad To Endurance Narsapura</t>
  </si>
  <si>
    <t>VLPLW2627 0145</t>
  </si>
  <si>
    <t>MH12YQ6620</t>
  </si>
  <si>
    <t>VLPLW26-27-0146</t>
  </si>
  <si>
    <t>VLPLW2627 0147 </t>
  </si>
  <si>
    <t>PUN-26-27-0185</t>
  </si>
  <si>
    <t>PUN-26-27-0186</t>
  </si>
  <si>
    <t>MH20GZ4691</t>
  </si>
  <si>
    <t>VLPLW2627 0148</t>
  </si>
  <si>
    <t>mh14mt2201</t>
  </si>
  <si>
    <t xml:space="preserve">VLPLW2627 0150 </t>
  </si>
  <si>
    <t>3.5mt</t>
  </si>
  <si>
    <t>Waluj To Bangalore</t>
  </si>
  <si>
    <t>VLPLW 26-27 0151</t>
  </si>
  <si>
    <t xml:space="preserve">VLPLW 26-27 0160 </t>
  </si>
  <si>
    <t xml:space="preserve">VLPLW2627 152 </t>
  </si>
  <si>
    <t>VLPLW2627 153</t>
  </si>
  <si>
    <t>m20gc8669</t>
  </si>
  <si>
    <t xml:space="preserve">VLPLW2627 0154 </t>
  </si>
  <si>
    <t>Waluj To hosur</t>
  </si>
  <si>
    <t>VLPLW2627 0155</t>
  </si>
  <si>
    <t>mh14ll6252</t>
  </si>
  <si>
    <t xml:space="preserve">VLPLW26-27-0156 </t>
  </si>
  <si>
    <t>Pune To Bangalore</t>
  </si>
  <si>
    <t>VLPLW-26-27-0157</t>
  </si>
  <si>
    <t>mh20gz2997</t>
  </si>
  <si>
    <t>VLPLW2627 0158</t>
  </si>
  <si>
    <t>mh20gz3539</t>
  </si>
  <si>
    <t xml:space="preserve">VLPLW2627 0159 </t>
  </si>
  <si>
    <t>Vlplw 26 27 00161</t>
  </si>
  <si>
    <t>MH20EL8169</t>
  </si>
  <si>
    <t>VLPLW2627 0162 </t>
  </si>
  <si>
    <t>GJ17YY0312</t>
  </si>
  <si>
    <t>PUN-26-27-0202</t>
  </si>
  <si>
    <t>Bhosari TO Himatnagar</t>
  </si>
  <si>
    <t>MANISH ROADLINES</t>
  </si>
  <si>
    <t>PUN-26-27-0203</t>
  </si>
  <si>
    <t>R.P Electrical engineering</t>
  </si>
  <si>
    <t>VL/MH/26-27/0013</t>
  </si>
  <si>
    <t>VL/MH/26-27/0014</t>
  </si>
  <si>
    <t>VL/MH/26-27/0015</t>
  </si>
  <si>
    <t>VL/MH/26-27/0016</t>
  </si>
  <si>
    <t>VL/MH/26-27/0017</t>
  </si>
  <si>
    <t>VL/MH/26-27/0018</t>
  </si>
  <si>
    <t>VL/MH/26-27/0019</t>
  </si>
  <si>
    <t>VL/MH/26-27/0020</t>
  </si>
  <si>
    <t>MH50N3627</t>
  </si>
  <si>
    <t>VLPLW2627 0149</t>
  </si>
  <si>
    <t> b1/3To Narsapura</t>
  </si>
  <si>
    <t>MH20GZ1275</t>
  </si>
  <si>
    <t xml:space="preserve">VLPLW2627 0163 </t>
  </si>
  <si>
    <t>mh20gz0211</t>
  </si>
  <si>
    <t>VLPLW2627 0164</t>
  </si>
  <si>
    <t xml:space="preserve">VLPLW2627 0165 </t>
  </si>
  <si>
    <t>mh12yq0803</t>
  </si>
  <si>
    <t xml:space="preserve">VLPLW2627 0166 </t>
  </si>
  <si>
    <t>mh16dp2141</t>
  </si>
  <si>
    <t>VLPLW2627 0167</t>
  </si>
  <si>
    <t> b1/3 TO Bangalore</t>
  </si>
  <si>
    <t>VLPLW2627 0169</t>
  </si>
  <si>
    <t xml:space="preserve">VLPLW2627 0170 </t>
  </si>
  <si>
    <t>MH14LB9257</t>
  </si>
  <si>
    <t>VLPLW2627 0171</t>
  </si>
  <si>
    <t>VLPLW2627 0172</t>
  </si>
  <si>
    <t>mh16cc3485</t>
  </si>
  <si>
    <t>VLPLW2627 0173</t>
  </si>
  <si>
    <t>Vlplw 26 27 0174</t>
  </si>
  <si>
    <t>waluj To Nasapura</t>
  </si>
  <si>
    <t>VLPLW2627 0175 </t>
  </si>
  <si>
    <t>VLPLW2627 0176 </t>
  </si>
  <si>
    <t>VLPLW2627 0177</t>
  </si>
  <si>
    <t>VLPLW2627 0178</t>
  </si>
  <si>
    <t>PunjabHariyana Roadway</t>
  </si>
  <si>
    <t>HR39G3433</t>
  </si>
  <si>
    <t>VLPLW2627 0179</t>
  </si>
  <si>
    <t>Shendra  To punjab</t>
  </si>
  <si>
    <t>mh14lb5699</t>
  </si>
  <si>
    <t>VLPLW2627 0180</t>
  </si>
  <si>
    <t>b1/3 TO Bangalore</t>
  </si>
  <si>
    <t>MH20GC6155</t>
  </si>
  <si>
    <t xml:space="preserve">VLPLW2627 0181 </t>
  </si>
  <si>
    <t xml:space="preserve">VLPLW2627 0182 </t>
  </si>
  <si>
    <t xml:space="preserve">VLPLW2627 0183 </t>
  </si>
  <si>
    <t>MH20GC3648</t>
  </si>
  <si>
    <t>VLPLW-26-27 0184</t>
  </si>
  <si>
    <t>G168 To Hosur</t>
  </si>
  <si>
    <t>VLPLW2627 0185</t>
  </si>
  <si>
    <t>mh57b0041</t>
  </si>
  <si>
    <t xml:space="preserve">VLPLW2627 0186 </t>
  </si>
  <si>
    <t>MH16CD0183</t>
  </si>
  <si>
    <t>VLPLW2627 0168 </t>
  </si>
  <si>
    <t>VLPLW2627 0187/0188 </t>
  </si>
  <si>
    <t>MH20GZ3549</t>
  </si>
  <si>
    <t xml:space="preserve">VLPLW2627 0189 </t>
  </si>
  <si>
    <t xml:space="preserve">VLPLW2627 0190 </t>
  </si>
  <si>
    <t>Vlplw 26 27 00191</t>
  </si>
  <si>
    <t>VLPLW2627 0192</t>
  </si>
  <si>
    <t xml:space="preserve">VLPLW2627 0193 </t>
  </si>
  <si>
    <t>mh20gc3612</t>
  </si>
  <si>
    <t>VLPLW2627 0194 </t>
  </si>
  <si>
    <t>HR46G68236</t>
  </si>
  <si>
    <t>VLPLW26-27-0195</t>
  </si>
  <si>
    <t>mh20gz8475</t>
  </si>
  <si>
    <t xml:space="preserve">Vlplw 26 27 0196 </t>
  </si>
  <si>
    <t xml:space="preserve">VLPLW2627 0197 </t>
  </si>
  <si>
    <t xml:space="preserve">VLPLW 26-27 0198 </t>
  </si>
  <si>
    <t xml:space="preserve">VLPLW2627 0199 </t>
  </si>
  <si>
    <t xml:space="preserve">VLPLW 26-27 0200 </t>
  </si>
  <si>
    <t>MH16CC7471</t>
  </si>
  <si>
    <t>VLPLW2627 0201</t>
  </si>
  <si>
    <t>MH04HY5930</t>
  </si>
  <si>
    <t>Vlplw 26 27 0203</t>
  </si>
  <si>
    <t xml:space="preserve">VLPLW 0204 </t>
  </si>
  <si>
    <t>VLPLW2627 0205</t>
  </si>
  <si>
    <t>VLPLW2627 00206</t>
  </si>
  <si>
    <t>VLPLW2627 0202</t>
  </si>
  <si>
    <t>PUN-26-27-0214</t>
  </si>
  <si>
    <t>RAPL3 TO RAPL7</t>
  </si>
  <si>
    <t>MH16CD9872</t>
  </si>
  <si>
    <t>VLPLW26-27 0221</t>
  </si>
  <si>
    <t>Waluj To Hosur</t>
  </si>
  <si>
    <t>MH23AU6710</t>
  </si>
  <si>
    <t>VLPLW26-27 0215</t>
  </si>
  <si>
    <t>MH16DP4140</t>
  </si>
  <si>
    <t>VLPLW26-27 0212</t>
  </si>
  <si>
    <t>MH20GC4721</t>
  </si>
  <si>
    <t>VLPLW26-27 0220</t>
  </si>
  <si>
    <t>VLPLW26-27 0209</t>
  </si>
  <si>
    <t xml:space="preserve">Vlplw 26 27 0219 </t>
  </si>
  <si>
    <t>MH20GC7439</t>
  </si>
  <si>
    <t>VLPLW2627 0213</t>
  </si>
  <si>
    <t xml:space="preserve">VLPLW26-27-0218 </t>
  </si>
  <si>
    <t>MH20GC5014</t>
  </si>
  <si>
    <t>VLPLW2627 /0207</t>
  </si>
  <si>
    <t xml:space="preserve">VLPLW26-27 /0214 </t>
  </si>
  <si>
    <t>MH20GZ3357</t>
  </si>
  <si>
    <t>VLPLW2627 /0223</t>
  </si>
  <si>
    <t xml:space="preserve">VLPLW2627 0210 </t>
  </si>
  <si>
    <t>VLPLW2627/ 0208</t>
  </si>
  <si>
    <t>MH50N6075</t>
  </si>
  <si>
    <t>VLPLW2627/ 0211</t>
  </si>
  <si>
    <t>MH53B0976</t>
  </si>
  <si>
    <t>VLPLW26-27-0217</t>
  </si>
  <si>
    <t>Pune to Yazki india</t>
  </si>
  <si>
    <t>MH20EL5530</t>
  </si>
  <si>
    <t>PUN-26-27-236</t>
  </si>
  <si>
    <t>LPLW26-27/0216</t>
  </si>
  <si>
    <t>Badgujar Roadways Logistics</t>
  </si>
  <si>
    <t>MH20CT5958</t>
  </si>
  <si>
    <t>PUN-26-27-0215</t>
  </si>
  <si>
    <t>Nashik To Bhamboli</t>
  </si>
  <si>
    <t>Varroc Engineering</t>
  </si>
  <si>
    <t>BHARAT TRANSPORT COMPANY</t>
  </si>
  <si>
    <t>MH46BF4892</t>
  </si>
  <si>
    <t>PUN-26-27-0237</t>
  </si>
  <si>
    <t>JNPT to VEL-Waluj</t>
  </si>
  <si>
    <t>Endurance narsapura</t>
  </si>
  <si>
    <t>VLPLW26-27 0222</t>
  </si>
  <si>
    <t>MH20GC9838</t>
  </si>
  <si>
    <t>mh20gz5100</t>
  </si>
  <si>
    <t>mh20gc4472</t>
  </si>
  <si>
    <t>mh21bh5989</t>
  </si>
  <si>
    <t>mh50n3627</t>
  </si>
  <si>
    <t> b1/3 TO Bangalore</t>
  </si>
  <si>
    <t>mh57b8851</t>
  </si>
  <si>
    <t>mh14ll9721</t>
  </si>
  <si>
    <t>MH16DP1795</t>
  </si>
  <si>
    <t>MH20GC2381</t>
  </si>
  <si>
    <t>PUN-26-27-0245</t>
  </si>
  <si>
    <t>PUN-26-27-0246</t>
  </si>
  <si>
    <t>VLPLW2627/225</t>
  </si>
  <si>
    <t>VLPLW2627/227</t>
  </si>
  <si>
    <t>VLPLW2627/228</t>
  </si>
  <si>
    <t>VLPLW2627/229</t>
  </si>
  <si>
    <t>VLPLW2627/230</t>
  </si>
  <si>
    <t>VLPLW2627/231</t>
  </si>
  <si>
    <t>VLPLW2627/234</t>
  </si>
  <si>
    <t>VLPLW2627/235</t>
  </si>
  <si>
    <t>VLPLW2627/236</t>
  </si>
  <si>
    <t>VLPLW2627/226 </t>
  </si>
  <si>
    <t xml:space="preserve">VLPLW2627/224 </t>
  </si>
  <si>
    <t>VLPLW2627/237</t>
  </si>
  <si>
    <t>VLPLW2627/232 </t>
  </si>
  <si>
    <t xml:space="preserve">VLPLW2627/233  </t>
  </si>
  <si>
    <t>VL/MH/26-27/0032</t>
  </si>
  <si>
    <t>VL/MH/26-27/0033</t>
  </si>
  <si>
    <t>VL/MH/26-27/0034</t>
  </si>
  <si>
    <t>VL/MH/26-27/0035</t>
  </si>
  <si>
    <t>VL/MH/26-27/0036</t>
  </si>
  <si>
    <t>VL/MH/26-27/0037</t>
  </si>
  <si>
    <t>VL/MH/26-27/0038</t>
  </si>
  <si>
    <t>VL/MH/26-27/0039</t>
  </si>
  <si>
    <t>VL/MH/26-27/0040</t>
  </si>
  <si>
    <t>VL/MH/26-27/0041</t>
  </si>
  <si>
    <t>VL/MH/26-27/0042</t>
  </si>
  <si>
    <t>VL/MH/26-27/0043</t>
  </si>
  <si>
    <t>VL/MH/26-27/0044</t>
  </si>
  <si>
    <t>VL/MH/26-27/0045</t>
  </si>
  <si>
    <t>VL/MH/26-27/0046</t>
  </si>
  <si>
    <t>VL/MH/26-27/0047</t>
  </si>
  <si>
    <t>VL/MH/26-27/0048</t>
  </si>
  <si>
    <t>VL/MH/26-27/0049</t>
  </si>
  <si>
    <t>VL/MH/26-27/0050</t>
  </si>
  <si>
    <t>VL/MH/26-27/0051</t>
  </si>
  <si>
    <t>VL/MH/26-27/0052</t>
  </si>
  <si>
    <t>VL/MH/26-27/0053</t>
  </si>
  <si>
    <t>VL/MH/26-27/0055</t>
  </si>
  <si>
    <t>VL/MH/26-27/0005</t>
  </si>
  <si>
    <t>MH14HG9143</t>
  </si>
  <si>
    <t>MH20GC3732</t>
  </si>
  <si>
    <t> Endurance Aurangabad To Endurance Narsapura</t>
  </si>
  <si>
    <t>MH20GZ7688</t>
  </si>
  <si>
    <t>MH20GC7561</t>
  </si>
  <si>
    <t>Mh20gc0142 </t>
  </si>
  <si>
    <t>MH22AN5979</t>
  </si>
  <si>
    <t>MH20GZ2883</t>
  </si>
  <si>
    <t>mh57b50714</t>
  </si>
  <si>
    <t>MH42BU8039</t>
  </si>
  <si>
    <t>VLPLW26-27/0216</t>
  </si>
  <si>
    <t>mh12ez2935</t>
  </si>
  <si>
    <t>MH1DD4643</t>
  </si>
  <si>
    <t>MH14KA8158</t>
  </si>
  <si>
    <t>MH20EG4480</t>
  </si>
  <si>
    <t>MH20GC6689</t>
  </si>
  <si>
    <t>Narspaura to waluj</t>
  </si>
  <si>
    <t>mh20gc7154</t>
  </si>
  <si>
    <t xml:space="preserve"> MH20GZ7850</t>
  </si>
  <si>
    <t>PUN-26-27-0249</t>
  </si>
  <si>
    <t>VLPLW2627/238</t>
  </si>
  <si>
    <t>VLPLW2627/239</t>
  </si>
  <si>
    <t>VLPLW2627/240   </t>
  </si>
  <si>
    <t>VLPLW2627/241 </t>
  </si>
  <si>
    <t>VLPLW2627/242</t>
  </si>
  <si>
    <t>VLPLW2627/243 </t>
  </si>
  <si>
    <t>VLPLW2627/244 </t>
  </si>
  <si>
    <t>VLPLW2627/245 </t>
  </si>
  <si>
    <t>VLPLW2627/246   </t>
  </si>
  <si>
    <t>VLPLW2627/247 </t>
  </si>
  <si>
    <t>VLPLW2627/248</t>
  </si>
  <si>
    <t>VLPLW2627/249</t>
  </si>
  <si>
    <t>VLPLW2627/250</t>
  </si>
  <si>
    <t>VLPLW2627/251</t>
  </si>
  <si>
    <t xml:space="preserve">VLPLW2627/252  </t>
  </si>
  <si>
    <t>VLPLW2627/253</t>
  </si>
  <si>
    <t>VLPLW2627/254</t>
  </si>
  <si>
    <t>VLPLW2627/255</t>
  </si>
  <si>
    <t>VLPLW2627/256</t>
  </si>
  <si>
    <t>VLPLW2627/257</t>
  </si>
  <si>
    <t>VLPLW2627/258</t>
  </si>
  <si>
    <t>VLPLW2627/259</t>
  </si>
  <si>
    <t>VLPLW2627/260 </t>
  </si>
  <si>
    <t>VLPLW2627/261</t>
  </si>
  <si>
    <t>VLPLW2627/262</t>
  </si>
  <si>
    <t>VLPLW2627/263   </t>
  </si>
  <si>
    <t>VLPLW2627/264</t>
  </si>
  <si>
    <t>VLPLW2627/265</t>
  </si>
  <si>
    <t xml:space="preserve">VLPLW2627/267  </t>
  </si>
  <si>
    <t xml:space="preserve">VLPLW2627/266  </t>
  </si>
  <si>
    <t xml:space="preserve">VLPLW2627/272  </t>
  </si>
  <si>
    <t xml:space="preserve">VLPLW2627/268  </t>
  </si>
  <si>
    <t>VLPLW2627/269</t>
  </si>
  <si>
    <t>VLPLW2627/270</t>
  </si>
  <si>
    <t>VLPLW2627/271</t>
  </si>
  <si>
    <t>PUN-26-27-0255</t>
  </si>
  <si>
    <t>PUN-26-27-0256</t>
  </si>
  <si>
    <t>mh12wj4512</t>
  </si>
  <si>
    <t>MH20EL8483</t>
  </si>
  <si>
    <t>MH20EL8881</t>
  </si>
  <si>
    <t>mh40cm2305</t>
  </si>
  <si>
    <t>Waluj  To  hosur</t>
  </si>
  <si>
    <t>MH20DE6011</t>
  </si>
  <si>
    <t>PUN-26-27-0277</t>
  </si>
  <si>
    <t>VLPLW2627/273</t>
  </si>
  <si>
    <t>VLPLW2627/275</t>
  </si>
  <si>
    <t>VLPLW2627/276</t>
  </si>
  <si>
    <t>VLPLW2627/277</t>
  </si>
  <si>
    <t>VLPLW2627/278</t>
  </si>
  <si>
    <t>VLPLW2627/279</t>
  </si>
  <si>
    <t>VLPLW2627/284</t>
  </si>
  <si>
    <t>VLPLW2627/287</t>
  </si>
  <si>
    <t>VLPLW2627/288</t>
  </si>
  <si>
    <t>VLPLW2627/289</t>
  </si>
  <si>
    <t>VLPLW2627/281</t>
  </si>
  <si>
    <t>VLPLW2627/282</t>
  </si>
  <si>
    <t>VLPLW2627/283</t>
  </si>
  <si>
    <t>VLPLW2627/274</t>
  </si>
  <si>
    <t>VLPLW2627/280</t>
  </si>
  <si>
    <t>VLPLW2627/285</t>
  </si>
  <si>
    <t>VLPLW2627/286</t>
  </si>
  <si>
    <t>VLPLW2627/290</t>
  </si>
  <si>
    <t>MH20GC0141</t>
  </si>
  <si>
    <t>VLPLW2627/297</t>
  </si>
  <si>
    <t>VLPLW2627/299</t>
  </si>
  <si>
    <t>VLPLW2627/291</t>
  </si>
  <si>
    <t>9MT</t>
  </si>
  <si>
    <t>varrocTo Hosur</t>
  </si>
  <si>
    <t>VLPLW2627/293</t>
  </si>
  <si>
    <t>VLPLW2627/296</t>
  </si>
  <si>
    <t>VLPLW2627/298</t>
  </si>
  <si>
    <t>VLPLW2627/300</t>
  </si>
  <si>
    <t>mh20gz2578</t>
  </si>
  <si>
    <t>VLPLW2627/301</t>
  </si>
  <si>
    <t>mh11dd4643</t>
  </si>
  <si>
    <t>VLPLW2627/294</t>
  </si>
  <si>
    <t>VLPLW2627/295</t>
  </si>
  <si>
    <t>mh14ka7408</t>
  </si>
  <si>
    <t>VLPLW2627/303</t>
  </si>
  <si>
    <t>PUN-26-27-0297</t>
  </si>
  <si>
    <t>MH20GC3785</t>
  </si>
  <si>
    <t>VLPLW2627/305</t>
  </si>
  <si>
    <t>VLPLW2627/307</t>
  </si>
  <si>
    <t>mh14mt4727</t>
  </si>
  <si>
    <t>VLPLW2627/292</t>
  </si>
  <si>
    <t>VLPLW2627/302</t>
  </si>
  <si>
    <t>VLPLW2627/304</t>
  </si>
  <si>
    <t>VLPLW2627/308</t>
  </si>
  <si>
    <t>MH20GC9561</t>
  </si>
  <si>
    <t>VLPLW2627/309</t>
  </si>
  <si>
    <t>VLPLW2627/310</t>
  </si>
  <si>
    <t>MH12vt9444</t>
  </si>
  <si>
    <t>mh12um5412</t>
  </si>
  <si>
    <t>VLPLW2627/311</t>
  </si>
  <si>
    <t>VLPLW2627/312</t>
  </si>
  <si>
    <t>VLPLW2627/313</t>
  </si>
  <si>
    <t>VLPLW2627/314</t>
  </si>
  <si>
    <t>VLPLW2627/315</t>
  </si>
  <si>
    <t>mh20ct0208</t>
  </si>
  <si>
    <t>VLPLW2627/316</t>
  </si>
  <si>
    <t xml:space="preserve">Mahadev packer movers </t>
  </si>
  <si>
    <t>MP09GH3520</t>
  </si>
  <si>
    <t>varroc chakan to varroc pithampur</t>
  </si>
  <si>
    <t>1000KG</t>
  </si>
  <si>
    <t>VLPLW2627/317</t>
  </si>
  <si>
    <t>mh16dp0336</t>
  </si>
  <si>
    <t>VLPLW2627/318</t>
  </si>
  <si>
    <t>MH42BF3482</t>
  </si>
  <si>
    <t>VLPLW2627/319</t>
  </si>
  <si>
    <t>VLPLW2627/320</t>
  </si>
  <si>
    <t>mh20g7764</t>
  </si>
  <si>
    <t>VLPLW2627/321</t>
  </si>
  <si>
    <t>VLPLW2627/324</t>
  </si>
  <si>
    <t>VLPLW2627/326</t>
  </si>
  <si>
    <t>VLPLW2627/327</t>
  </si>
  <si>
    <t>Sandeep</t>
  </si>
  <si>
    <t>mh20gz2527</t>
  </si>
  <si>
    <t>VLPLW2627/322</t>
  </si>
  <si>
    <t>VLPLW2627/323</t>
  </si>
  <si>
    <t>mh16dp9721</t>
  </si>
  <si>
    <t>VLPLW2627/325</t>
  </si>
  <si>
    <t>mh20gz4094</t>
  </si>
  <si>
    <t>VLPLW2627/328</t>
  </si>
  <si>
    <t>mh20eg0048</t>
  </si>
  <si>
    <t>VLPLW2627/329</t>
  </si>
  <si>
    <t>PUN-26-27-0298</t>
  </si>
  <si>
    <t>VLPLW2627/330</t>
  </si>
  <si>
    <t>VLPLW2627/331</t>
  </si>
  <si>
    <t>KA52C5188</t>
  </si>
  <si>
    <t>VLPLW2627/333</t>
  </si>
  <si>
    <t>VLPLW2627/332</t>
  </si>
  <si>
    <t xml:space="preserve">12MT </t>
  </si>
  <si>
    <t>VLPLW2627/334</t>
  </si>
  <si>
    <t>VLPLW2627/335</t>
  </si>
  <si>
    <t>VLPLW2627/336</t>
  </si>
  <si>
    <t>VLPLW2627/337</t>
  </si>
  <si>
    <t>VLPLW2627/338</t>
  </si>
  <si>
    <t>mh43bb0768</t>
  </si>
  <si>
    <t>VLPLW2627/339</t>
  </si>
  <si>
    <t>narsaura To waluj</t>
  </si>
  <si>
    <t>MP04YX6221</t>
  </si>
  <si>
    <t>1.5MT</t>
  </si>
  <si>
    <t>PUN-26-27-0326</t>
  </si>
  <si>
    <t>Om Sai Transport</t>
  </si>
  <si>
    <t>PUN-26-27-0327</t>
  </si>
  <si>
    <t>HR67C6684</t>
  </si>
  <si>
    <t>3.5 MT</t>
  </si>
  <si>
    <t>WALUJ To GUDGAON</t>
  </si>
  <si>
    <t>mh20gc7782</t>
  </si>
  <si>
    <t>MH20GZ5100</t>
  </si>
  <si>
    <t>hosur to g168</t>
  </si>
  <si>
    <t>DL1LAJ3119</t>
  </si>
  <si>
    <t>MH20GY1689</t>
  </si>
  <si>
    <t>VLPLW2627/340</t>
  </si>
  <si>
    <t>VLPLW2627/342</t>
  </si>
  <si>
    <t>VLPLW2627/343   </t>
  </si>
  <si>
    <t>VLPLW2627/344   </t>
  </si>
  <si>
    <t xml:space="preserve">VLPLW2627/347  </t>
  </si>
  <si>
    <t>VLPLW2627/349</t>
  </si>
  <si>
    <t>VLPLW2627/356</t>
  </si>
  <si>
    <t>VLPLW2627/357</t>
  </si>
  <si>
    <t>VLPLW2627/341</t>
  </si>
  <si>
    <t>VLPLW2627/345</t>
  </si>
  <si>
    <t>VLPLW2627/346</t>
  </si>
  <si>
    <t>VLPLW2627/348</t>
  </si>
  <si>
    <t>VLPLW2627/350</t>
  </si>
  <si>
    <t>VLPLW2627/351</t>
  </si>
  <si>
    <t>VLPLW2627/352</t>
  </si>
  <si>
    <t>VLPLW2627/353</t>
  </si>
  <si>
    <t>VLPLW2627/355</t>
  </si>
  <si>
    <t xml:space="preserve">VLPLW2627/354  </t>
  </si>
  <si>
    <t>VLPLW2627/358</t>
  </si>
  <si>
    <t>PUN-26-27-0347</t>
  </si>
  <si>
    <t>MP09DU1305</t>
  </si>
  <si>
    <t>PUN-26-27-0348</t>
  </si>
  <si>
    <t>MH20GC8669</t>
  </si>
  <si>
    <t>Waluj To mysore</t>
  </si>
  <si>
    <t>  MH20GC8392</t>
  </si>
  <si>
    <t>mh22an9975</t>
  </si>
  <si>
    <t>mh2au6674</t>
  </si>
  <si>
    <t>Pune To Narsapura</t>
  </si>
  <si>
    <t>mh47ay6341</t>
  </si>
  <si>
    <t>mh12um5413</t>
  </si>
  <si>
    <t>Jay transport</t>
  </si>
  <si>
    <t>MH0GC0338</t>
  </si>
  <si>
    <t>mh20gc6829</t>
  </si>
  <si>
    <t>Waluj To hosur </t>
  </si>
  <si>
    <t>Endurance K120 To Endurance  Narsapura</t>
  </si>
  <si>
    <t>pune To bangalore</t>
  </si>
  <si>
    <t>mh20gc4533</t>
  </si>
  <si>
    <t>Pune To narsapura</t>
  </si>
  <si>
    <t>MH26CH4128</t>
  </si>
  <si>
    <t> Waluj To hosur </t>
  </si>
  <si>
    <t>mh20gc7689</t>
  </si>
  <si>
    <t>G168 To Hosur</t>
  </si>
  <si>
    <t>mh20gc8659</t>
  </si>
  <si>
    <t>MH21BH5989</t>
  </si>
  <si>
    <t>PUN-26-27-0356</t>
  </si>
  <si>
    <t xml:space="preserve">VLPLW2627/359  </t>
  </si>
  <si>
    <t xml:space="preserve">VLPLW2627/360  </t>
  </si>
  <si>
    <t>VLPLW2627/361</t>
  </si>
  <si>
    <t>VLPLW2627/362   </t>
  </si>
  <si>
    <t xml:space="preserve">VLPLW2627/363  </t>
  </si>
  <si>
    <t xml:space="preserve">VLPLW2627/364  </t>
  </si>
  <si>
    <t>VLPLW2627/365</t>
  </si>
  <si>
    <t>VLPLW2627/366</t>
  </si>
  <si>
    <t>VLPLW2627/367</t>
  </si>
  <si>
    <t>VLPLW2627/368</t>
  </si>
  <si>
    <t>VLPLW2627/369</t>
  </si>
  <si>
    <t>VLPLW2627/370</t>
  </si>
  <si>
    <t>VLPLW2627/371</t>
  </si>
  <si>
    <t>VLPLW2627/372</t>
  </si>
  <si>
    <t>VLPLW2627/373</t>
  </si>
  <si>
    <t>VLPLW2627/374</t>
  </si>
  <si>
    <t>VLPLW2627/375</t>
  </si>
  <si>
    <t>VLPLW2627/376</t>
  </si>
  <si>
    <t>VLPLW2627/377 </t>
  </si>
  <si>
    <t>VLPLW2627/378</t>
  </si>
  <si>
    <t>VLPLW2627/379/380</t>
  </si>
  <si>
    <t>VLPLW2627/381</t>
  </si>
  <si>
    <t>VLPLW2627/382</t>
  </si>
  <si>
    <t>VLPLW2627/383</t>
  </si>
  <si>
    <t>VLPLW2627/384</t>
  </si>
  <si>
    <t>VLPLW2627/385 </t>
  </si>
  <si>
    <t>VLPLW2627/386</t>
  </si>
  <si>
    <t>VLPLW2627/387</t>
  </si>
  <si>
    <t>VLPLW2627/388</t>
  </si>
  <si>
    <t xml:space="preserve">VLPLW2627/389  </t>
  </si>
  <si>
    <t>VLPLW2627/390</t>
  </si>
  <si>
    <t>VLPLW2627/391</t>
  </si>
  <si>
    <t xml:space="preserve">VLPLW2627/392  </t>
  </si>
  <si>
    <t xml:space="preserve">VLPLW2627/397  </t>
  </si>
  <si>
    <t>VLPLW2627/393</t>
  </si>
  <si>
    <t>VLPLW2627/394</t>
  </si>
  <si>
    <t>VLPLW2627/395</t>
  </si>
  <si>
    <t>VLPLW2627/396</t>
  </si>
  <si>
    <t>MH13GA7869</t>
  </si>
  <si>
    <t>PUN-26-27-0357</t>
  </si>
  <si>
    <t>2) May-26</t>
  </si>
  <si>
    <t>PUN-26-27-0358</t>
  </si>
  <si>
    <t>MH20EL7331</t>
  </si>
  <si>
    <t>mh14ka1114</t>
  </si>
  <si>
    <t>mh28bb6003</t>
  </si>
  <si>
    <t>Mh42bu0998 </t>
  </si>
  <si>
    <t>RJ30GB2218</t>
  </si>
  <si>
    <t>1 MT</t>
  </si>
  <si>
    <t>WALUJ To GUDGAON</t>
  </si>
  <si>
    <t>mh20gc8674</t>
  </si>
  <si>
    <t>Pune To NARSAPURA</t>
  </si>
  <si>
    <t>mh03dv4951</t>
  </si>
  <si>
    <t>1mt</t>
  </si>
  <si>
    <t>mh10dt7544</t>
  </si>
  <si>
    <t>mh16cd0782</t>
  </si>
  <si>
    <t>mh23au6710</t>
  </si>
  <si>
    <t>mh20gz0755</t>
  </si>
  <si>
    <t>MH20GZ3539</t>
  </si>
  <si>
    <t>mh12mv3157</t>
  </si>
  <si>
    <t>VLPLW2627/398</t>
  </si>
  <si>
    <t>VLPLW2627/399</t>
  </si>
  <si>
    <t>VLPLW2627/401</t>
  </si>
  <si>
    <t>VLPLW2627/402</t>
  </si>
  <si>
    <t>VLPLW2627/403</t>
  </si>
  <si>
    <t>VLPLW2627/404   </t>
  </si>
  <si>
    <t>VLPLW2627/405</t>
  </si>
  <si>
    <t>VLPLW2627/406</t>
  </si>
  <si>
    <t>VLPLW2627/407</t>
  </si>
  <si>
    <t>VLPLW2627/408</t>
  </si>
  <si>
    <t>VLPLW2627/409</t>
  </si>
  <si>
    <t>VLPLW2627/410</t>
  </si>
  <si>
    <t>VLPLW2627/411</t>
  </si>
  <si>
    <t>VLPLW2627/412</t>
  </si>
  <si>
    <t>VLPLW2627/413</t>
  </si>
  <si>
    <t>VLPLW2627/414</t>
  </si>
  <si>
    <t>VLPLW2627/415</t>
  </si>
  <si>
    <t>VLPLW2627/416   </t>
  </si>
  <si>
    <t>VLPLW2627/417</t>
  </si>
  <si>
    <t>VLPLW2627/418</t>
  </si>
  <si>
    <t>VLPLW2627/419</t>
  </si>
  <si>
    <t>VLPLW2627/420</t>
  </si>
  <si>
    <t>VLPLW2627/421</t>
  </si>
  <si>
    <t>VLPLW2627/422</t>
  </si>
  <si>
    <t>VLPLW2627/423</t>
  </si>
  <si>
    <t>VLPLW2627/424</t>
  </si>
  <si>
    <t>VLPLW2627/425</t>
  </si>
  <si>
    <t>VLPLW2627/429</t>
  </si>
  <si>
    <t>VLPLW2627/430</t>
  </si>
  <si>
    <t>VLPLW2627/431</t>
  </si>
  <si>
    <t>VLPLW2627/432</t>
  </si>
  <si>
    <t>VLPLW2627/426</t>
  </si>
  <si>
    <t>VLPLW2627/427</t>
  </si>
  <si>
    <t>VLPLW2627/428</t>
  </si>
  <si>
    <t>PUN-26-27-0371</t>
  </si>
  <si>
    <t>MP44GA2022</t>
  </si>
  <si>
    <t>PUN-26-27-0372</t>
  </si>
  <si>
    <t>mh16cd8921</t>
  </si>
  <si>
    <t>mh42bf8660</t>
  </si>
  <si>
    <t>MH20Gc3689</t>
  </si>
  <si>
    <t>k120 To narsapura</t>
  </si>
  <si>
    <t>mh20gz0758</t>
  </si>
  <si>
    <t>mh21bh6975</t>
  </si>
  <si>
    <t>mh28bb9838</t>
  </si>
  <si>
    <t>mh20gc4779</t>
  </si>
  <si>
    <t>MH09FT6833</t>
  </si>
  <si>
    <t>VLPLW2627/448</t>
  </si>
  <si>
    <t> 12MT</t>
  </si>
  <si>
    <t>VLPLW2627/433</t>
  </si>
  <si>
    <t>VLPLW2627/434</t>
  </si>
  <si>
    <t>VLPLW2627/435</t>
  </si>
  <si>
    <t>VLPLW2627/437</t>
  </si>
  <si>
    <t xml:space="preserve">VLPLW2627/438  </t>
  </si>
  <si>
    <t>VLPLW2627/439</t>
  </si>
  <si>
    <t>VLPLW2627/440</t>
  </si>
  <si>
    <t>VLPLW2627/441</t>
  </si>
  <si>
    <t>VLPLW2627/442</t>
  </si>
  <si>
    <t xml:space="preserve">VLPLW2627/443  </t>
  </si>
  <si>
    <t>VLPLW2627/444</t>
  </si>
  <si>
    <t>VLPLW2627/445   </t>
  </si>
  <si>
    <t>VLPLW2627/446</t>
  </si>
  <si>
    <t>VLPLW2627/447</t>
  </si>
  <si>
    <t xml:space="preserve">VLPLW2627/449  </t>
  </si>
  <si>
    <t>Laxman Singh</t>
  </si>
  <si>
    <t xml:space="preserve">VLPLW2627/0019 </t>
  </si>
  <si>
    <t>VLPLW2627/0020</t>
  </si>
  <si>
    <t>VLPLW2627/0024</t>
  </si>
  <si>
    <t>VLPLW2627/0028</t>
  </si>
  <si>
    <t>VLPLW2627/0029</t>
  </si>
  <si>
    <t>VLPLW2627/0030</t>
  </si>
  <si>
    <t xml:space="preserve">VLPLW2627/0031 </t>
  </si>
  <si>
    <t>VLPLW2627/0032</t>
  </si>
  <si>
    <t>VLPLW2627/0034</t>
  </si>
  <si>
    <t>VLPLW2627/0036</t>
  </si>
  <si>
    <t>VLPLW2627/0040 </t>
  </si>
  <si>
    <t>VLPLW2627/0041 </t>
  </si>
  <si>
    <t xml:space="preserve">VLPLW2627/0058 </t>
  </si>
  <si>
    <t>VLPLW2627/0076</t>
  </si>
  <si>
    <t xml:space="preserve">VLPLW2627/0083 </t>
  </si>
  <si>
    <t>VLPLW2627/0113</t>
  </si>
  <si>
    <t xml:space="preserve"> VLPLW2627/0121</t>
  </si>
  <si>
    <t>VLPLW2627/0138</t>
  </si>
  <si>
    <t>VLPLW2627/0146</t>
  </si>
  <si>
    <t xml:space="preserve">VLPLW2627/0156 </t>
  </si>
  <si>
    <t>VLPLW2627/0195</t>
  </si>
  <si>
    <t>VLPLW2627/0217</t>
  </si>
  <si>
    <t xml:space="preserve">VLPLW2627/0218 </t>
  </si>
  <si>
    <t xml:space="preserve">VLPLW2627/0021 </t>
  </si>
  <si>
    <t>MH16DP2604</t>
  </si>
  <si>
    <t>MH12VF9973</t>
  </si>
  <si>
    <t>mh16cc7194</t>
  </si>
  <si>
    <t>OM Shiv Road carriers </t>
  </si>
  <si>
    <t>HR65B4703</t>
  </si>
  <si>
    <t>Waluj To GUJRAT</t>
  </si>
  <si>
    <t>uk17ca1415</t>
  </si>
  <si>
    <t>MH20GC4186</t>
  </si>
  <si>
    <t>mh14hu9316</t>
  </si>
  <si>
    <t>MH20GC7764</t>
  </si>
  <si>
    <t>MH20GC6396</t>
  </si>
  <si>
    <t> waluj To Nasapura</t>
  </si>
  <si>
    <t>mh20gc6038</t>
  </si>
  <si>
    <t>  MH12PQ9029</t>
  </si>
  <si>
    <t>Waluj To  tata HALOL</t>
  </si>
  <si>
    <t>MH23AU7571</t>
  </si>
  <si>
    <t>mh16dp4379</t>
  </si>
  <si>
    <t>MH21BH9146</t>
  </si>
  <si>
    <t>mh20el9926</t>
  </si>
  <si>
    <t>mh20gz1339</t>
  </si>
  <si>
    <t>mh14ka1395</t>
  </si>
  <si>
    <t>Mh57b0268  </t>
  </si>
  <si>
    <t>1 MT</t>
  </si>
  <si>
    <t>mh20gz3752</t>
  </si>
  <si>
    <t>MH14LL0684</t>
  </si>
  <si>
    <t>Mh20gc9689 </t>
  </si>
  <si>
    <t>MH20EL4270</t>
  </si>
  <si>
    <t>Poona Indore Shajapur Roadways</t>
  </si>
  <si>
    <t>CG07CH2453</t>
  </si>
  <si>
    <t>PUN-26-27-0380</t>
  </si>
  <si>
    <t xml:space="preserve"> Durva Transport</t>
  </si>
  <si>
    <t>MH12FZ6003</t>
  </si>
  <si>
    <t>14MT</t>
  </si>
  <si>
    <t>PUN-01527 &amp; PUN-01528</t>
  </si>
  <si>
    <t>SV Steel processing, Navlakh Umbre</t>
  </si>
  <si>
    <t>MH18BZ4624</t>
  </si>
  <si>
    <t>PUN-26-27-381</t>
  </si>
  <si>
    <t xml:space="preserve">VLPLW2627/451  </t>
  </si>
  <si>
    <t>VLPLW2627/452</t>
  </si>
  <si>
    <t>VLPLW2627/453</t>
  </si>
  <si>
    <t>VLPLW2627/454</t>
  </si>
  <si>
    <t>VLPLW2627/455</t>
  </si>
  <si>
    <t>VLPLW2627/456 </t>
  </si>
  <si>
    <t>VLPLW2627/460</t>
  </si>
  <si>
    <t xml:space="preserve">VLPLW2627/461  </t>
  </si>
  <si>
    <t xml:space="preserve">VLPLW2627/462  </t>
  </si>
  <si>
    <t xml:space="preserve">VLPLW2627/463  </t>
  </si>
  <si>
    <t xml:space="preserve">VLPLW2627/465  </t>
  </si>
  <si>
    <t xml:space="preserve">VLPLW2627/466  </t>
  </si>
  <si>
    <t>VLPLW2627/467</t>
  </si>
  <si>
    <t>VLPLW2627/468</t>
  </si>
  <si>
    <t>VLPLW2627/469</t>
  </si>
  <si>
    <t>VLPLW2627/470</t>
  </si>
  <si>
    <t>VLPLW2627/471</t>
  </si>
  <si>
    <t>VLPLW2627/472</t>
  </si>
  <si>
    <t>VLPLW2627/473</t>
  </si>
  <si>
    <t>VLPLW2627/474</t>
  </si>
  <si>
    <t xml:space="preserve">VLPLW2627/475  </t>
  </si>
  <si>
    <t>VLPLW2627/476</t>
  </si>
  <si>
    <t>VLPLW2627/477</t>
  </si>
  <si>
    <t xml:space="preserve">VLPLW2627/478  </t>
  </si>
  <si>
    <t>VLPLW2627/479</t>
  </si>
  <si>
    <t>VLPLW2627/480</t>
  </si>
  <si>
    <t>VLPLW2627/481 </t>
  </si>
  <si>
    <t>VLPLW2627/482</t>
  </si>
  <si>
    <t>VLPLW2627/483</t>
  </si>
  <si>
    <t>VLPLW2627/484</t>
  </si>
  <si>
    <t>VLPLW2627/485</t>
  </si>
  <si>
    <t>VLPLW2627/486</t>
  </si>
  <si>
    <t xml:space="preserve">VLPLW2627/487  </t>
  </si>
  <si>
    <t>VLPLW2627/488</t>
  </si>
  <si>
    <t>VLPLW2627/494</t>
  </si>
  <si>
    <t>VLPLW2627/495</t>
  </si>
  <si>
    <t>VLPLW2627/457</t>
  </si>
  <si>
    <t>VLPLW2627/458</t>
  </si>
  <si>
    <t>VLPLW2627/459</t>
  </si>
  <si>
    <t>VLPLW2627/464</t>
  </si>
  <si>
    <t>MH28BB6803</t>
  </si>
  <si>
    <t>MH20GC2293</t>
  </si>
  <si>
    <t>MH20GZ5822</t>
  </si>
  <si>
    <t>Waluj Tomysore</t>
  </si>
  <si>
    <t>MH22AN6274</t>
  </si>
  <si>
    <t>MH20GC5650</t>
  </si>
  <si>
    <t>mh22an6129</t>
  </si>
  <si>
    <t>MH14LX9370</t>
  </si>
  <si>
    <t>mh16cd6876</t>
  </si>
  <si>
    <t>mh20gz1275</t>
  </si>
  <si>
    <t>mh20gz9810</t>
  </si>
  <si>
    <t>Mh20gz4115 </t>
  </si>
  <si>
    <t>Waluj To gudgaon</t>
  </si>
  <si>
    <t>MH20GZ2618</t>
  </si>
  <si>
    <t>mh20gc7279</t>
  </si>
  <si>
    <t>mh2gc8178</t>
  </si>
  <si>
    <t>mh15hh6490</t>
  </si>
  <si>
    <t>mh53b0923</t>
  </si>
  <si>
    <t>Narsapura to Waluj</t>
  </si>
  <si>
    <t>PUN-26-27-0382</t>
  </si>
  <si>
    <t>MH14NE3933</t>
  </si>
  <si>
    <t>PUN-26-27-0401</t>
  </si>
  <si>
    <t>VLPLW2627/489</t>
  </si>
  <si>
    <t>VLPLW2627/490</t>
  </si>
  <si>
    <t>VLPLW2627/491</t>
  </si>
  <si>
    <t>VLPLW2627/492</t>
  </si>
  <si>
    <t>VLPLW2627/493</t>
  </si>
  <si>
    <t xml:space="preserve">VLPLW2627/ 496  </t>
  </si>
  <si>
    <t>VLPLW2627/497</t>
  </si>
  <si>
    <t xml:space="preserve">VLPLW2627/498  </t>
  </si>
  <si>
    <t>VLPLW2627/499</t>
  </si>
  <si>
    <t>VLPLW2627/500</t>
  </si>
  <si>
    <t>VLPLW2627/501</t>
  </si>
  <si>
    <t>VLPLW2627/502 </t>
  </si>
  <si>
    <t>VLPLW2627/503</t>
  </si>
  <si>
    <t>VLPLW2627/504</t>
  </si>
  <si>
    <t>VLPLW2627/505</t>
  </si>
  <si>
    <t>VLPLW2627/506</t>
  </si>
  <si>
    <t>VLPLW2627/508</t>
  </si>
  <si>
    <t>VLPLW2627/509   </t>
  </si>
  <si>
    <t>VLPLW2627/510</t>
  </si>
  <si>
    <t>VLPLW2627/511</t>
  </si>
  <si>
    <t>VLPLW2627/512</t>
  </si>
  <si>
    <t>VLPLW2627/513</t>
  </si>
  <si>
    <t>VLPLW2627/514   </t>
  </si>
  <si>
    <t>VLPLW2627/515</t>
  </si>
  <si>
    <t>VLPLW2627/516   </t>
  </si>
  <si>
    <t>VLPLW2627/0022</t>
  </si>
  <si>
    <t xml:space="preserve">VLPLW2627/ 0043 </t>
  </si>
  <si>
    <t>VLPLW2627/ 0038 </t>
  </si>
  <si>
    <t>VL/MH/26-27/0061</t>
  </si>
  <si>
    <t>VL/MH/26-27/0092</t>
  </si>
  <si>
    <t>VL/MH/26-27/0102</t>
  </si>
  <si>
    <t>VL/MH/26-27/0094</t>
  </si>
  <si>
    <t>VL/MH/26-27/0095</t>
  </si>
  <si>
    <t>VL/MH/26-27/0096</t>
  </si>
  <si>
    <t>VL/MH/26-27/0097</t>
  </si>
  <si>
    <t>VL/MH/26-27/0098</t>
  </si>
  <si>
    <t>VL/MH/26-27/0099</t>
  </si>
  <si>
    <t>VL/MH/26-27/0100</t>
  </si>
  <si>
    <t>VL/MH/26-27/0101</t>
  </si>
  <si>
    <t>VL/MH/26-27/0103</t>
  </si>
  <si>
    <t>VL/MH/26-27/0104</t>
  </si>
  <si>
    <t>VL/MH/26-27/0105</t>
  </si>
  <si>
    <t>VL/MH/26-27/0106</t>
  </si>
  <si>
    <t>VL/MH/26-27/0107</t>
  </si>
  <si>
    <t>VL/MH/26-27/0108</t>
  </si>
  <si>
    <t>VLPLW2627/306</t>
  </si>
  <si>
    <t>VL/MH/26-27/0109</t>
  </si>
  <si>
    <t>VL/MH/26-27/0110</t>
  </si>
  <si>
    <t>VL/MH/26-27/0111</t>
  </si>
  <si>
    <t>VL/MH/26-27/0112</t>
  </si>
  <si>
    <t>VL/MH/26-27/0113</t>
  </si>
  <si>
    <t>VL/MH/26-27/0114</t>
  </si>
  <si>
    <t>mh16cd8201</t>
  </si>
  <si>
    <t>mh20gz2890</t>
  </si>
  <si>
    <t>MH144LB5699</t>
  </si>
  <si>
    <t>MH13CJ1231</t>
  </si>
  <si>
    <t>mh20gz1035</t>
  </si>
  <si>
    <t>MH12YQ5143</t>
  </si>
  <si>
    <t>MH57B0338</t>
  </si>
  <si>
    <t>MH16DP4278</t>
  </si>
  <si>
    <t>mh42bu0998</t>
  </si>
  <si>
    <t>mh14lx5627</t>
  </si>
  <si>
    <t>MH15JW0702</t>
  </si>
  <si>
    <t>Waluj To TADA</t>
  </si>
  <si>
    <t>mh57b0636</t>
  </si>
  <si>
    <t>mh10br5333</t>
  </si>
  <si>
    <t>mh57b367</t>
  </si>
  <si>
    <t>Mh20eg5862</t>
  </si>
  <si>
    <t>mh20gc3805</t>
  </si>
  <si>
    <t>MH57B0337 </t>
  </si>
  <si>
    <t>MH21BH8939</t>
  </si>
  <si>
    <t>MH16CC7088</t>
  </si>
  <si>
    <t>mh16cc9497</t>
  </si>
  <si>
    <t>mh16cd5221</t>
  </si>
  <si>
    <t>BANGALORE TO WALUJ</t>
  </si>
  <si>
    <t>MH12PQ8914</t>
  </si>
  <si>
    <t>VLPLW2627/517</t>
  </si>
  <si>
    <t>VLPLW2627/520</t>
  </si>
  <si>
    <t>VLPLW2627/521</t>
  </si>
  <si>
    <t xml:space="preserve">VLPLW2627/522  </t>
  </si>
  <si>
    <t>VLPLW2627/523</t>
  </si>
  <si>
    <t>VLPLW2627/524</t>
  </si>
  <si>
    <t>VLPLW2627/525   </t>
  </si>
  <si>
    <t>VLPLW2627/526</t>
  </si>
  <si>
    <t>VLPLW2627/527</t>
  </si>
  <si>
    <t>VLPLW2627/528</t>
  </si>
  <si>
    <t>VLPLW2627/529</t>
  </si>
  <si>
    <t>VLPLW2627/530</t>
  </si>
  <si>
    <t>VLPLW2627/531</t>
  </si>
  <si>
    <t>VLPLW2627/532</t>
  </si>
  <si>
    <t xml:space="preserve">VLPLW2627/533  </t>
  </si>
  <si>
    <t>VLPLW2627/534</t>
  </si>
  <si>
    <t>VLPLW2627/536 </t>
  </si>
  <si>
    <t>VLPLW2627/535</t>
  </si>
  <si>
    <t>VLPLW2627/537</t>
  </si>
  <si>
    <t>VLPLW2627/538</t>
  </si>
  <si>
    <t>VLPLW2627/539 </t>
  </si>
  <si>
    <t xml:space="preserve">VLPLW2627/540  </t>
  </si>
  <si>
    <t>VLPLW2627/541</t>
  </si>
  <si>
    <t xml:space="preserve">VLPLW2627/542  </t>
  </si>
  <si>
    <t>VLPLW2627/543</t>
  </si>
  <si>
    <t>VLPLW2627/550</t>
  </si>
  <si>
    <t>VLPLW2627/551</t>
  </si>
  <si>
    <t>VLPLW2627/552</t>
  </si>
  <si>
    <t>VLPLW2627/518</t>
  </si>
  <si>
    <t>VLPLW2627/519</t>
  </si>
  <si>
    <t>VLPLW2627/544</t>
  </si>
  <si>
    <t>VLPLW2627/545</t>
  </si>
  <si>
    <t>VLPLW2627/548</t>
  </si>
  <si>
    <t>VLPLW2627/546</t>
  </si>
  <si>
    <t>VLPLW2627/547</t>
  </si>
  <si>
    <t>VLPLW2627/549</t>
  </si>
  <si>
    <t>MH14LL2367</t>
  </si>
  <si>
    <t>TATA 14 Ft</t>
  </si>
  <si>
    <r>
      <t>Eaton Magarpatta</t>
    </r>
    <r>
      <rPr>
        <sz val="12"/>
        <color rgb="FF000000"/>
        <rFont val="Aptos"/>
        <family val="2"/>
      </rPr>
      <t> </t>
    </r>
  </si>
  <si>
    <t>Eaton Magar</t>
  </si>
  <si>
    <t>Sameer</t>
  </si>
  <si>
    <t>Avinash Anil Naik</t>
  </si>
  <si>
    <t>MH20GZ3840</t>
  </si>
  <si>
    <t>Waluj To Mysore</t>
  </si>
  <si>
    <t>mh20gz2058</t>
  </si>
  <si>
    <t>mh26ch4128</t>
  </si>
  <si>
    <t>mh20gc9545</t>
  </si>
  <si>
    <t>MH2WX5016</t>
  </si>
  <si>
    <t>mh57b0356</t>
  </si>
  <si>
    <t>MH20GC8674</t>
  </si>
  <si>
    <t>MH16CD7432</t>
  </si>
  <si>
    <t>mh12yq4826</t>
  </si>
  <si>
    <t>17193/17194</t>
  </si>
  <si>
    <t>17290/17291</t>
  </si>
  <si>
    <t>PUN-26-27-0412</t>
  </si>
  <si>
    <t>MH15GV3392</t>
  </si>
  <si>
    <t>PUN-26-27-0413</t>
  </si>
  <si>
    <t>PUN-26-27-414</t>
  </si>
  <si>
    <t>MH20GZ2027 </t>
  </si>
  <si>
    <t>MH20GZ3869</t>
  </si>
  <si>
    <t>MH20GC2652</t>
  </si>
  <si>
    <t>MH21BH3608</t>
  </si>
  <si>
    <t>MH04HD2776</t>
  </si>
  <si>
    <t>MH12YQ2967</t>
  </si>
  <si>
    <t>mh20el6502</t>
  </si>
  <si>
    <t>MH43BB0768</t>
  </si>
  <si>
    <t>MH03CV4951</t>
  </si>
  <si>
    <t>mh21bh8764</t>
  </si>
  <si>
    <t>MH20EL5908</t>
  </si>
  <si>
    <t>mh20gc5761</t>
  </si>
  <si>
    <t xml:space="preserve">VLPLW2627/553  </t>
  </si>
  <si>
    <t>VLPLW2627/554</t>
  </si>
  <si>
    <t>VLPLW2627/555</t>
  </si>
  <si>
    <t>VLPLW2627/556</t>
  </si>
  <si>
    <t>VLPLW2627/557</t>
  </si>
  <si>
    <t>VLPLW2627/558</t>
  </si>
  <si>
    <t>VLPLW2627/559</t>
  </si>
  <si>
    <t xml:space="preserve">VLPLW2627/560  </t>
  </si>
  <si>
    <t>VLPLW2627/561</t>
  </si>
  <si>
    <t xml:space="preserve">VLPLW2627/562  </t>
  </si>
  <si>
    <t>VLPLW2627/563</t>
  </si>
  <si>
    <t>VLPLW2627/564</t>
  </si>
  <si>
    <t xml:space="preserve">VLPLW2627/565  </t>
  </si>
  <si>
    <t>VLPLW2627/566</t>
  </si>
  <si>
    <t>VLPLW2627/568</t>
  </si>
  <si>
    <t>VLPLW2627/569</t>
  </si>
  <si>
    <t>VLPLW2627/570</t>
  </si>
  <si>
    <t xml:space="preserve">VLPLW2627/573  </t>
  </si>
  <si>
    <t>VLPLW2627/583</t>
  </si>
  <si>
    <t xml:space="preserve">VLPLW2627/586  </t>
  </si>
  <si>
    <t xml:space="preserve">VLPLW2627/589  </t>
  </si>
  <si>
    <t>VLPLW2627/593</t>
  </si>
  <si>
    <t>VLPLW2627/574</t>
  </si>
  <si>
    <t>VLPLW2627/576</t>
  </si>
  <si>
    <t>VLPLW2627/577</t>
  </si>
  <si>
    <t>VLPLW2627/588</t>
  </si>
  <si>
    <t>VLPLW2627/579</t>
  </si>
  <si>
    <t>VLPLW2627/580</t>
  </si>
  <si>
    <t>VLPLW2627/581</t>
  </si>
  <si>
    <t>VLPLW2627/582</t>
  </si>
  <si>
    <t xml:space="preserve">VLPLW2627/591  </t>
  </si>
  <si>
    <t>VLPLW2627/584</t>
  </si>
  <si>
    <t>VLPLW2627/575</t>
  </si>
  <si>
    <t>VLPLW2627/578</t>
  </si>
  <si>
    <t>VLPLW2627/587</t>
  </si>
  <si>
    <t>VLPLW2627/592</t>
  </si>
  <si>
    <t>VLPLW2627/590</t>
  </si>
  <si>
    <t>VLPLW2627/596</t>
  </si>
  <si>
    <t>VLPLW2627/597   </t>
  </si>
  <si>
    <t>VLPLW2627/571</t>
  </si>
  <si>
    <t>VLPLW2627/572</t>
  </si>
  <si>
    <t>PUN-26-27-415</t>
  </si>
  <si>
    <t>MP41ZL1955</t>
  </si>
  <si>
    <t>PUN-26-27-0416</t>
  </si>
  <si>
    <t>VL/MH/26-27/0135</t>
  </si>
  <si>
    <t>MH11LL1151</t>
  </si>
  <si>
    <t>Varroc L4 To Hyderabad ( up Down Trip )</t>
  </si>
  <si>
    <t>MH03DV4951</t>
  </si>
  <si>
    <t>WALUJ To HOSUR</t>
  </si>
  <si>
    <t>mh21bh8596</t>
  </si>
  <si>
    <t>HR37E6633</t>
  </si>
  <si>
    <t>MH20GZ2756</t>
  </si>
  <si>
    <t>MH20GZ4465</t>
  </si>
  <si>
    <t>mh20gc0934</t>
  </si>
  <si>
    <t>PUN-26-27-0417</t>
  </si>
  <si>
    <t>PUN-26-27-0418</t>
  </si>
  <si>
    <t>CG04NV9682</t>
  </si>
  <si>
    <t>PUN-26-27-0419</t>
  </si>
  <si>
    <t>VLPLW2627/594</t>
  </si>
  <si>
    <t>VLPLW2627/595</t>
  </si>
  <si>
    <t>VLPLW2627/598/599 </t>
  </si>
  <si>
    <t>VLPLW2627/600</t>
  </si>
  <si>
    <t>VLPLW2627/601</t>
  </si>
  <si>
    <t>VLPLW2627/602</t>
  </si>
  <si>
    <t>VLPLW2627/603</t>
  </si>
  <si>
    <t>VLPLW2627/604</t>
  </si>
  <si>
    <t>VLPLW2627/605</t>
  </si>
  <si>
    <t>VLPLW2627/606</t>
  </si>
  <si>
    <t>VLPLW2627/607</t>
  </si>
  <si>
    <t>VLPLW2627/608</t>
  </si>
  <si>
    <t>VLPLW2627/609</t>
  </si>
  <si>
    <t>VLPLW2627/610</t>
  </si>
  <si>
    <t>VLPLW2627/611</t>
  </si>
  <si>
    <t>VLPLW2627/612</t>
  </si>
  <si>
    <t>mh20el5530</t>
  </si>
  <si>
    <t>mh20gz3438</t>
  </si>
  <si>
    <t>  mysore TO PUNE</t>
  </si>
  <si>
    <t>mh20gz5653</t>
  </si>
  <si>
    <t>RJ27GE5819</t>
  </si>
  <si>
    <t>mh20gc9574</t>
  </si>
  <si>
    <t>mh48bm5887</t>
  </si>
  <si>
    <t>mh16cd2984</t>
  </si>
  <si>
    <t>MH57b2689</t>
  </si>
  <si>
    <t> Narspaura to waluj</t>
  </si>
  <si>
    <t>mh20gz7132</t>
  </si>
  <si>
    <t>mh20gz0501</t>
  </si>
  <si>
    <t>MH14HG7644</t>
  </si>
  <si>
    <t>PUN-26-27-0420</t>
  </si>
  <si>
    <t>MH18BZ4278</t>
  </si>
  <si>
    <t>PUN-26-27-0445</t>
  </si>
  <si>
    <t>VLPLW2627/613</t>
  </si>
  <si>
    <t>VLPLW2627/614</t>
  </si>
  <si>
    <t xml:space="preserve">VLPLW2627/615  </t>
  </si>
  <si>
    <t>VLPLW2627/618</t>
  </si>
  <si>
    <t>VLPLW2627/619</t>
  </si>
  <si>
    <t>VLPLW2627/620</t>
  </si>
  <si>
    <t>VLPLW2627/621</t>
  </si>
  <si>
    <t>VLPLW2627/622</t>
  </si>
  <si>
    <t>VLPLW2627/623</t>
  </si>
  <si>
    <t>VLPLW2627/624</t>
  </si>
  <si>
    <t>VLPLW2627/625</t>
  </si>
  <si>
    <t>VLPLW2627/626</t>
  </si>
  <si>
    <t>VLPLW2627/627</t>
  </si>
  <si>
    <t>VLPLW2627/628</t>
  </si>
  <si>
    <t>VLPLW2627/629</t>
  </si>
  <si>
    <t>VLPLW2627/630</t>
  </si>
  <si>
    <t>VLPLW2627/631</t>
  </si>
  <si>
    <t>VLPLW2627/632</t>
  </si>
  <si>
    <t>VLPLW2627/633</t>
  </si>
  <si>
    <t>VLPLW2627/634</t>
  </si>
  <si>
    <t>VLPLW2627/635</t>
  </si>
  <si>
    <t>VLPLW2627/636</t>
  </si>
  <si>
    <t>VLPLW2627/638</t>
  </si>
  <si>
    <t>VLPLW2627/639</t>
  </si>
  <si>
    <t>VLPLW2627/640</t>
  </si>
  <si>
    <t>VLPLW2627/641</t>
  </si>
  <si>
    <t xml:space="preserve">VLPLW2627/643  </t>
  </si>
  <si>
    <t xml:space="preserve">VLPLW2627/642  </t>
  </si>
  <si>
    <t xml:space="preserve">VLPLW2627/648  </t>
  </si>
  <si>
    <t>VLPLW2627/649</t>
  </si>
  <si>
    <t>VLPLW2627/650</t>
  </si>
  <si>
    <t>VLPLW2627/616</t>
  </si>
  <si>
    <t>VLPLW2627/617</t>
  </si>
  <si>
    <t>VLPLW2627/644</t>
  </si>
  <si>
    <t xml:space="preserve">VLPLW2627/645  </t>
  </si>
  <si>
    <t>VLPLW2627/646</t>
  </si>
  <si>
    <t>VLPLW2627/647</t>
  </si>
  <si>
    <t>mh17cv0353</t>
  </si>
  <si>
    <t>VLPLW2627/657</t>
  </si>
  <si>
    <t>Jay Baba Logistics</t>
  </si>
  <si>
    <t>MH15DK3911</t>
  </si>
  <si>
    <t>PUN-26-27-0446</t>
  </si>
  <si>
    <t>RAPL3 TO RAPL1</t>
  </si>
  <si>
    <t>Waluj  To  narsapura</t>
  </si>
  <si>
    <t>hr67c6684</t>
  </si>
  <si>
    <t>waluj to mysore</t>
  </si>
  <si>
    <t>mh15jw8669</t>
  </si>
  <si>
    <t> Waluj To mysore</t>
  </si>
  <si>
    <t>Mysore to e92</t>
  </si>
  <si>
    <t>mh18bz0972</t>
  </si>
  <si>
    <t>mh20el8095</t>
  </si>
  <si>
    <t>mh14kq3437</t>
  </si>
  <si>
    <t>VLPLW2627/651</t>
  </si>
  <si>
    <t>VLPLW2627/652</t>
  </si>
  <si>
    <t>VLPLW2627/653</t>
  </si>
  <si>
    <t>VLPLW2627/654</t>
  </si>
  <si>
    <t>VLPLW2627/655</t>
  </si>
  <si>
    <t>VLPLW2627/656</t>
  </si>
  <si>
    <t>VLPLW2627/659 </t>
  </si>
  <si>
    <t>VLPLW2627/660</t>
  </si>
  <si>
    <t>VLPLW2627/661 </t>
  </si>
  <si>
    <t>VLPLW2627/662</t>
  </si>
  <si>
    <t>VLPLW2627/663</t>
  </si>
  <si>
    <t>VLPLW2627/664</t>
  </si>
  <si>
    <t>VLPLW2627/665</t>
  </si>
  <si>
    <t>VLPLW2627/666</t>
  </si>
  <si>
    <t>VLPLW2627/667</t>
  </si>
  <si>
    <t xml:space="preserve">VLPLW2627/668  </t>
  </si>
  <si>
    <t>VLPLW2627/669</t>
  </si>
  <si>
    <t>VLPLW2627/670</t>
  </si>
  <si>
    <t>VLPLW2627/671</t>
  </si>
  <si>
    <t>VLPLW2627/672</t>
  </si>
  <si>
    <t>VLPLW2627/673</t>
  </si>
  <si>
    <t>MH13DQ2941</t>
  </si>
  <si>
    <t>PUN-26-27-0467</t>
  </si>
  <si>
    <t>MH56C0094</t>
  </si>
  <si>
    <t>PUN-26-27-0468</t>
  </si>
  <si>
    <t>PUN-26-27-0469</t>
  </si>
  <si>
    <t>MH15VF3470</t>
  </si>
  <si>
    <t>Mahindra Pick up</t>
  </si>
  <si>
    <t>  MH20GC3805</t>
  </si>
  <si>
    <t>VLPLW2627/674</t>
  </si>
  <si>
    <t>VLPLW2627/675</t>
  </si>
  <si>
    <t>VLPLW2627/676</t>
  </si>
  <si>
    <t>MH20GC4779</t>
  </si>
  <si>
    <t>VLPLW2627/677</t>
  </si>
  <si>
    <t>VLPLW2627/679</t>
  </si>
  <si>
    <t>DD01R9611</t>
  </si>
  <si>
    <t>VLPLW2627/680</t>
  </si>
  <si>
    <t>VLPLW2627/681</t>
  </si>
  <si>
    <t>VLPLW2627/682</t>
  </si>
  <si>
    <t>mh20gz3557</t>
  </si>
  <si>
    <t>VLPLW2627/683</t>
  </si>
  <si>
    <t>mh20gz3920</t>
  </si>
  <si>
    <t>VLPLW2627/684</t>
  </si>
  <si>
    <t>MH08K8072</t>
  </si>
  <si>
    <t>VLPLW2627/685</t>
  </si>
  <si>
    <t>VLPLW2627/686</t>
  </si>
  <si>
    <t>mh20el7311</t>
  </si>
  <si>
    <t>VLPLW2627/687</t>
  </si>
  <si>
    <t>VLPLW2627/692</t>
  </si>
  <si>
    <t>mh19cy9157</t>
  </si>
  <si>
    <t>VLPLW2627/688</t>
  </si>
  <si>
    <t>mh57b0269</t>
  </si>
  <si>
    <t>VLPLW2627/689</t>
  </si>
  <si>
    <t>VLPLW2627/690</t>
  </si>
  <si>
    <t>VLPLW2627/691</t>
  </si>
  <si>
    <t>mh21bh8939</t>
  </si>
  <si>
    <t>VLPLW2627/693</t>
  </si>
  <si>
    <t>RJ27GE8960</t>
  </si>
  <si>
    <t>mh16dp4278</t>
  </si>
  <si>
    <t>mh16dp4140</t>
  </si>
  <si>
    <t>mh16cc66685</t>
  </si>
  <si>
    <t>Waluj  To HOSUR</t>
  </si>
  <si>
    <t>mh16dp2448</t>
  </si>
  <si>
    <t>MP09BJ8893</t>
  </si>
  <si>
    <t>PUN-26-27-0472</t>
  </si>
  <si>
    <t>pickup</t>
  </si>
  <si>
    <t>MP43G4496</t>
  </si>
  <si>
    <t>PUN-26-27-0473</t>
  </si>
  <si>
    <t>MH15JC9234</t>
  </si>
  <si>
    <t>PUN-26-27-0471</t>
  </si>
  <si>
    <t>MH15FV1115</t>
  </si>
  <si>
    <t>PUN-26-27-0474</t>
  </si>
  <si>
    <t>VLPLW2627/694/695</t>
  </si>
  <si>
    <t>VLPLW2627/696</t>
  </si>
  <si>
    <t>VLPLW2627/701</t>
  </si>
  <si>
    <t xml:space="preserve">VLPLW2627/702  </t>
  </si>
  <si>
    <t>VLPLW2627/704</t>
  </si>
  <si>
    <t>VLPLW2627/697</t>
  </si>
  <si>
    <t>VLPLW2627/698</t>
  </si>
  <si>
    <t xml:space="preserve">VLPLW2627/699  </t>
  </si>
  <si>
    <t xml:space="preserve">VLPLW2627/700  </t>
  </si>
  <si>
    <t>VLPLW2627/703</t>
  </si>
  <si>
    <t>Chitnis Industri</t>
  </si>
  <si>
    <t>MH20GZ6812</t>
  </si>
  <si>
    <t>PUN-26-27-0481</t>
  </si>
  <si>
    <t>PUN-26-27-0482</t>
  </si>
  <si>
    <t>MH20GZ31221</t>
  </si>
  <si>
    <t>MH16DP2448</t>
  </si>
  <si>
    <t>MH20EG5262</t>
  </si>
  <si>
    <t>MH16CD3290</t>
  </si>
  <si>
    <t>mh09fl6833</t>
  </si>
  <si>
    <t>mh07aj1458</t>
  </si>
  <si>
    <t>mh20gc3234</t>
  </si>
  <si>
    <t>MH14KA1395</t>
  </si>
  <si>
    <t>mh20gc1332</t>
  </si>
  <si>
    <t>mh28bb6803</t>
  </si>
  <si>
    <t>mh16cd2897</t>
  </si>
  <si>
    <t>Waluj To hosur </t>
  </si>
  <si>
    <t> Endurance K120 To Endurance  Narsapura</t>
  </si>
  <si>
    <t>mh12sf5233</t>
  </si>
  <si>
    <t>mh2gz0501</t>
  </si>
  <si>
    <t>waluj to bangalore</t>
  </si>
  <si>
    <t>mh2yq0284</t>
  </si>
  <si>
    <t>mh20el8818</t>
  </si>
  <si>
    <t>mh4ll1151</t>
  </si>
  <si>
    <t>MH23AU6907</t>
  </si>
  <si>
    <t>MH42BU7055</t>
  </si>
  <si>
    <t>PUN-26-27-0494</t>
  </si>
  <si>
    <t>PUN-26-27-0493</t>
  </si>
  <si>
    <t>MH42BF4078</t>
  </si>
  <si>
    <t>PUN-26-27-0495</t>
  </si>
  <si>
    <t>PUN-26-27-0492</t>
  </si>
  <si>
    <t>mh16dp3877</t>
  </si>
  <si>
    <t>mh20gc1070</t>
  </si>
  <si>
    <t>mh20gc6244</t>
  </si>
  <si>
    <t>mh20gy1689 </t>
  </si>
  <si>
    <t>narsapura to waluj</t>
  </si>
  <si>
    <t>Waluj To hosur</t>
  </si>
  <si>
    <t> Endurance Aurangabad  To Endurance Narsapura </t>
  </si>
  <si>
    <t>dd01aa9727</t>
  </si>
  <si>
    <t>mh20gc1901</t>
  </si>
  <si>
    <t>MH20EL9623</t>
  </si>
  <si>
    <t> Waluj To Chennai</t>
  </si>
  <si>
    <t>mh21bh2977</t>
  </si>
  <si>
    <t>MH20GC8392</t>
  </si>
  <si>
    <t>mh12vt7560</t>
  </si>
  <si>
    <t>mp07zs1190</t>
  </si>
  <si>
    <t>mh16cd8527</t>
  </si>
  <si>
    <t>MH15GV5469</t>
  </si>
  <si>
    <t>PUN-26-27-0497</t>
  </si>
  <si>
    <t>MP13AF1322</t>
  </si>
  <si>
    <t>PUN-26-27-0498</t>
  </si>
  <si>
    <t>VLPLW2627/678</t>
  </si>
  <si>
    <t>VLPLW2627/705</t>
  </si>
  <si>
    <t xml:space="preserve">VLPLW2627/706  </t>
  </si>
  <si>
    <t>VLPLW2627/707</t>
  </si>
  <si>
    <t>VLPLW2627/708/709</t>
  </si>
  <si>
    <t>VLPLW2627/710</t>
  </si>
  <si>
    <t>VLPLW2627/714</t>
  </si>
  <si>
    <t>VLPLW2627/716</t>
  </si>
  <si>
    <t>VLPLW2627/717</t>
  </si>
  <si>
    <t>VLPLW2627/718</t>
  </si>
  <si>
    <t>VLPLW2627/720</t>
  </si>
  <si>
    <t>VLPLW2627/721</t>
  </si>
  <si>
    <t xml:space="preserve">VLPLW2627/722  </t>
  </si>
  <si>
    <t>VLPLW2627/723</t>
  </si>
  <si>
    <t xml:space="preserve">VLPLW2627/724  </t>
  </si>
  <si>
    <t xml:space="preserve">VLPLW2627/725  </t>
  </si>
  <si>
    <t>VLPLW2627/726</t>
  </si>
  <si>
    <t>VLPLW2627/727</t>
  </si>
  <si>
    <t xml:space="preserve">VLPLW2627/728  </t>
  </si>
  <si>
    <t>VLPLW2627/729</t>
  </si>
  <si>
    <t>VLPLW2627/730</t>
  </si>
  <si>
    <t>VLPLW2627/731</t>
  </si>
  <si>
    <t>VLPLW2627/732</t>
  </si>
  <si>
    <t>VLPLW2627/734</t>
  </si>
  <si>
    <t>VLPLW2627/735</t>
  </si>
  <si>
    <t>VLPLW2627/736</t>
  </si>
  <si>
    <t>VLPLW2627/737</t>
  </si>
  <si>
    <t xml:space="preserve">VLPLW2627/738  </t>
  </si>
  <si>
    <t>VLPLW2627/740</t>
  </si>
  <si>
    <t>VLPLW2627/741/742 </t>
  </si>
  <si>
    <t xml:space="preserve">VLPLW2627/743  </t>
  </si>
  <si>
    <t>VLPLW2627/745</t>
  </si>
  <si>
    <t xml:space="preserve">VLPLW2627/750  </t>
  </si>
  <si>
    <t>VLPLW2627/751   </t>
  </si>
  <si>
    <t>VLPLW2627/752</t>
  </si>
  <si>
    <t xml:space="preserve">VLPLW2627/753  </t>
  </si>
  <si>
    <t>VLPLW2627/754</t>
  </si>
  <si>
    <t>VLPLW2627/755   </t>
  </si>
  <si>
    <t>VLPLW2627/756   </t>
  </si>
  <si>
    <t xml:space="preserve">VLPLW2627/757  </t>
  </si>
  <si>
    <t xml:space="preserve">VLPLW2627/758  </t>
  </si>
  <si>
    <t xml:space="preserve">VLPLW2627/759  </t>
  </si>
  <si>
    <t xml:space="preserve">VLPLW2627/739  </t>
  </si>
  <si>
    <t xml:space="preserve">VLPLW2627/760  </t>
  </si>
  <si>
    <t xml:space="preserve">VLPLW2627/761  </t>
  </si>
  <si>
    <t xml:space="preserve">VLPLW2627/762  </t>
  </si>
  <si>
    <t>VLPLW2627/763   </t>
  </si>
  <si>
    <t xml:space="preserve">VLPLW2627/764  </t>
  </si>
  <si>
    <t xml:space="preserve">VLPLW2627/765  </t>
  </si>
  <si>
    <t>VLPLW2627/766   </t>
  </si>
  <si>
    <t xml:space="preserve">VLPLW2627/711  </t>
  </si>
  <si>
    <t>VLPLW2627/712</t>
  </si>
  <si>
    <t>VLPLW2627/713</t>
  </si>
  <si>
    <t>VLPLW2627/715</t>
  </si>
  <si>
    <t xml:space="preserve">VLPLW2627/719  </t>
  </si>
  <si>
    <t xml:space="preserve">VLPLW2627/744  </t>
  </si>
  <si>
    <t xml:space="preserve">VLPLW2627/746  </t>
  </si>
  <si>
    <t>VLPLW2627/747</t>
  </si>
  <si>
    <t xml:space="preserve">VLPLW2627/748  </t>
  </si>
  <si>
    <t>VLPLW2627/749</t>
  </si>
  <si>
    <t>mh20eg3929</t>
  </si>
  <si>
    <t>mh20gc0937</t>
  </si>
  <si>
    <t>Mh23au6710 </t>
  </si>
  <si>
    <t>Mh16cd0183 </t>
  </si>
  <si>
    <t>mh13ep0276</t>
  </si>
  <si>
    <t>MH15HH6838</t>
  </si>
  <si>
    <t>PUN-26-27-0500</t>
  </si>
  <si>
    <t>KA28AB5345</t>
  </si>
  <si>
    <t>PUN-26-27-0501</t>
  </si>
  <si>
    <t>PUN-26-27-0502</t>
  </si>
  <si>
    <t>VLPLW2627/767</t>
  </si>
  <si>
    <t>VLPLW2627/770</t>
  </si>
  <si>
    <t>VLPLW2627/771</t>
  </si>
  <si>
    <t>VLPLW2627/772</t>
  </si>
  <si>
    <t xml:space="preserve">VLPLW2627/773  </t>
  </si>
  <si>
    <t>VLPLW2627/774</t>
  </si>
  <si>
    <t>VLPLW2627/775</t>
  </si>
  <si>
    <t xml:space="preserve">VLPLW2627/776  </t>
  </si>
  <si>
    <t>VLPLW2627/777</t>
  </si>
  <si>
    <t xml:space="preserve">VLPLW2627/778  </t>
  </si>
  <si>
    <t>VLPLW2627/779</t>
  </si>
  <si>
    <t>VLPLW2627/780</t>
  </si>
  <si>
    <t>VLPLW2627/781   </t>
  </si>
  <si>
    <t>VLPLW2627/782</t>
  </si>
  <si>
    <t xml:space="preserve">VLPLW2627/783  </t>
  </si>
  <si>
    <t>VLPLW2627/784</t>
  </si>
  <si>
    <t xml:space="preserve">VLPLW2627/768  </t>
  </si>
  <si>
    <t>VLPLW2627/769</t>
  </si>
  <si>
    <t>VL/MH/26-27/0137</t>
  </si>
  <si>
    <t>mh48DP2467</t>
  </si>
  <si>
    <t>Narsapura  to Waluj</t>
  </si>
  <si>
    <t>  MH41AU8698</t>
  </si>
  <si>
    <t>mh16cd2505</t>
  </si>
  <si>
    <t>mh20gz5822</t>
  </si>
  <si>
    <t>mh20gz4273</t>
  </si>
  <si>
    <t>Mh20gz2997 </t>
  </si>
  <si>
    <t>mh13dq1068</t>
  </si>
  <si>
    <t>VLPLW2627/805 /702 adjust</t>
  </si>
  <si>
    <t>VLPLW2627/797 /704 adjust</t>
  </si>
  <si>
    <t>VLPLW2627/785</t>
  </si>
  <si>
    <t>VLPLW2627/786</t>
  </si>
  <si>
    <t xml:space="preserve">VLPLW2627/809  </t>
  </si>
  <si>
    <t xml:space="preserve">VLPLW2627/787  </t>
  </si>
  <si>
    <t>VLPLW2627/788</t>
  </si>
  <si>
    <t>VLPLW2627/789</t>
  </si>
  <si>
    <t>VLPLW2627/791</t>
  </si>
  <si>
    <t xml:space="preserve">VLPLW2627/792  </t>
  </si>
  <si>
    <t xml:space="preserve">VLPLW2627/793  </t>
  </si>
  <si>
    <t>VLPLW2627/794</t>
  </si>
  <si>
    <t>VLPLW2627/795</t>
  </si>
  <si>
    <t>VLPLW2627/808</t>
  </si>
  <si>
    <t xml:space="preserve">VLPLW2627/796  </t>
  </si>
  <si>
    <t>VLPLW2627/798</t>
  </si>
  <si>
    <t xml:space="preserve">VLPLW2627/799  </t>
  </si>
  <si>
    <t>WALUJ To narsapura</t>
  </si>
  <si>
    <t>VLPLW2627/800</t>
  </si>
  <si>
    <t>VLPLW2627/801</t>
  </si>
  <si>
    <t>VLPLW2627/802</t>
  </si>
  <si>
    <t>VLPLW2627/803</t>
  </si>
  <si>
    <t xml:space="preserve">VLPLW2627/804  </t>
  </si>
  <si>
    <t xml:space="preserve">VLPLW2627/806  </t>
  </si>
  <si>
    <t xml:space="preserve">VLPLW2627/807  </t>
  </si>
  <si>
    <t>mh20gc6848</t>
  </si>
  <si>
    <t>VLPLW2627/790</t>
  </si>
  <si>
    <t>PUN-26-27-0496</t>
  </si>
  <si>
    <t>MP09BJ0249</t>
  </si>
  <si>
    <t>PUN-26-27-0503</t>
  </si>
  <si>
    <t>MP41ZK0464</t>
  </si>
  <si>
    <t>Pick-up </t>
  </si>
  <si>
    <t>PUN-26-27-0504</t>
  </si>
  <si>
    <t>MP11G6374</t>
  </si>
  <si>
    <t>PUN-26-27-0506</t>
  </si>
  <si>
    <t>PUN-26-27-0505</t>
  </si>
  <si>
    <t>14 Ft Vehicle</t>
  </si>
  <si>
    <t>MH17 CV5607</t>
  </si>
  <si>
    <t>MH14 MH5439</t>
  </si>
  <si>
    <t>Waluj To Hosur </t>
  </si>
  <si>
    <t>mh20gc5182</t>
  </si>
  <si>
    <t>Waluj to NARSAPURA</t>
  </si>
  <si>
    <t>Endurance  K120 Waluj To  Narsapura  </t>
  </si>
  <si>
    <t>MP43ZG0424</t>
  </si>
  <si>
    <t>PUN-26-27-0507</t>
  </si>
  <si>
    <t>mh53b0052</t>
  </si>
  <si>
    <t>PUN-26-27-0508</t>
  </si>
  <si>
    <t>HR56B2320</t>
  </si>
  <si>
    <t>MH14UK6785</t>
  </si>
  <si>
    <t>WALUJ To Gurgaon</t>
  </si>
  <si>
    <t>rj41ga8184</t>
  </si>
  <si>
    <t>mh19cy5975</t>
  </si>
  <si>
    <t>mh28bb7442</t>
  </si>
  <si>
    <t>mh12ze1705</t>
  </si>
  <si>
    <t>VLPLW2627/810</t>
  </si>
  <si>
    <t>VLPLW2627/811</t>
  </si>
  <si>
    <t xml:space="preserve">VLPLW2627/812  </t>
  </si>
  <si>
    <t>VLPLW2627/813</t>
  </si>
  <si>
    <t xml:space="preserve">VLPLW2627/814  </t>
  </si>
  <si>
    <t> VLPLW2627/815</t>
  </si>
  <si>
    <t>VLPLW2627/816</t>
  </si>
  <si>
    <t>VLPLW2627/817</t>
  </si>
  <si>
    <t>VLPLW2627/818</t>
  </si>
  <si>
    <t>VLPLW2627/819</t>
  </si>
  <si>
    <t>VLPLW2627/820</t>
  </si>
  <si>
    <t>VLPLW2627/821</t>
  </si>
  <si>
    <t xml:space="preserve">VLPLW2627/822  </t>
  </si>
  <si>
    <t xml:space="preserve">VLPLW2627/826  </t>
  </si>
  <si>
    <t xml:space="preserve">VLPLW2627/823  </t>
  </si>
  <si>
    <t xml:space="preserve">VLPLW2627/824  </t>
  </si>
  <si>
    <t>VLPLW2627/825</t>
  </si>
  <si>
    <t>VLPLW2627/827</t>
  </si>
  <si>
    <t>VLPLW2627/828</t>
  </si>
  <si>
    <t xml:space="preserve"> VLPLW2627/829  </t>
  </si>
  <si>
    <t>MH20EL8948</t>
  </si>
  <si>
    <t>MH10DT3986</t>
  </si>
  <si>
    <t>PUN-26-27-0509</t>
  </si>
  <si>
    <t>Endurance B-1/3</t>
  </si>
  <si>
    <t>MH15JR0251</t>
  </si>
  <si>
    <t>15MT</t>
  </si>
  <si>
    <t>PUN-26-27-0512</t>
  </si>
  <si>
    <t>PUN-26-27-0513</t>
  </si>
  <si>
    <t>MH14MT3302</t>
  </si>
  <si>
    <t>PUN-26-27-0510</t>
  </si>
  <si>
    <t>MH14MT8109</t>
  </si>
  <si>
    <t>PUN-26-27-0511</t>
  </si>
  <si>
    <t>mh23au7571</t>
  </si>
  <si>
    <t>VLPLW2627/830</t>
  </si>
  <si>
    <t>LODHI TRANSPORT</t>
  </si>
  <si>
    <t>MP09GF9408</t>
  </si>
  <si>
    <t>PUN-26-27-0515</t>
  </si>
  <si>
    <t>VLPLW2627/831</t>
  </si>
  <si>
    <t>VLPLW2627/832</t>
  </si>
  <si>
    <t>VLPLW2627/833</t>
  </si>
  <si>
    <t>ka02am6092</t>
  </si>
  <si>
    <t>VLPLW2627/834</t>
  </si>
  <si>
    <t>VLPLW2627/835</t>
  </si>
  <si>
    <t>VLPLW2627/836</t>
  </si>
  <si>
    <t>VLPLW2627/837</t>
  </si>
  <si>
    <t>VLPLW2627/838</t>
  </si>
  <si>
    <t>VLPLW2627/839</t>
  </si>
  <si>
    <t>mh20gc6915</t>
  </si>
  <si>
    <t>VLPLW2627/840</t>
  </si>
  <si>
    <t>VLPLW2627/841</t>
  </si>
  <si>
    <t>VLPLW2627/842</t>
  </si>
  <si>
    <t>VLPLW2627/843</t>
  </si>
  <si>
    <t>mh20gc3134</t>
  </si>
  <si>
    <t>VLPLW2627/844</t>
  </si>
  <si>
    <t>VLPLW2627/845</t>
  </si>
  <si>
    <t>5 MT</t>
  </si>
  <si>
    <t>VLPLW2627/846</t>
  </si>
  <si>
    <t>MH3DQ1068</t>
  </si>
  <si>
    <t>VLPLW2627/847</t>
  </si>
  <si>
    <t>MH14MT4727</t>
  </si>
  <si>
    <t>VLPLW2627/848</t>
  </si>
  <si>
    <t>VLPLW2627/849</t>
  </si>
  <si>
    <t>MH20EL9550</t>
  </si>
  <si>
    <t>VLPLW2627/850</t>
  </si>
  <si>
    <t>rj32gd0628</t>
  </si>
  <si>
    <t>VLPLW2627/851</t>
  </si>
  <si>
    <t>MH20EL5501</t>
  </si>
  <si>
    <t>mh12wx5016</t>
  </si>
  <si>
    <t>VLPLW2627/852</t>
  </si>
  <si>
    <t>VLPLW2627/853</t>
  </si>
  <si>
    <t>VLPLW2627/854</t>
  </si>
  <si>
    <t>mh21bh5372</t>
  </si>
  <si>
    <t>VLPLW2627/855</t>
  </si>
  <si>
    <t>VLPLW2627/856</t>
  </si>
  <si>
    <t>mh20gc9843</t>
  </si>
  <si>
    <t>VLPLW2627/857</t>
  </si>
  <si>
    <t>WALUJ To GurGAON</t>
  </si>
  <si>
    <t>New  Sahara Nariayal Bhandar</t>
  </si>
  <si>
    <t>mh20ek7677</t>
  </si>
  <si>
    <t>10 MT</t>
  </si>
  <si>
    <t>VLPLW2627/858</t>
  </si>
  <si>
    <t>PUN-26-27-0514</t>
  </si>
  <si>
    <t>PUN-26-27-0516</t>
  </si>
  <si>
    <t>RJ17GB1740</t>
  </si>
  <si>
    <t>DL01LAM1733</t>
  </si>
  <si>
    <t>PUN-26-27-0517</t>
  </si>
  <si>
    <t>PUNE To HOSUR</t>
  </si>
  <si>
    <t>mh20gz4417</t>
  </si>
  <si>
    <t>Waluj To gurgaon</t>
  </si>
  <si>
    <t>mh14ll0684</t>
  </si>
  <si>
    <t>mh12yq5211</t>
  </si>
  <si>
    <t> Waluj To hosur</t>
  </si>
  <si>
    <t>mh21bh7538</t>
  </si>
  <si>
    <t> Waluj To Hosur</t>
  </si>
  <si>
    <t>mh16cd3290</t>
  </si>
  <si>
    <t>PUN-26-27-518</t>
  </si>
  <si>
    <t>Ashok Gord </t>
  </si>
  <si>
    <t>MP09GH0721</t>
  </si>
  <si>
    <t>7.5MT</t>
  </si>
  <si>
    <t>PUN-26-27-0519</t>
  </si>
  <si>
    <t>VLPLW2627/859</t>
  </si>
  <si>
    <t>VLPLW2627/860</t>
  </si>
  <si>
    <t>VLPLW2627/861</t>
  </si>
  <si>
    <t xml:space="preserve">VLPLW2627/862  </t>
  </si>
  <si>
    <t>VLPLW2627/863</t>
  </si>
  <si>
    <t>VLPLW2627/864</t>
  </si>
  <si>
    <t xml:space="preserve">VLPLW2627/865  </t>
  </si>
  <si>
    <t xml:space="preserve">VLPLW2627/869  </t>
  </si>
  <si>
    <t xml:space="preserve">VLPLW2627/870  </t>
  </si>
  <si>
    <t>VLPLW2627/871</t>
  </si>
  <si>
    <t>VLPLW2627/872</t>
  </si>
  <si>
    <t>VLPLW2627/873</t>
  </si>
  <si>
    <t xml:space="preserve">VLPLW2627/874  </t>
  </si>
  <si>
    <t xml:space="preserve">VLPLW2627/875  </t>
  </si>
  <si>
    <t>VLPLW2627/876 </t>
  </si>
  <si>
    <t xml:space="preserve">VLPLW2627/877  </t>
  </si>
  <si>
    <t xml:space="preserve">VLPLW2627/866  </t>
  </si>
  <si>
    <t>VLPLW2627/867</t>
  </si>
  <si>
    <t>g168 to hosur</t>
  </si>
  <si>
    <t>mh20gc8475</t>
  </si>
  <si>
    <t>WALUJ To GURGAON</t>
  </si>
  <si>
    <t>mh20gy1689</t>
  </si>
  <si>
    <t xml:space="preserve">VLPLW2627/878  </t>
  </si>
  <si>
    <t>VLPLW2627/879</t>
  </si>
  <si>
    <t>VLPLW2627/880</t>
  </si>
  <si>
    <t>VLPLW2627/881</t>
  </si>
  <si>
    <t>VLPLW2627/884</t>
  </si>
  <si>
    <t>VLPLW2627/885</t>
  </si>
  <si>
    <t xml:space="preserve">VLPLW2627/886  </t>
  </si>
  <si>
    <t>VLPLW2627/887</t>
  </si>
  <si>
    <t xml:space="preserve">VLPLW2627/888  </t>
  </si>
  <si>
    <t xml:space="preserve">VLPLW2627/882  </t>
  </si>
  <si>
    <t>VLPLW2627/883</t>
  </si>
  <si>
    <t>mh16cc6309</t>
  </si>
  <si>
    <t>VLPLW2627/889</t>
  </si>
  <si>
    <t>MH20GC0631</t>
  </si>
  <si>
    <t>mh47bl0593</t>
  </si>
  <si>
    <t>MH53B0923</t>
  </si>
  <si>
    <t xml:space="preserve">VLPLW2627/890  </t>
  </si>
  <si>
    <t>VLPLW2627/893</t>
  </si>
  <si>
    <t xml:space="preserve">VLPLW2627/894  </t>
  </si>
  <si>
    <t xml:space="preserve">VLPLW2627/891  </t>
  </si>
  <si>
    <t>VLPLW2627/892</t>
  </si>
  <si>
    <t>MP13GA3757</t>
  </si>
  <si>
    <t>PUN-26-27-0528</t>
  </si>
  <si>
    <t>MP11ZK7180</t>
  </si>
  <si>
    <t>PUN-26-27-0527</t>
  </si>
  <si>
    <t>MP07ZJ6858</t>
  </si>
  <si>
    <t>PUN-26-27-0526</t>
  </si>
  <si>
    <t>VLPLW2627/895</t>
  </si>
  <si>
    <t>VLPLW2627/896</t>
  </si>
  <si>
    <t>VL/MH/26-27/0148</t>
  </si>
  <si>
    <t>VL/MH/26-27/0215</t>
  </si>
  <si>
    <t>VL/MH/26-27/0216</t>
  </si>
  <si>
    <t>VL/MH/26-27/0217</t>
  </si>
  <si>
    <t>Waluj To Chennai</t>
  </si>
  <si>
    <t>mh23au6907</t>
  </si>
  <si>
    <t>mh41au9810</t>
  </si>
  <si>
    <t>mh23au7234</t>
  </si>
  <si>
    <t>pb03bn4710</t>
  </si>
  <si>
    <t>dl01aj8200</t>
  </si>
  <si>
    <t>mh16cd7364</t>
  </si>
  <si>
    <t>mh24au6674</t>
  </si>
  <si>
    <t> Endurance K120 To Endurance  Narsapura </t>
  </si>
  <si>
    <t>mh16cd7171</t>
  </si>
  <si>
    <t>mh20gz3911</t>
  </si>
  <si>
    <t>mh20gz2883</t>
  </si>
  <si>
    <t>bangalore to gujrat</t>
  </si>
  <si>
    <t>Sajith Sir</t>
  </si>
  <si>
    <t>MH11CH6123</t>
  </si>
  <si>
    <t xml:space="preserve">VLPLW2627/897  </t>
  </si>
  <si>
    <t>VLPLW2627/898</t>
  </si>
  <si>
    <t> VLPLW2627/913</t>
  </si>
  <si>
    <t>VLPLW2627/899</t>
  </si>
  <si>
    <t>VLPLW2627/900/901 </t>
  </si>
  <si>
    <t>VLPLW2627/902</t>
  </si>
  <si>
    <t xml:space="preserve">VLPLW2627/903  </t>
  </si>
  <si>
    <t>VLPLW2627/904</t>
  </si>
  <si>
    <t>VLPLW2627/905</t>
  </si>
  <si>
    <t xml:space="preserve">VLPLW2627/906  </t>
  </si>
  <si>
    <t xml:space="preserve">VLPLW2627/907  </t>
  </si>
  <si>
    <t>VLPLW2627/908</t>
  </si>
  <si>
    <t xml:space="preserve">VLPLW2627/909  </t>
  </si>
  <si>
    <t xml:space="preserve">VLPLW2627/910  </t>
  </si>
  <si>
    <t xml:space="preserve">VLPLW2627/912  </t>
  </si>
  <si>
    <t>VLPLW2627/914</t>
  </si>
  <si>
    <t>VLPLW2627/915</t>
  </si>
  <si>
    <t xml:space="preserve">VLPLW2627/918  </t>
  </si>
  <si>
    <t>VLPLW2627/921</t>
  </si>
  <si>
    <t xml:space="preserve">VLPLW2627/922  </t>
  </si>
  <si>
    <t>VLPLW2627/923</t>
  </si>
  <si>
    <t xml:space="preserve">VLPLW2627/924  </t>
  </si>
  <si>
    <t xml:space="preserve">VLPLW2627/926  </t>
  </si>
  <si>
    <t xml:space="preserve">VLPLW2627/925  </t>
  </si>
  <si>
    <t>VLPLW2627/868</t>
  </si>
  <si>
    <t xml:space="preserve">VLPLW2627/916  </t>
  </si>
  <si>
    <t>VLPLW2627/917</t>
  </si>
  <si>
    <t>VLPLW2627/919</t>
  </si>
  <si>
    <t>VLPLW2627/920</t>
  </si>
  <si>
    <t>MP09BF6224</t>
  </si>
  <si>
    <t>pick-up </t>
  </si>
  <si>
    <t>PUN-26-27-0530</t>
  </si>
  <si>
    <t>PUN-26-27-0529</t>
  </si>
  <si>
    <t>PUN-26-27-0531</t>
  </si>
  <si>
    <t>PUN-26-27-0532</t>
  </si>
  <si>
    <t xml:space="preserve"> MANISH ROADLINES </t>
  </si>
  <si>
    <t>MH14NE2846</t>
  </si>
  <si>
    <t>chakan to vithlapur GJ</t>
  </si>
  <si>
    <t>Endurance A-12</t>
  </si>
  <si>
    <t>MP14GC2320</t>
  </si>
  <si>
    <t>PUN-26-27-0533</t>
  </si>
  <si>
    <t>VL/MH/26-27/0218</t>
  </si>
  <si>
    <t>VL/MH/26-27/0011</t>
  </si>
  <si>
    <t>VL/MH/26-27/0082</t>
  </si>
  <si>
    <t>VL/MH/26-27/0081</t>
  </si>
  <si>
    <t>VL/MH/26-27/0012</t>
  </si>
  <si>
    <t>VL/MH/26-27/0083</t>
  </si>
  <si>
    <t>VL/MH/26-27/0056</t>
  </si>
  <si>
    <t>VL/MH/25-26/2118/2119</t>
  </si>
  <si>
    <t>VL/MH/26-27/0153</t>
  </si>
  <si>
    <t>VL/MH/26-27/0152</t>
  </si>
  <si>
    <t>VL/MH/26-27/0154</t>
  </si>
  <si>
    <t>VL/MH/26-27/0159</t>
  </si>
  <si>
    <t>mh21bh6403</t>
  </si>
  <si>
    <t>MH20GC6244</t>
  </si>
  <si>
    <t>mysore  to Waluj</t>
  </si>
  <si>
    <t>MH12UM3800</t>
  </si>
  <si>
    <t>Mh20gz7132 </t>
  </si>
  <si>
    <t>mh10z1500</t>
  </si>
  <si>
    <t>Waluj To  Mysore</t>
  </si>
  <si>
    <t> Pune To hosur</t>
  </si>
  <si>
    <t>mh57b3415</t>
  </si>
  <si>
    <t>up83dt6036</t>
  </si>
  <si>
    <t>narspura to k228</t>
  </si>
  <si>
    <t> Endurance Aurangabad To Endurance Narsapura </t>
  </si>
  <si>
    <t>KA25AC2287</t>
  </si>
  <si>
    <t>mh20el8474</t>
  </si>
  <si>
    <t>mh16cd8927</t>
  </si>
  <si>
    <t>VLPLW2627/911</t>
  </si>
  <si>
    <t xml:space="preserve">VLPLW2627/927  </t>
  </si>
  <si>
    <t>VLPLW2627/928</t>
  </si>
  <si>
    <t xml:space="preserve">VLPLW2627/929  </t>
  </si>
  <si>
    <t>VLPLW2627/930</t>
  </si>
  <si>
    <t xml:space="preserve">VLPLW2627/931  </t>
  </si>
  <si>
    <t>VLPLW2627/932</t>
  </si>
  <si>
    <t>VLPLW2627/933</t>
  </si>
  <si>
    <t xml:space="preserve">VLPLW2627/934  </t>
  </si>
  <si>
    <t xml:space="preserve">VLPLW2627/935  </t>
  </si>
  <si>
    <t xml:space="preserve">VLPLW2627/936  </t>
  </si>
  <si>
    <t>VLPLW2627/938</t>
  </si>
  <si>
    <t xml:space="preserve">VLPLW2627/939  </t>
  </si>
  <si>
    <t>VLPLW2627/940</t>
  </si>
  <si>
    <t xml:space="preserve">VLPLW2627/941  </t>
  </si>
  <si>
    <t>VLPLW2627/942</t>
  </si>
  <si>
    <t xml:space="preserve">VLPLW2627/943  </t>
  </si>
  <si>
    <t xml:space="preserve">VLPLW2627/944  </t>
  </si>
  <si>
    <t>VLPLW2627/945</t>
  </si>
  <si>
    <t>VLPLW2627/946</t>
  </si>
  <si>
    <t>VLPLW2627/947</t>
  </si>
  <si>
    <t xml:space="preserve">VLPLW2627/948  </t>
  </si>
  <si>
    <t xml:space="preserve">VLPLW2627/949  </t>
  </si>
  <si>
    <t>VLPLW2627/950</t>
  </si>
  <si>
    <t>VLPLW2627/951</t>
  </si>
  <si>
    <t>VLPLW2627/952</t>
  </si>
  <si>
    <t>VLPLW2627/953</t>
  </si>
  <si>
    <t>VLPLW2627/954</t>
  </si>
  <si>
    <t>VLPLW2627/955</t>
  </si>
  <si>
    <t xml:space="preserve">VLPLW2627/956  </t>
  </si>
  <si>
    <t xml:space="preserve">VLPLW2627/957  </t>
  </si>
  <si>
    <t xml:space="preserve">VLPLW2627/958  </t>
  </si>
  <si>
    <t xml:space="preserve">VLPLW2627/959  </t>
  </si>
  <si>
    <t>VLPLW2627/960 </t>
  </si>
  <si>
    <t>VLPLW2627/961</t>
  </si>
  <si>
    <t>VLPLW2627/937</t>
  </si>
  <si>
    <t>MH17CV6004</t>
  </si>
  <si>
    <t>PUN-26-27-0567</t>
  </si>
  <si>
    <t>PUN-26-27-568</t>
  </si>
  <si>
    <t>MH12 JF5888</t>
  </si>
  <si>
    <t>Endurance K226</t>
  </si>
  <si>
    <t>VL/MH/26-27/0144</t>
  </si>
  <si>
    <t>VL/MH/26-27/0147</t>
  </si>
  <si>
    <t>VL/MH/26-27/0155</t>
  </si>
  <si>
    <t>VL/MH/26-27/0157</t>
  </si>
  <si>
    <t>VL/MH/26-27/0160</t>
  </si>
  <si>
    <t>VL/MH/26-27/0161</t>
  </si>
  <si>
    <t>VL/MH/26-27/0162</t>
  </si>
  <si>
    <t>VL/MH/26-27/0163</t>
  </si>
  <si>
    <t>VL/MH/26-27/0164</t>
  </si>
  <si>
    <t>VL/MH/26-27/0165</t>
  </si>
  <si>
    <t>VL/MH/26-27/0166</t>
  </si>
  <si>
    <t>VL/MH/26-27/0167</t>
  </si>
  <si>
    <t>VL/MH/26-27/0168</t>
  </si>
  <si>
    <t>VL/MH/26-27/0169</t>
  </si>
  <si>
    <t>VL/MH/26-27/0170</t>
  </si>
  <si>
    <t>VL/MH/26-27/0171</t>
  </si>
  <si>
    <t>VL/MH/26-27/0174</t>
  </si>
  <si>
    <t>VL/MH/26-27/0175</t>
  </si>
  <si>
    <t>VL/MH/26-27/0176</t>
  </si>
  <si>
    <t>VL/MH/26-27/0177</t>
  </si>
  <si>
    <t>VL/MH/26-27/0178</t>
  </si>
  <si>
    <t>VL/MH/26-27/0179</t>
  </si>
  <si>
    <t>VL/MH/26-27/0180</t>
  </si>
  <si>
    <t>VL/MH/26-27/0181</t>
  </si>
  <si>
    <t>VL/MH/26-27/0182</t>
  </si>
  <si>
    <t>VL/MH/26-27/0183</t>
  </si>
  <si>
    <t>VL/MH/26-27/0184</t>
  </si>
  <si>
    <t>VL/MH/26-27/0185</t>
  </si>
  <si>
    <t>VL/MH/26-27/0186</t>
  </si>
  <si>
    <t>VL/MH/26-27/0190</t>
  </si>
  <si>
    <t>VL/MH/26-27/0191</t>
  </si>
  <si>
    <t>VL/MH/26-27/0193</t>
  </si>
  <si>
    <t>VL/MH/26-27/0195</t>
  </si>
  <si>
    <t>VL/MH/26-27/0197</t>
  </si>
  <si>
    <t>VL/MH/26-27/0198</t>
  </si>
  <si>
    <t>VL/MH/26-27/0200</t>
  </si>
  <si>
    <t>VL/MH/26-27/0201</t>
  </si>
  <si>
    <t>VL/MH/26-27/0202</t>
  </si>
  <si>
    <t>VL/MH/26-27/0204</t>
  </si>
  <si>
    <t>VL/MH/26-27/0206</t>
  </si>
  <si>
    <t>VL/MH/26-27/0207</t>
  </si>
  <si>
    <t>VL/MH/26-27/0208</t>
  </si>
  <si>
    <t>VL/MH/26-27/0209</t>
  </si>
  <si>
    <t>VL/MH/26-27/0210</t>
  </si>
  <si>
    <t>VL/MH/26-27/0211</t>
  </si>
  <si>
    <t>VL/MH/26-27/0212</t>
  </si>
  <si>
    <t>VL/MH/26-27/0213</t>
  </si>
  <si>
    <t>VL/MH/26-27/0214</t>
  </si>
  <si>
    <t>VL/MH/26-27/0220</t>
  </si>
  <si>
    <t>hr74b2282</t>
  </si>
  <si>
    <t> WALUJ To GUDGAON</t>
  </si>
  <si>
    <t>hr38al0530</t>
  </si>
  <si>
    <t>pb04ae2311</t>
  </si>
  <si>
    <t>MH57B0397</t>
  </si>
  <si>
    <t> Waluj To Hosur</t>
  </si>
  <si>
    <t>up14jt1772</t>
  </si>
  <si>
    <t>mh20gc8703</t>
  </si>
  <si>
    <t>Waluj To gurgaon</t>
  </si>
  <si>
    <t>PUN-26-27-0573</t>
  </si>
  <si>
    <t>PUN-26-27-0570</t>
  </si>
  <si>
    <t>PUN-26-27-0571</t>
  </si>
  <si>
    <t>MP09GJ2119</t>
  </si>
  <si>
    <t>PUN-26-27-0572</t>
  </si>
  <si>
    <t>PUN-26-27-0574</t>
  </si>
  <si>
    <t>MH21BH5973</t>
  </si>
  <si>
    <t>PUN-26-27-0569</t>
  </si>
  <si>
    <t>mysore to e71</t>
  </si>
  <si>
    <t>mh20gc2689</t>
  </si>
  <si>
    <t>mh20gz6812</t>
  </si>
  <si>
    <t> Waluj To Mysore</t>
  </si>
  <si>
    <t>mh23au5441</t>
  </si>
  <si>
    <t>mh14mt5593</t>
  </si>
  <si>
    <t>mh12um0708</t>
  </si>
  <si>
    <t>VLPLW2627/964</t>
  </si>
  <si>
    <t xml:space="preserve">VLPLW2627/965  </t>
  </si>
  <si>
    <t>VLPLW2627/966</t>
  </si>
  <si>
    <t>VLPLW2627/967</t>
  </si>
  <si>
    <t>VLPLW2627/968</t>
  </si>
  <si>
    <t>VLPLW2627/969</t>
  </si>
  <si>
    <t>VLPLW2627/970</t>
  </si>
  <si>
    <t>VLPLW2627/971</t>
  </si>
  <si>
    <t xml:space="preserve">VLPLW2627/972  </t>
  </si>
  <si>
    <t xml:space="preserve">VLPLW2627/973/975  </t>
  </si>
  <si>
    <t xml:space="preserve">VLPLW2627/974  </t>
  </si>
  <si>
    <t>VLPLW2627/976</t>
  </si>
  <si>
    <t>VLPLW2627/977</t>
  </si>
  <si>
    <t>VLPLW2627/978</t>
  </si>
  <si>
    <t xml:space="preserve">VLPLW2627/984  </t>
  </si>
  <si>
    <t>VLPLW2627/979</t>
  </si>
  <si>
    <t xml:space="preserve">VLPLW2627/980  </t>
  </si>
  <si>
    <t>VLPLW2627/981</t>
  </si>
  <si>
    <t>VLPLW2627/982</t>
  </si>
  <si>
    <t>VLPLW2627/983</t>
  </si>
  <si>
    <t xml:space="preserve">VLPLW2627/986  </t>
  </si>
  <si>
    <t xml:space="preserve">VLPLW2627/987  </t>
  </si>
  <si>
    <t xml:space="preserve">VLPLW2627/962  </t>
  </si>
  <si>
    <t xml:space="preserve">VLPLW2627/963  </t>
  </si>
  <si>
    <t>VLPLW2627/985</t>
  </si>
  <si>
    <t xml:space="preserve">VLPLW2627/988  </t>
  </si>
  <si>
    <t>VLPLW2627/989</t>
  </si>
  <si>
    <t>VLPLW2627/990</t>
  </si>
  <si>
    <t>VLPLW2627/991</t>
  </si>
  <si>
    <t>Endurance K-226/2</t>
  </si>
  <si>
    <t>MH20GC3234</t>
  </si>
  <si>
    <t>VLPLW2627/994</t>
  </si>
  <si>
    <t>Waluj To hosu</t>
  </si>
  <si>
    <t>VLPLW2627/997</t>
  </si>
  <si>
    <t>MH20GC2618</t>
  </si>
  <si>
    <t>VLPLW2627/992</t>
  </si>
  <si>
    <t>VLPLW2627/993</t>
  </si>
  <si>
    <t>MH16CC6685</t>
  </si>
  <si>
    <t>VLPLW2627/995</t>
  </si>
  <si>
    <t>VLPLW2627/996</t>
  </si>
  <si>
    <t>mh16cc7088</t>
  </si>
  <si>
    <t>VLPLW2627/998</t>
  </si>
  <si>
    <t>mh16cd7301</t>
  </si>
  <si>
    <t>VLPLW2627/999</t>
  </si>
  <si>
    <t>VLPLW2627/1000</t>
  </si>
  <si>
    <t>MH20GC2790</t>
  </si>
  <si>
    <t>VLPLW2627/1001</t>
  </si>
  <si>
    <t>dl01laq5506</t>
  </si>
  <si>
    <t>VLPLW2627/1002</t>
  </si>
  <si>
    <t>DL01LAJ7377</t>
  </si>
  <si>
    <t>VLPLW2627/1003</t>
  </si>
  <si>
    <t>VLPLW2627/1004</t>
  </si>
  <si>
    <t>VLPLW2627/733</t>
  </si>
  <si>
    <t>MH20GC8325</t>
  </si>
  <si>
    <t>VLPLW2627/1005</t>
  </si>
  <si>
    <t>mh20gc6689</t>
  </si>
  <si>
    <t>VLPLW2627/1006</t>
  </si>
  <si>
    <t>VLPLW2627/1007</t>
  </si>
  <si>
    <t>VLPLW2627/1008</t>
  </si>
  <si>
    <t>VLPLW2627/1009</t>
  </si>
  <si>
    <t>VLPLW2627/1010</t>
  </si>
  <si>
    <t>VLPLW2627/1011</t>
  </si>
  <si>
    <t>VLPLW2627/1012</t>
  </si>
  <si>
    <t>VLPLW2627/1013</t>
  </si>
  <si>
    <t>Waluj to Endurance  Narsapura</t>
  </si>
  <si>
    <t>VLPLW2627/1014</t>
  </si>
  <si>
    <t>VLPLW2627/1015</t>
  </si>
  <si>
    <t>VLPLW2627/1016</t>
  </si>
  <si>
    <t>mh23au6077</t>
  </si>
  <si>
    <t>VLPLW2627/1017</t>
  </si>
  <si>
    <t>mh20el7456</t>
  </si>
  <si>
    <t>VLPLW2627/1018</t>
  </si>
  <si>
    <t>VLPLW2627/1019</t>
  </si>
  <si>
    <t>mh11dv 1530</t>
  </si>
  <si>
    <t>VLPLW2627/1020</t>
  </si>
  <si>
    <t>VLPLW2627/1021</t>
  </si>
  <si>
    <t>mh14lb1761</t>
  </si>
  <si>
    <t>VLPLW2627/1022</t>
  </si>
  <si>
    <t>VLPLW2627/1023</t>
  </si>
  <si>
    <t>Pickup </t>
  </si>
  <si>
    <t>PUN-26-27-0576</t>
  </si>
  <si>
    <t>MH14JL8654</t>
  </si>
  <si>
    <t>PUN-26-27-0577</t>
  </si>
  <si>
    <t>MH48CQ1575</t>
  </si>
  <si>
    <t>PUN-26-27-0578</t>
  </si>
  <si>
    <t>MP09BF3289</t>
  </si>
  <si>
    <t>PUN-26-27-0579</t>
  </si>
  <si>
    <t>MP41ZH4819</t>
  </si>
  <si>
    <t>PUN-26-27-0580</t>
  </si>
  <si>
    <t>PUN-26-27-0581</t>
  </si>
  <si>
    <t>RJ09GE7614</t>
  </si>
  <si>
    <t>GJ06 BX3846</t>
  </si>
  <si>
    <t>pb03bc3217</t>
  </si>
  <si>
    <t>Waluj To mysore</t>
  </si>
  <si>
    <t>mh20gz3121</t>
  </si>
  <si>
    <t>Waluj  To  narsapura</t>
  </si>
  <si>
    <t>MH42AQ8159</t>
  </si>
  <si>
    <t> Waluj To Chennai</t>
  </si>
  <si>
    <t>mh28aj8150</t>
  </si>
  <si>
    <t>mh16cd5914</t>
  </si>
  <si>
    <t>hr37e5677</t>
  </si>
  <si>
    <t>Mh12yq0284 </t>
  </si>
  <si>
    <t>mh12kp9651</t>
  </si>
  <si>
    <t>VLPLW2627/1040</t>
  </si>
  <si>
    <t xml:space="preserve">VLPLW2627/1041  </t>
  </si>
  <si>
    <t xml:space="preserve">VLPLW2627/1024  </t>
  </si>
  <si>
    <t>VLPLW2627/1025</t>
  </si>
  <si>
    <t>VLPLW2627/1026</t>
  </si>
  <si>
    <t>VLPLW2627/1027</t>
  </si>
  <si>
    <t>VLPLW2627/1028  /990Adjust</t>
  </si>
  <si>
    <t xml:space="preserve">VLPLW2627/1029  </t>
  </si>
  <si>
    <t xml:space="preserve">VLPLW2627/1030  </t>
  </si>
  <si>
    <t xml:space="preserve">VLPLW2627/1031  </t>
  </si>
  <si>
    <t xml:space="preserve">VLPLW2627/1032  </t>
  </si>
  <si>
    <t>VLPLW2627/1033</t>
  </si>
  <si>
    <t xml:space="preserve">VLPLW2627/1034  </t>
  </si>
  <si>
    <t xml:space="preserve">VLPLW2627/1035  </t>
  </si>
  <si>
    <t>VLPLW2627/1036</t>
  </si>
  <si>
    <t>VLPLW2627/1037</t>
  </si>
  <si>
    <t>VLPLW2627/1039</t>
  </si>
  <si>
    <t>VLPLW2627/1044</t>
  </si>
  <si>
    <t xml:space="preserve">VLPLW2627/1042  </t>
  </si>
  <si>
    <t xml:space="preserve">VLPLW2627/1043  </t>
  </si>
  <si>
    <t xml:space="preserve">VLPLW2627/1045  </t>
  </si>
  <si>
    <t>VLPLW2627/1047</t>
  </si>
  <si>
    <t xml:space="preserve">VLPLW2627/1048  </t>
  </si>
  <si>
    <t>VLPLW2627/1038</t>
  </si>
  <si>
    <t>VLPLW2627/1046</t>
  </si>
  <si>
    <t xml:space="preserve">VLPLW2627/1049  </t>
  </si>
  <si>
    <t>MH17CV2931</t>
  </si>
  <si>
    <t>PUN-26-27-0604</t>
  </si>
  <si>
    <t>PUN-26-27-603</t>
  </si>
  <si>
    <t>PUN-26-27-0605</t>
  </si>
  <si>
    <t>MH09 GJ3098</t>
  </si>
  <si>
    <t>Pick up</t>
  </si>
  <si>
    <t>mh20el5518</t>
  </si>
  <si>
    <t>hr55at5987</t>
  </si>
  <si>
    <t>mh16cd6308</t>
  </si>
  <si>
    <t>mh20el9623</t>
  </si>
  <si>
    <t>mh14ne1173</t>
  </si>
  <si>
    <t>mh12xm4739</t>
  </si>
  <si>
    <t>Waluj To Hosur</t>
  </si>
  <si>
    <t>Waluj To narsapura</t>
  </si>
  <si>
    <t>mh38x2421</t>
  </si>
  <si>
    <t>mh16dp2219</t>
  </si>
  <si>
    <t>mh14ll1151</t>
  </si>
  <si>
    <t>mh20gz2720</t>
  </si>
  <si>
    <t>VLPLW2627/1050</t>
  </si>
  <si>
    <t xml:space="preserve">VLPLW2627/1051  </t>
  </si>
  <si>
    <t xml:space="preserve">VLPLW2627/1052  </t>
  </si>
  <si>
    <t>VLPLW2627/1053</t>
  </si>
  <si>
    <t xml:space="preserve">VLPLW2627/1054  </t>
  </si>
  <si>
    <t xml:space="preserve">VLPLW2627/1055  </t>
  </si>
  <si>
    <t xml:space="preserve">VLPLW2627/1057  </t>
  </si>
  <si>
    <t>VLPLW2627/1058</t>
  </si>
  <si>
    <t>VLPLW2627/1059</t>
  </si>
  <si>
    <t>VLPLW2627/1060</t>
  </si>
  <si>
    <t>VLPLW2627/1063</t>
  </si>
  <si>
    <t xml:space="preserve">VLPLW2627/1064  </t>
  </si>
  <si>
    <t xml:space="preserve">VLPLW2627/1065  </t>
  </si>
  <si>
    <t>VLPLW2627/1066</t>
  </si>
  <si>
    <t xml:space="preserve">VLPLW2627/1067  </t>
  </si>
  <si>
    <t xml:space="preserve">VLPLW2627/1056  </t>
  </si>
  <si>
    <t xml:space="preserve">VLPLW2627/1068  </t>
  </si>
  <si>
    <t xml:space="preserve">VLPLW2627/1069  </t>
  </si>
  <si>
    <t>VLPLW2627/1070</t>
  </si>
  <si>
    <t>VLPLW2627/1071</t>
  </si>
  <si>
    <t>VLPLW2627/1072</t>
  </si>
  <si>
    <t>VLPLW2627/1076 /1077 </t>
  </si>
  <si>
    <t>VLPLW2627/1061</t>
  </si>
  <si>
    <t xml:space="preserve">VLPLW2627/1062  </t>
  </si>
  <si>
    <t>VLPLW2627/1078</t>
  </si>
  <si>
    <t xml:space="preserve">VLPLW2627/1079  </t>
  </si>
  <si>
    <t>VLPLW2627/1080</t>
  </si>
  <si>
    <t>VLPLW2627/1081</t>
  </si>
  <si>
    <t>VLPLW2627/1082</t>
  </si>
  <si>
    <t>VLPLW2627/1083</t>
  </si>
  <si>
    <t xml:space="preserve">VLPLW2627/1073  </t>
  </si>
  <si>
    <t>VLPLW2627/1074</t>
  </si>
  <si>
    <t xml:space="preserve">VLPLW2627/1075  </t>
  </si>
  <si>
    <t>MH12YQ9402</t>
  </si>
  <si>
    <t>PUN-26-27-0607</t>
  </si>
  <si>
    <t>MP14ZD9748</t>
  </si>
  <si>
    <t>PUN-26-27-0608</t>
  </si>
  <si>
    <t>PUN-26-27-0609</t>
  </si>
  <si>
    <t>MH18BG9346</t>
  </si>
  <si>
    <t>PUN-26-27-0606</t>
  </si>
  <si>
    <t>VLPLW2627/1084</t>
  </si>
  <si>
    <t>VLPLW2627/1085</t>
  </si>
  <si>
    <t>mh21b8850</t>
  </si>
  <si>
    <t>VLPLW2627/1086</t>
  </si>
  <si>
    <t>VLPLW2627/1087</t>
  </si>
  <si>
    <t xml:space="preserve">VLPLW2627/1088 </t>
  </si>
  <si>
    <t>waluj  TO Bangalore</t>
  </si>
  <si>
    <t>VLPLW2627/1089</t>
  </si>
  <si>
    <t>VLPLW2627/1090</t>
  </si>
  <si>
    <t>VLPLW2627/1124</t>
  </si>
  <si>
    <t>VLPLW2627/1091</t>
  </si>
  <si>
    <t>VLPLW2627/1092</t>
  </si>
  <si>
    <t>VLPLW2627/1093</t>
  </si>
  <si>
    <t>WALUJ To hosur </t>
  </si>
  <si>
    <t>mhgc3648</t>
  </si>
  <si>
    <t>VLPLW2627/1094</t>
  </si>
  <si>
    <t>VLPLW2627/1095</t>
  </si>
  <si>
    <t>hr38ag8126</t>
  </si>
  <si>
    <t>VLPLW2627/1096</t>
  </si>
  <si>
    <t>MH15JW8861</t>
  </si>
  <si>
    <t>VLPLW2627/1097</t>
  </si>
  <si>
    <t>VLPLW2627/1098</t>
  </si>
  <si>
    <t>VLPLW2627/1099</t>
  </si>
  <si>
    <t>VLPLW2627/1100</t>
  </si>
  <si>
    <t>VLPLW2627/1101</t>
  </si>
  <si>
    <t>mh20gc7764</t>
  </si>
  <si>
    <t>VLPLW2627/1102</t>
  </si>
  <si>
    <t>VLPLW2627/1103</t>
  </si>
  <si>
    <t>mh41au8698</t>
  </si>
  <si>
    <t>VLPLW2627/1104</t>
  </si>
  <si>
    <t>  mh57b3415</t>
  </si>
  <si>
    <t>VLPLW2627/1105</t>
  </si>
  <si>
    <t>mh23ah6511</t>
  </si>
  <si>
    <t>VLPLW2627/1106</t>
  </si>
  <si>
    <t>VLPLW2627/1107</t>
  </si>
  <si>
    <t xml:space="preserve">VLPLW2627/1108 </t>
  </si>
  <si>
    <t>VLPLW2627/1110</t>
  </si>
  <si>
    <t>mh45ax1244</t>
  </si>
  <si>
    <t>VLPLW2627/1111</t>
  </si>
  <si>
    <t>mh37t2361</t>
  </si>
  <si>
    <t>VLPLW2627/1112</t>
  </si>
  <si>
    <t>VLPLW2627/1113</t>
  </si>
  <si>
    <t>VLPLW2627/1114</t>
  </si>
  <si>
    <t>VLPLW2627/1115</t>
  </si>
  <si>
    <t>Bangalore  to k228</t>
  </si>
  <si>
    <t>VLPLW2627/1117</t>
  </si>
  <si>
    <t>Mh22an 4127</t>
  </si>
  <si>
    <t>VLPLW2627/1118</t>
  </si>
  <si>
    <t>7 MT</t>
  </si>
  <si>
    <t>VLPLW2627/1119</t>
  </si>
  <si>
    <t>VLPLW2627/1120</t>
  </si>
  <si>
    <t>VLPLW2627/1116</t>
  </si>
  <si>
    <t>VLPLW2627/1122</t>
  </si>
  <si>
    <t>VLPLW2627/1121</t>
  </si>
  <si>
    <t>mh12yb1959</t>
  </si>
  <si>
    <t>VLPLW2627/1123</t>
  </si>
  <si>
    <t>Waluj TO Bangalore</t>
  </si>
  <si>
    <t>MH540385</t>
  </si>
  <si>
    <t>PUN-26-27-0611</t>
  </si>
  <si>
    <t>MH21CM0013</t>
  </si>
  <si>
    <t>PUN-26-27-0613</t>
  </si>
  <si>
    <t>Pravin Rebari </t>
  </si>
  <si>
    <t>MH14KA1719</t>
  </si>
  <si>
    <t>Chikhali to shendra </t>
  </si>
  <si>
    <t>MP09GH2705</t>
  </si>
  <si>
    <t>PUN-26-27-0614</t>
  </si>
  <si>
    <t>Advance Pending</t>
  </si>
  <si>
    <t>3)  Jun-26</t>
  </si>
  <si>
    <t>VLPLW2627/1125</t>
  </si>
  <si>
    <t>mh28bb9378</t>
  </si>
  <si>
    <t>VLPLW2627/1126</t>
  </si>
  <si>
    <t>VLPLW2627/1127</t>
  </si>
  <si>
    <t>VLPLW2627/1128</t>
  </si>
  <si>
    <t>VLPLW2627/1129</t>
  </si>
  <si>
    <t>VLPLW2627/1130</t>
  </si>
  <si>
    <t>VLPLW2627/1131</t>
  </si>
  <si>
    <t>mh07zd2012</t>
  </si>
  <si>
    <t>VLPLW2627/1132</t>
  </si>
  <si>
    <t>mh10dt8649</t>
  </si>
  <si>
    <t>VLPLW2627/1133</t>
  </si>
  <si>
    <t>VLPLW2627/1134</t>
  </si>
  <si>
    <t>VLPLW2627/1135</t>
  </si>
  <si>
    <t>mh14hg9143</t>
  </si>
  <si>
    <t>VLPLW2627/1136</t>
  </si>
  <si>
    <t>VLPLW2627/1137</t>
  </si>
  <si>
    <t>mh20gc1330</t>
  </si>
  <si>
    <t>VLPLW2627/1138</t>
  </si>
  <si>
    <t>VLPLW2627/1139</t>
  </si>
  <si>
    <t>VLPLW2627/1140</t>
  </si>
  <si>
    <t>VLPLW2627/1141</t>
  </si>
  <si>
    <t>VLPLW2627/1142</t>
  </si>
  <si>
    <t>VLPLW2627/1143</t>
  </si>
  <si>
    <t>hr56c0436</t>
  </si>
  <si>
    <t>VLPLW2627/1144</t>
  </si>
  <si>
    <t>Mh16cd6947  </t>
  </si>
  <si>
    <t>VLPLW2627/1145</t>
  </si>
  <si>
    <t>VLPLW2627/1146</t>
  </si>
  <si>
    <t>VLPLW2627/1147</t>
  </si>
  <si>
    <t>VLPLW2627/1148</t>
  </si>
  <si>
    <t>Waluj To GURGAON </t>
  </si>
  <si>
    <t>mh42bf2006</t>
  </si>
  <si>
    <t>VLPLW2627/1151</t>
  </si>
  <si>
    <t>VLPLW2627/1149</t>
  </si>
  <si>
    <t>VLPLW2627/1150</t>
  </si>
  <si>
    <t>MH42BU1857</t>
  </si>
  <si>
    <t>VLPLW2627/1152</t>
  </si>
  <si>
    <t>VLPLW2627/1153</t>
  </si>
  <si>
    <t>VLPLW2627/1154</t>
  </si>
  <si>
    <t>e71 to mysore</t>
  </si>
  <si>
    <t>VLPLW2627/1155</t>
  </si>
  <si>
    <t>VLPLW2627/1156</t>
  </si>
  <si>
    <t>Babasaheb kalinder sayyad</t>
  </si>
  <si>
    <t>VLPLW2627/1161</t>
  </si>
  <si>
    <t>Nasapura to waluj</t>
  </si>
  <si>
    <t>PUN-26-27-0610</t>
  </si>
  <si>
    <t>PUN-26-27-0615</t>
  </si>
  <si>
    <t>PUN-26-27-0605/ Adjust In these LR</t>
  </si>
  <si>
    <t>PUN-26-27-0645</t>
  </si>
  <si>
    <t>PUN-26-27-646</t>
  </si>
  <si>
    <t> Waluj To GURGAON </t>
  </si>
  <si>
    <t>MH20GC9561 </t>
  </si>
  <si>
    <t>mh14ll5576</t>
  </si>
  <si>
    <t>dl1lar9409</t>
  </si>
  <si>
    <t>mh14lx7174</t>
  </si>
  <si>
    <t>mh20gc8698</t>
  </si>
  <si>
    <t>mh32aj3237</t>
  </si>
  <si>
    <t>mh12ze2935</t>
  </si>
  <si>
    <t>MH20DE7591</t>
  </si>
  <si>
    <t>mp07gb3551</t>
  </si>
  <si>
    <t>mh19cy7368</t>
  </si>
  <si>
    <t>MH20GZ8475</t>
  </si>
  <si>
    <t> Waluj to narsapura</t>
  </si>
  <si>
    <t>VLPLW2627/1109</t>
  </si>
  <si>
    <t>VLPLW2627/1178</t>
  </si>
  <si>
    <t xml:space="preserve">VLPLW2627/1184  </t>
  </si>
  <si>
    <t>VLPLW2627/1179</t>
  </si>
  <si>
    <t>VLPLW2627/1157</t>
  </si>
  <si>
    <t xml:space="preserve">VLPLW2627/1158/1159 </t>
  </si>
  <si>
    <t>VLPLW2627/1160  </t>
  </si>
  <si>
    <t>VLPLW2627/1162</t>
  </si>
  <si>
    <t>VLPLW2627/1163</t>
  </si>
  <si>
    <t xml:space="preserve">VLPLW2627/1164  </t>
  </si>
  <si>
    <t>VLPLW2627/1165</t>
  </si>
  <si>
    <t>VLPLW2627/1166</t>
  </si>
  <si>
    <t xml:space="preserve">VLPLW2627/1167  </t>
  </si>
  <si>
    <t>VLPLW2627/1168</t>
  </si>
  <si>
    <t>VLPLW2627/1169</t>
  </si>
  <si>
    <t>VLPLW2627/1170</t>
  </si>
  <si>
    <t xml:space="preserve">VLPLW2627/1171  </t>
  </si>
  <si>
    <t>VLPLW2627/1172</t>
  </si>
  <si>
    <t>VLPLW2627/1173</t>
  </si>
  <si>
    <t xml:space="preserve">VLPLW2627/1174  </t>
  </si>
  <si>
    <t xml:space="preserve">VLPLW2627/1175  </t>
  </si>
  <si>
    <t xml:space="preserve">VLPLW2627/1176  </t>
  </si>
  <si>
    <t>VLPLW2627/1177</t>
  </si>
  <si>
    <t xml:space="preserve">VLPLW2627/1180  </t>
  </si>
  <si>
    <t>VLPLW2627/1181</t>
  </si>
  <si>
    <t xml:space="preserve">VLPLW2627/1182  </t>
  </si>
  <si>
    <t>VLPLW2627/1183</t>
  </si>
  <si>
    <t>VLPLW2627/1189</t>
  </si>
  <si>
    <t>PUN-26-27-648</t>
  </si>
  <si>
    <t>PUN-26-27-0647</t>
  </si>
  <si>
    <t>PUN-26-27-0649</t>
  </si>
  <si>
    <t>MP09GA7262</t>
  </si>
  <si>
    <t>PUN-26-27-0650</t>
  </si>
  <si>
    <t>PUN-26-27-652</t>
  </si>
  <si>
    <t>PUN-26-27-0651</t>
  </si>
  <si>
    <t xml:space="preserve">VLPLW2627/1185 </t>
  </si>
  <si>
    <t>mh12tv9444</t>
  </si>
  <si>
    <t>VLPLW2627/1186</t>
  </si>
  <si>
    <t>mh24au1187</t>
  </si>
  <si>
    <t>VLPLW2627/1187</t>
  </si>
  <si>
    <t>VLPLW2627/1188</t>
  </si>
  <si>
    <t>VLPLW2627/1190</t>
  </si>
  <si>
    <t>MH20GZ4417</t>
  </si>
  <si>
    <t>VLPLW2627/1191</t>
  </si>
  <si>
    <t>VLPLW2627/1192</t>
  </si>
  <si>
    <t>MH42BU1318</t>
  </si>
  <si>
    <t>PUN-26-27-0653</t>
  </si>
  <si>
    <t>PUN-26-27-0654</t>
  </si>
  <si>
    <t>MP43ZL8311</t>
  </si>
  <si>
    <t>VLPLW2627/1193</t>
  </si>
  <si>
    <t>VLPLW2627/1194</t>
  </si>
  <si>
    <t>VLPLW2627/1195</t>
  </si>
  <si>
    <t>VLPLW2627/1196</t>
  </si>
  <si>
    <t>mh20el4270</t>
  </si>
  <si>
    <t>VLPLW2627/1197</t>
  </si>
  <si>
    <t>VLPLW2627/1198</t>
  </si>
  <si>
    <t>VLPLW2627/1199</t>
  </si>
  <si>
    <t>VLPLW2627/1200</t>
  </si>
  <si>
    <t>VLPLW2627/1201</t>
  </si>
  <si>
    <t>VLPLW2627/1202</t>
  </si>
  <si>
    <t>VLPLW2627/1203</t>
  </si>
  <si>
    <t>VLPLW2627/1204</t>
  </si>
  <si>
    <t>VLPLW2627/1205</t>
  </si>
  <si>
    <t>VLPLW2627/1206</t>
  </si>
  <si>
    <t>VLPLW2627/1207</t>
  </si>
  <si>
    <t>VLPLW2627/18301</t>
  </si>
  <si>
    <t>VLPLW2627/18302</t>
  </si>
  <si>
    <t>mh16cc2151</t>
  </si>
  <si>
    <t>VLPLW2627/18303</t>
  </si>
  <si>
    <t>mh21bh2864</t>
  </si>
  <si>
    <t>VLPLW2627/18304</t>
  </si>
  <si>
    <t>VLPLW2627/18305</t>
  </si>
  <si>
    <t>VLPLW2627/18307</t>
  </si>
  <si>
    <t>VLPLW2627/18306</t>
  </si>
  <si>
    <t>PUN-26-27-0656</t>
  </si>
  <si>
    <t>VLPLW2627/1208</t>
  </si>
  <si>
    <t>mh20gc0631</t>
  </si>
  <si>
    <t>VLPLW2627/1209</t>
  </si>
  <si>
    <t>PUN-26-27-0657</t>
  </si>
  <si>
    <t>VLPLW2627/1210</t>
  </si>
  <si>
    <t>mh46cu8569</t>
  </si>
  <si>
    <t>VLPLW2627/1211</t>
  </si>
  <si>
    <t>VLPLW2627/1212</t>
  </si>
  <si>
    <t>MP43ZN5363</t>
  </si>
  <si>
    <t>PUN-26-27-0658</t>
  </si>
  <si>
    <t>VLPLW2627/1213</t>
  </si>
  <si>
    <t>mh16cd4594</t>
  </si>
  <si>
    <t>VLPLW2627/1214</t>
  </si>
  <si>
    <t>mh20el6729</t>
  </si>
  <si>
    <t>VLPLW2627/1215</t>
  </si>
  <si>
    <t>VLPLW2627/1216</t>
  </si>
  <si>
    <t> Waluj To Tata</t>
  </si>
  <si>
    <t>MP13DQ9687</t>
  </si>
  <si>
    <t>PUN-26-27-0655</t>
  </si>
  <si>
    <t>mh28cf0208</t>
  </si>
  <si>
    <t>VLPLW2627/1217</t>
  </si>
  <si>
    <t>VLPLW2627/1218</t>
  </si>
  <si>
    <t>VLPLW2627/1219</t>
  </si>
  <si>
    <t>VLPLW2627/1220</t>
  </si>
  <si>
    <t>MP43ZK5056</t>
  </si>
  <si>
    <t>PUN-26-27-0662</t>
  </si>
  <si>
    <t>VLPLW2627/1222</t>
  </si>
  <si>
    <t>PUN-26-27-0663</t>
  </si>
  <si>
    <t>PUN-26-27-0664</t>
  </si>
  <si>
    <t>VLPLW2627/1223</t>
  </si>
  <si>
    <t>VLPLW2627/1224</t>
  </si>
  <si>
    <t>mh45x0896</t>
  </si>
  <si>
    <t>VLPLW2627/1221</t>
  </si>
  <si>
    <t>VLPLW2627/1225</t>
  </si>
  <si>
    <t>VLPLW2627/1227</t>
  </si>
  <si>
    <t>MH17CV2719</t>
  </si>
  <si>
    <t>VLPLW2627/1226</t>
  </si>
  <si>
    <t>VLPLW2627/1230</t>
  </si>
  <si>
    <t>VLPLW2627/1228</t>
  </si>
  <si>
    <t>VLPLW2627/1232</t>
  </si>
  <si>
    <t>VLPLW2627/1233</t>
  </si>
  <si>
    <t>mh57b0397</t>
  </si>
  <si>
    <t>VLPLW2627/1234</t>
  </si>
  <si>
    <t>PUN-26-27-0665</t>
  </si>
  <si>
    <t>VLPLW2627/1229</t>
  </si>
  <si>
    <t>PUN-26-27-0666</t>
  </si>
  <si>
    <t>MH28BB87442</t>
  </si>
  <si>
    <t>VL/MH/26-27/0232</t>
  </si>
  <si>
    <t>VL/MH/26-27/0258</t>
  </si>
  <si>
    <t>VL/MH/26-27/0221</t>
  </si>
  <si>
    <t>VL/MH/26-27/0237</t>
  </si>
  <si>
    <t>VL/MH/26-27/0256</t>
  </si>
  <si>
    <t>VL/MH/26-27/0266</t>
  </si>
  <si>
    <t>VL/MH/26-27/0254</t>
  </si>
  <si>
    <t>VL/MH/26-27/0262</t>
  </si>
  <si>
    <t>VL/MH/26-27/0247</t>
  </si>
  <si>
    <t>VL/MH/26-27/0244</t>
  </si>
  <si>
    <t>VL/MH/26-27/0229</t>
  </si>
  <si>
    <t>VL/MH/26-27/0265</t>
  </si>
  <si>
    <t>VL/MH/26-27/0241</t>
  </si>
  <si>
    <t>VL/MH/26-27/0240</t>
  </si>
  <si>
    <t>VL/MH/26-27/0243</t>
  </si>
  <si>
    <t>VL/MH/26-27/0227</t>
  </si>
  <si>
    <t>VL/MH/26-27/0222</t>
  </si>
  <si>
    <t>VL/MH/26-27/0259</t>
  </si>
  <si>
    <t>VL/MH/26-27/0230</t>
  </si>
  <si>
    <t>VL/MH/26-27/0242</t>
  </si>
  <si>
    <t>VL/MH/26-27/0233</t>
  </si>
  <si>
    <t>VL/MH/26-27/0236</t>
  </si>
  <si>
    <t>VL/MH/26-27/0252</t>
  </si>
  <si>
    <t>VL/MH/26-27/0253</t>
  </si>
  <si>
    <t>VL/MH/26-27/0228</t>
  </si>
  <si>
    <t>VL/MH/26-27/0255</t>
  </si>
  <si>
    <t>VL/MH/26-27/0245</t>
  </si>
  <si>
    <t>VL/MH/26-27/0267</t>
  </si>
  <si>
    <t>VL/MH/26-27/0307</t>
  </si>
  <si>
    <t>VL/MH/26-27/0260</t>
  </si>
  <si>
    <t>VL/MH/26-27/0246</t>
  </si>
  <si>
    <t>VL/MH/26-27/0261</t>
  </si>
  <si>
    <t>VL/MH/26-27/0231</t>
  </si>
  <si>
    <t>VL/MH/26-27/0226</t>
  </si>
  <si>
    <t>VL/MH/26-27/0234</t>
  </si>
  <si>
    <t>VL/MH/26-27/0239</t>
  </si>
  <si>
    <t>VL/MH/26-27/0248</t>
  </si>
  <si>
    <t>VL/MH/26-27/0263</t>
  </si>
  <si>
    <t>VL/MH/26-27/0225</t>
  </si>
  <si>
    <t>VL/MH/26-27/0235</t>
  </si>
  <si>
    <t>VL/MH/26-27/0264</t>
  </si>
  <si>
    <t>VL/MH/26-27/0249</t>
  </si>
  <si>
    <t>VL/MH/26-27/0257</t>
  </si>
  <si>
    <t>VL/MH/26-27/0224</t>
  </si>
  <si>
    <t>VL/MH/26-27/0250</t>
  </si>
  <si>
    <t>VL/MH/26-27/0238</t>
  </si>
  <si>
    <t>VL/MH/26-27/0251</t>
  </si>
  <si>
    <t>VL/MH/26-27/0284</t>
  </si>
  <si>
    <t>PUN-26-27-0690</t>
  </si>
  <si>
    <t>PUN-26-27-0689</t>
  </si>
  <si>
    <t>VLPLW2627/1235</t>
  </si>
  <si>
    <t>MH20GZ0237</t>
  </si>
  <si>
    <t>VLPLW2627/1238</t>
  </si>
  <si>
    <t>hp12j8809</t>
  </si>
  <si>
    <t>VLPLW2627/1239</t>
  </si>
  <si>
    <t>VLPLW2627/1240</t>
  </si>
  <si>
    <t>mh45ax3587</t>
  </si>
  <si>
    <t>VLPLW2627/1241</t>
  </si>
  <si>
    <t>VLPLW2627/1242</t>
  </si>
  <si>
    <t>VLPLW2627/1244</t>
  </si>
  <si>
    <t>VLPLW2627/1245</t>
  </si>
  <si>
    <t>mh12hd5450</t>
  </si>
  <si>
    <t>VLPLW2627/1246</t>
  </si>
  <si>
    <t>mh20gc1373</t>
  </si>
  <si>
    <t>VLPLW2627/1248</t>
  </si>
  <si>
    <t>VLPLW2627/1249</t>
  </si>
  <si>
    <t>VLPLW2627/1237</t>
  </si>
  <si>
    <t>VLPLW2627/1243</t>
  </si>
  <si>
    <t>VLPLW2627/1247</t>
  </si>
  <si>
    <t>VLPLW2627/1250</t>
  </si>
  <si>
    <t>VLPLW2627/1251</t>
  </si>
  <si>
    <t>VLPLW2627/1252</t>
  </si>
  <si>
    <t>VLPLW2627/1253</t>
  </si>
  <si>
    <t>mh20de1411</t>
  </si>
  <si>
    <t>VLPLW2627/1254</t>
  </si>
  <si>
    <t>mh16dp3437</t>
  </si>
  <si>
    <t>VLPLW2627/1255</t>
  </si>
  <si>
    <t>VLPLW2627/1256</t>
  </si>
  <si>
    <t>mh20gz2756</t>
  </si>
  <si>
    <t>VLPLW2627/1259</t>
  </si>
  <si>
    <t>VLPLW2627/1257</t>
  </si>
  <si>
    <t>mh1au7298</t>
  </si>
  <si>
    <t>VLPLW2627/1258</t>
  </si>
  <si>
    <t>mh17cv8062</t>
  </si>
  <si>
    <t>MH14LB7522</t>
  </si>
  <si>
    <t>PUN-26-27-0691</t>
  </si>
  <si>
    <t>PUN-26-27-0692</t>
  </si>
  <si>
    <t>MP46ZC1605</t>
  </si>
  <si>
    <t>PUN-26-27-0693</t>
  </si>
  <si>
    <t>VLPLW2627/1236</t>
  </si>
  <si>
    <t>VLPLW2627/1260</t>
  </si>
  <si>
    <t>PUN-26-27-0694</t>
  </si>
  <si>
    <t>Endurance Narsapur</t>
  </si>
  <si>
    <t>Endurance K-228</t>
  </si>
  <si>
    <t>VLPLW2627/1261</t>
  </si>
  <si>
    <t>VLPLW2627/1262</t>
  </si>
  <si>
    <t>VLPLW2627/1263</t>
  </si>
  <si>
    <t>VLPLW2627/1264</t>
  </si>
  <si>
    <t>mh13ep1967</t>
  </si>
  <si>
    <t>VLPLW2627/1265</t>
  </si>
  <si>
    <t>mh11dd4322</t>
  </si>
  <si>
    <t>VLPLW2627/1271</t>
  </si>
  <si>
    <t>VLPLW2627/1266</t>
  </si>
  <si>
    <t>VLPLW2627/1273</t>
  </si>
  <si>
    <t>mh20gc8847</t>
  </si>
  <si>
    <t>VLPLW2627/1267</t>
  </si>
  <si>
    <t>VLPLW2627/1268</t>
  </si>
  <si>
    <t>VLPLW2627/1269</t>
  </si>
  <si>
    <t>VLPLW2627/1270</t>
  </si>
  <si>
    <t>VLPLW2627/1272</t>
  </si>
  <si>
    <t>VLPLW2627/18308</t>
  </si>
  <si>
    <t>MH20GZ1521</t>
  </si>
  <si>
    <t>VLPLW2627/18309</t>
  </si>
  <si>
    <t>MH16CD7337</t>
  </si>
  <si>
    <t>VLPLW2627/18313</t>
  </si>
  <si>
    <t>VLPLW2627/18314</t>
  </si>
  <si>
    <t>MH12YB1959</t>
  </si>
  <si>
    <t>MH16CD7301</t>
  </si>
  <si>
    <t>VLPLW2627/18315</t>
  </si>
  <si>
    <t>VLPLW2627/18316</t>
  </si>
  <si>
    <t>mh16cd3533</t>
  </si>
  <si>
    <t>VLPLW2627/18311</t>
  </si>
  <si>
    <t>VLPLW2627/18312</t>
  </si>
  <si>
    <t>VLPLW2627/18310</t>
  </si>
  <si>
    <t>VLPLW2627/18317</t>
  </si>
  <si>
    <t>PUN-26-27-0695</t>
  </si>
  <si>
    <t>B1/3 TO Bangalore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</si>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</sst>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9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b/>
      <sz val="10"/>
      <name val="Aptos"/>
      <family val="2"/>
    </font>
    <font>
      <sz val="10"/>
      <name val="Aptos"/>
      <family val="2"/>
    </font>
    <font>
      <b/>
      <sz val="10"/>
      <name val="Apdot"/>
    </font>
    <font>
      <sz val="11"/>
      <color theme="1"/>
      <name val="Apdot"/>
    </font>
    <font>
      <sz val="11"/>
      <color rgb="FF000000"/>
      <name val="Mangal"/>
      <family val="2"/>
      <scheme val="minor"/>
    </font>
    <font>
      <sz val="12"/>
      <color rgb="FF000000"/>
      <name val="Aptos"/>
      <family val="2"/>
    </font>
    <font>
      <b/>
      <sz val="11"/>
      <color theme="1"/>
      <name val="Mangal"/>
      <family val="2"/>
      <scheme val="minor"/>
    </font>
    <font>
      <sz val="11"/>
      <color rgb="FF000000"/>
      <name val="Aptos"/>
      <family val="2"/>
    </font>
    <font>
      <b/>
      <sz val="12"/>
      <color rgb="FF000000"/>
      <name val="Mangal"/>
      <family val="2"/>
      <scheme val="minor"/>
    </font>
    <font>
      <b/>
      <sz val="11"/>
      <color theme="1"/>
      <name val="Apdot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FF0000"/>
      <name val="Aptos"/>
      <family val="2"/>
    </font>
    <font>
      <b/>
      <sz val="11"/>
      <color rgb="FF000000"/>
      <name val="Aptos"/>
      <family val="2"/>
    </font>
    <font>
      <sz val="11"/>
      <color theme="1" tint="4.9989318521683403E-2"/>
      <name val="Aptos"/>
      <family val="2"/>
    </font>
    <font>
      <b/>
      <sz val="12"/>
      <color rgb="FF000000"/>
      <name val="Aptos"/>
      <family val="2"/>
    </font>
    <font>
      <b/>
      <sz val="11"/>
      <color theme="1" tint="4.9989318521683403E-2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1" applyNumberFormat="1" applyFont="1"/>
    <xf numFmtId="0" fontId="2" fillId="2" borderId="2" xfId="0" applyFont="1" applyFill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165" fontId="1" fillId="0" borderId="2" xfId="1" applyNumberFormat="1" applyFont="1" applyBorder="1"/>
    <xf numFmtId="0" fontId="0" fillId="0" borderId="2" xfId="0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20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0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4" fillId="2" borderId="2" xfId="1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5" fontId="4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4" fontId="5" fillId="0" borderId="2" xfId="0" applyNumberFormat="1" applyFont="1" applyBorder="1"/>
    <xf numFmtId="165" fontId="5" fillId="0" borderId="2" xfId="1" applyNumberFormat="1" applyFont="1" applyBorder="1"/>
    <xf numFmtId="0" fontId="5" fillId="0" borderId="2" xfId="0" applyFont="1" applyBorder="1" applyAlignment="1">
      <alignment vertical="top"/>
    </xf>
    <xf numFmtId="0" fontId="6" fillId="0" borderId="0" xfId="0" applyFont="1"/>
    <xf numFmtId="0" fontId="5" fillId="3" borderId="2" xfId="0" applyFont="1" applyFill="1" applyBorder="1"/>
    <xf numFmtId="0" fontId="7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4" borderId="2" xfId="0" applyFill="1" applyBorder="1"/>
    <xf numFmtId="0" fontId="0" fillId="4" borderId="0" xfId="0" applyFill="1"/>
    <xf numFmtId="14" fontId="0" fillId="4" borderId="2" xfId="0" applyNumberFormat="1" applyFill="1" applyBorder="1"/>
    <xf numFmtId="165" fontId="1" fillId="4" borderId="2" xfId="1" applyNumberFormat="1" applyFont="1" applyFill="1" applyBorder="1"/>
    <xf numFmtId="0" fontId="0" fillId="4" borderId="2" xfId="0" applyFill="1" applyBorder="1" applyAlignment="1">
      <alignment horizontal="left"/>
    </xf>
    <xf numFmtId="0" fontId="6" fillId="4" borderId="0" xfId="0" applyFont="1" applyFill="1"/>
    <xf numFmtId="14" fontId="8" fillId="0" borderId="2" xfId="0" applyNumberFormat="1" applyFont="1" applyBorder="1"/>
    <xf numFmtId="0" fontId="7" fillId="5" borderId="3" xfId="0" applyFont="1" applyFill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 readingOrder="1"/>
    </xf>
    <xf numFmtId="0" fontId="9" fillId="0" borderId="0" xfId="0" applyFont="1"/>
    <xf numFmtId="0" fontId="7" fillId="4" borderId="0" xfId="0" applyFont="1" applyFill="1"/>
    <xf numFmtId="0" fontId="8" fillId="0" borderId="0" xfId="0" applyFont="1"/>
    <xf numFmtId="0" fontId="5" fillId="4" borderId="2" xfId="0" applyFont="1" applyFill="1" applyBorder="1"/>
    <xf numFmtId="0" fontId="10" fillId="0" borderId="0" xfId="0" applyFont="1"/>
    <xf numFmtId="0" fontId="11" fillId="0" borderId="2" xfId="0" applyFont="1" applyBorder="1"/>
    <xf numFmtId="0" fontId="11" fillId="0" borderId="2" xfId="0" applyFont="1" applyBorder="1" applyAlignment="1">
      <alignment vertical="top"/>
    </xf>
    <xf numFmtId="0" fontId="11" fillId="4" borderId="2" xfId="0" applyFont="1" applyFill="1" applyBorder="1"/>
    <xf numFmtId="14" fontId="11" fillId="0" borderId="2" xfId="0" applyNumberFormat="1" applyFont="1" applyBorder="1"/>
    <xf numFmtId="165" fontId="11" fillId="0" borderId="2" xfId="1" applyNumberFormat="1" applyFont="1" applyBorder="1"/>
    <xf numFmtId="0" fontId="12" fillId="2" borderId="2" xfId="0" applyFont="1" applyFill="1" applyBorder="1"/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0" fontId="12" fillId="4" borderId="2" xfId="0" applyFont="1" applyFill="1" applyBorder="1"/>
    <xf numFmtId="0" fontId="12" fillId="4" borderId="0" xfId="0" applyFont="1" applyFill="1"/>
    <xf numFmtId="14" fontId="12" fillId="4" borderId="2" xfId="0" applyNumberFormat="1" applyFont="1" applyFill="1" applyBorder="1"/>
    <xf numFmtId="0" fontId="12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165" fontId="12" fillId="0" borderId="2" xfId="1" applyNumberFormat="1" applyFont="1" applyBorder="1"/>
    <xf numFmtId="0" fontId="9" fillId="4" borderId="0" xfId="0" applyFont="1" applyFill="1"/>
    <xf numFmtId="0" fontId="12" fillId="4" borderId="2" xfId="0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165" fontId="12" fillId="4" borderId="2" xfId="1" applyNumberFormat="1" applyFont="1" applyFill="1" applyBorder="1"/>
    <xf numFmtId="14" fontId="13" fillId="0" borderId="2" xfId="0" applyNumberFormat="1" applyFont="1" applyBorder="1"/>
    <xf numFmtId="0" fontId="12" fillId="0" borderId="0" xfId="0" applyFont="1" applyAlignment="1">
      <alignment horizontal="left"/>
    </xf>
    <xf numFmtId="0" fontId="14" fillId="0" borderId="2" xfId="0" applyFont="1" applyBorder="1"/>
    <xf numFmtId="0" fontId="14" fillId="0" borderId="0" xfId="0" applyFont="1"/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14" fontId="14" fillId="0" borderId="2" xfId="0" applyNumberFormat="1" applyFont="1" applyBorder="1"/>
    <xf numFmtId="165" fontId="14" fillId="0" borderId="2" xfId="1" applyNumberFormat="1" applyFont="1" applyBorder="1"/>
    <xf numFmtId="0" fontId="12" fillId="4" borderId="0" xfId="0" applyFont="1" applyFill="1" applyAlignment="1">
      <alignment horizontal="left"/>
    </xf>
    <xf numFmtId="0" fontId="13" fillId="0" borderId="0" xfId="0" applyFont="1"/>
    <xf numFmtId="0" fontId="13" fillId="0" borderId="2" xfId="0" applyFont="1" applyBorder="1"/>
    <xf numFmtId="0" fontId="15" fillId="0" borderId="0" xfId="0" applyFont="1"/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left"/>
    </xf>
    <xf numFmtId="165" fontId="13" fillId="0" borderId="2" xfId="1" applyNumberFormat="1" applyFont="1" applyBorder="1"/>
    <xf numFmtId="0" fontId="12" fillId="0" borderId="2" xfId="0" applyFont="1" applyBorder="1" applyAlignment="1">
      <alignment horizontal="center"/>
    </xf>
    <xf numFmtId="0" fontId="12" fillId="3" borderId="2" xfId="0" applyFont="1" applyFill="1" applyBorder="1"/>
    <xf numFmtId="2" fontId="12" fillId="0" borderId="2" xfId="0" applyNumberFormat="1" applyFont="1" applyBorder="1"/>
    <xf numFmtId="0" fontId="12" fillId="4" borderId="2" xfId="0" applyFont="1" applyFill="1" applyBorder="1" applyAlignment="1">
      <alignment horizontal="center"/>
    </xf>
    <xf numFmtId="0" fontId="9" fillId="3" borderId="0" xfId="0" applyFont="1" applyFill="1"/>
    <xf numFmtId="0" fontId="12" fillId="3" borderId="0" xfId="0" applyFont="1" applyFill="1"/>
    <xf numFmtId="0" fontId="16" fillId="0" borderId="2" xfId="0" applyFont="1" applyBorder="1"/>
    <xf numFmtId="0" fontId="9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6" fillId="0" borderId="0" xfId="0" applyFont="1"/>
    <xf numFmtId="0" fontId="16" fillId="0" borderId="2" xfId="0" applyFont="1" applyBorder="1" applyAlignment="1">
      <alignment horizontal="center"/>
    </xf>
    <xf numFmtId="0" fontId="16" fillId="3" borderId="0" xfId="0" applyFont="1" applyFill="1" applyAlignment="1">
      <alignment horizontal="left"/>
    </xf>
    <xf numFmtId="14" fontId="16" fillId="0" borderId="2" xfId="0" applyNumberFormat="1" applyFont="1" applyBorder="1"/>
    <xf numFmtId="165" fontId="16" fillId="0" borderId="2" xfId="1" applyNumberFormat="1" applyFont="1" applyBorder="1"/>
    <xf numFmtId="0" fontId="16" fillId="4" borderId="2" xfId="0" applyFont="1" applyFill="1" applyBorder="1"/>
    <xf numFmtId="0" fontId="16" fillId="4" borderId="0" xfId="0" applyFont="1" applyFill="1"/>
    <xf numFmtId="0" fontId="16" fillId="4" borderId="2" xfId="0" applyFont="1" applyFill="1" applyBorder="1" applyAlignment="1">
      <alignment horizontal="center"/>
    </xf>
    <xf numFmtId="14" fontId="16" fillId="4" borderId="2" xfId="0" applyNumberFormat="1" applyFont="1" applyFill="1" applyBorder="1"/>
    <xf numFmtId="165" fontId="16" fillId="4" borderId="2" xfId="1" applyNumberFormat="1" applyFont="1" applyFill="1" applyBorder="1"/>
    <xf numFmtId="0" fontId="16" fillId="0" borderId="0" xfId="0" applyFont="1" applyAlignment="1">
      <alignment horizontal="left"/>
    </xf>
    <xf numFmtId="0" fontId="16" fillId="4" borderId="0" xfId="0" applyFont="1" applyFill="1" applyAlignment="1">
      <alignment horizontal="left"/>
    </xf>
    <xf numFmtId="2" fontId="12" fillId="4" borderId="2" xfId="0" applyNumberFormat="1" applyFont="1" applyFill="1" applyBorder="1"/>
    <xf numFmtId="0" fontId="7" fillId="0" borderId="0" xfId="0" applyFont="1" applyAlignment="1">
      <alignment horizontal="left" vertical="center" wrapText="1" readingOrder="1"/>
    </xf>
    <xf numFmtId="0" fontId="17" fillId="0" borderId="0" xfId="0" applyFont="1"/>
    <xf numFmtId="0" fontId="13" fillId="0" borderId="2" xfId="0" applyFont="1" applyBorder="1" applyAlignment="1">
      <alignment horizontal="center"/>
    </xf>
    <xf numFmtId="0" fontId="18" fillId="0" borderId="0" xfId="0" applyFont="1" applyAlignment="1">
      <alignment horizontal="left"/>
    </xf>
    <xf numFmtId="14" fontId="18" fillId="0" borderId="2" xfId="0" applyNumberFormat="1" applyFont="1" applyBorder="1"/>
    <xf numFmtId="0" fontId="18" fillId="0" borderId="2" xfId="0" applyFont="1" applyBorder="1"/>
    <xf numFmtId="2" fontId="13" fillId="0" borderId="2" xfId="0" applyNumberFormat="1" applyFont="1" applyBorder="1"/>
    <xf numFmtId="0" fontId="18" fillId="0" borderId="2" xfId="0" applyFont="1" applyBorder="1" applyAlignment="1">
      <alignment horizontal="center"/>
    </xf>
    <xf numFmtId="0" fontId="18" fillId="0" borderId="0" xfId="0" applyFont="1"/>
    <xf numFmtId="165" fontId="18" fillId="0" borderId="2" xfId="1" applyNumberFormat="1" applyFont="1" applyBorder="1"/>
    <xf numFmtId="0" fontId="1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9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#Transport Business Tracker 2026-2027.xlsx 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 Aurangabad"/>
      <sheetName val="MIS Sanjeev Auto"/>
      <sheetName val="MIS Reliable"/>
      <sheetName val="MIS Eaton"/>
      <sheetName val="POD Pending Report"/>
    </sheetNames>
    <sheetDataSet>
      <sheetData sheetId="0"/>
      <sheetData sheetId="1">
        <row r="1">
          <cell r="H1" t="str">
            <v>LR No</v>
          </cell>
          <cell r="I1" t="str">
            <v>LR Date</v>
          </cell>
          <cell r="J1" t="str">
            <v>Ageing</v>
          </cell>
          <cell r="K1" t="str">
            <v>POD Soft Copy Recd Date</v>
          </cell>
          <cell r="L1" t="str">
            <v>Origin to Destination</v>
          </cell>
          <cell r="M1" t="str">
            <v>Total 
Trasport Charges</v>
          </cell>
          <cell r="N1" t="str">
            <v>Transport Advance Paid</v>
          </cell>
          <cell r="O1" t="str">
            <v>Advance Paid Date</v>
          </cell>
          <cell r="P1" t="str">
            <v>TransportBalance Payment</v>
          </cell>
          <cell r="Q1" t="str">
            <v>Balance Paid Date</v>
          </cell>
          <cell r="R1" t="str">
            <v>Customer Name (Billing From Vistar)</v>
          </cell>
          <cell r="S1" t="str">
            <v>Vistar Billing Amount</v>
          </cell>
          <cell r="T1" t="str">
            <v>Vistar Bill No</v>
          </cell>
          <cell r="U1" t="str">
            <v>Vistar Bill Date</v>
          </cell>
        </row>
        <row r="2">
          <cell r="H2">
            <v>16884</v>
          </cell>
          <cell r="I2">
            <v>46113</v>
          </cell>
          <cell r="J2">
            <v>65</v>
          </cell>
          <cell r="K2">
            <v>46129</v>
          </cell>
          <cell r="L2" t="str">
            <v>G168 To  Hosur</v>
          </cell>
          <cell r="M2">
            <v>39000</v>
          </cell>
          <cell r="N2">
            <v>34000</v>
          </cell>
          <cell r="O2">
            <v>46113</v>
          </cell>
          <cell r="P2">
            <v>5000</v>
          </cell>
          <cell r="Q2">
            <v>46141</v>
          </cell>
          <cell r="R2" t="str">
            <v>Sanjeev Auto</v>
          </cell>
          <cell r="S2">
            <v>46000</v>
          </cell>
          <cell r="T2" t="str">
            <v>VL/MH/26-27/0018</v>
          </cell>
          <cell r="U2">
            <v>46129</v>
          </cell>
        </row>
        <row r="3">
          <cell r="H3">
            <v>16889</v>
          </cell>
          <cell r="I3">
            <v>46116</v>
          </cell>
          <cell r="J3">
            <v>62</v>
          </cell>
          <cell r="K3">
            <v>46129</v>
          </cell>
          <cell r="L3" t="str">
            <v> g168 To  hosur</v>
          </cell>
          <cell r="M3">
            <v>19000</v>
          </cell>
          <cell r="N3">
            <v>17000</v>
          </cell>
          <cell r="O3">
            <v>46116</v>
          </cell>
          <cell r="P3">
            <v>2000</v>
          </cell>
          <cell r="Q3">
            <v>46141</v>
          </cell>
          <cell r="R3" t="str">
            <v>Sanjeev Auto</v>
          </cell>
          <cell r="S3">
            <v>22000</v>
          </cell>
          <cell r="T3" t="str">
            <v>VL/MH/26-27/0015</v>
          </cell>
          <cell r="U3">
            <v>46129</v>
          </cell>
        </row>
        <row r="4">
          <cell r="H4">
            <v>16890</v>
          </cell>
          <cell r="I4">
            <v>46116</v>
          </cell>
          <cell r="J4">
            <v>62</v>
          </cell>
          <cell r="K4">
            <v>46129</v>
          </cell>
          <cell r="L4" t="str">
            <v> g168 To  hosur</v>
          </cell>
          <cell r="M4">
            <v>19000</v>
          </cell>
          <cell r="N4">
            <v>17000</v>
          </cell>
          <cell r="O4">
            <v>46116</v>
          </cell>
          <cell r="P4">
            <v>2000</v>
          </cell>
          <cell r="Q4">
            <v>46141</v>
          </cell>
          <cell r="R4" t="str">
            <v>Sanjeev Auto</v>
          </cell>
          <cell r="S4">
            <v>22000</v>
          </cell>
          <cell r="T4" t="str">
            <v>VL/MH/26-27/0015</v>
          </cell>
          <cell r="U4">
            <v>46129</v>
          </cell>
        </row>
        <row r="5">
          <cell r="H5">
            <v>16891</v>
          </cell>
          <cell r="I5">
            <v>46114</v>
          </cell>
          <cell r="J5">
            <v>64</v>
          </cell>
          <cell r="K5">
            <v>46129</v>
          </cell>
          <cell r="L5" t="str">
            <v>Sanjeev Auto To Sanjeev Auto Hosur</v>
          </cell>
          <cell r="M5">
            <v>27500</v>
          </cell>
          <cell r="N5">
            <v>24500</v>
          </cell>
          <cell r="O5">
            <v>46116</v>
          </cell>
          <cell r="P5">
            <v>3000</v>
          </cell>
          <cell r="Q5">
            <v>46141</v>
          </cell>
          <cell r="R5" t="str">
            <v>Sanjeev Auto</v>
          </cell>
          <cell r="S5">
            <v>32000</v>
          </cell>
          <cell r="T5" t="str">
            <v>VL/MH/26-27/0014</v>
          </cell>
          <cell r="U5">
            <v>46129</v>
          </cell>
        </row>
        <row r="6">
          <cell r="H6">
            <v>16892</v>
          </cell>
          <cell r="I6">
            <v>46116</v>
          </cell>
          <cell r="J6">
            <v>62</v>
          </cell>
          <cell r="K6">
            <v>46129</v>
          </cell>
          <cell r="L6" t="str">
            <v>Sanjeev Auto G168 To Sanjeev Auto Hosur  </v>
          </cell>
          <cell r="M6">
            <v>39000</v>
          </cell>
          <cell r="N6">
            <v>34000</v>
          </cell>
          <cell r="O6">
            <v>46116</v>
          </cell>
          <cell r="P6">
            <v>5000</v>
          </cell>
          <cell r="Q6">
            <v>46141</v>
          </cell>
          <cell r="R6" t="str">
            <v>Sanjeev Auto</v>
          </cell>
          <cell r="S6">
            <v>46000</v>
          </cell>
          <cell r="T6" t="str">
            <v>VL/MH/26-27/0018</v>
          </cell>
          <cell r="U6">
            <v>46129</v>
          </cell>
        </row>
        <row r="7">
          <cell r="H7">
            <v>16893</v>
          </cell>
          <cell r="I7">
            <v>46116</v>
          </cell>
          <cell r="J7">
            <v>62</v>
          </cell>
          <cell r="K7">
            <v>46129</v>
          </cell>
          <cell r="L7" t="str">
            <v> g168 To  hosur</v>
          </cell>
          <cell r="M7">
            <v>19000</v>
          </cell>
          <cell r="N7">
            <v>17000</v>
          </cell>
          <cell r="O7">
            <v>46118</v>
          </cell>
          <cell r="P7">
            <v>2000</v>
          </cell>
          <cell r="Q7">
            <v>46141</v>
          </cell>
          <cell r="R7" t="str">
            <v>Sanjeev Auto</v>
          </cell>
          <cell r="S7">
            <v>22000</v>
          </cell>
          <cell r="T7" t="str">
            <v>VL/MH/26-27/0015</v>
          </cell>
          <cell r="U7">
            <v>46129</v>
          </cell>
        </row>
        <row r="8">
          <cell r="H8">
            <v>16894</v>
          </cell>
          <cell r="I8">
            <v>46117</v>
          </cell>
          <cell r="J8">
            <v>61</v>
          </cell>
          <cell r="K8">
            <v>46129</v>
          </cell>
          <cell r="L8" t="str">
            <v> g168 To  hosur</v>
          </cell>
          <cell r="M8">
            <v>19000</v>
          </cell>
          <cell r="N8">
            <v>17000</v>
          </cell>
          <cell r="O8">
            <v>46118</v>
          </cell>
          <cell r="P8">
            <v>2000</v>
          </cell>
          <cell r="Q8">
            <v>46141</v>
          </cell>
          <cell r="R8" t="str">
            <v>Sanjeev Auto</v>
          </cell>
          <cell r="S8">
            <v>22000</v>
          </cell>
          <cell r="T8" t="str">
            <v>VL/MH/26-27/0016</v>
          </cell>
          <cell r="U8">
            <v>46129</v>
          </cell>
        </row>
        <row r="9">
          <cell r="H9">
            <v>16895</v>
          </cell>
          <cell r="I9">
            <v>46116</v>
          </cell>
          <cell r="J9">
            <v>62</v>
          </cell>
          <cell r="K9">
            <v>46129</v>
          </cell>
          <cell r="L9" t="str">
            <v>G168 To  Hosur</v>
          </cell>
          <cell r="M9">
            <v>39000</v>
          </cell>
          <cell r="N9">
            <v>34000</v>
          </cell>
          <cell r="O9">
            <v>46118</v>
          </cell>
          <cell r="P9">
            <v>5000</v>
          </cell>
          <cell r="Q9">
            <v>46141</v>
          </cell>
          <cell r="R9" t="str">
            <v>Sanjeev Auto</v>
          </cell>
          <cell r="S9">
            <v>46000</v>
          </cell>
          <cell r="T9" t="str">
            <v>VL/MH/26-27/0019</v>
          </cell>
          <cell r="U9">
            <v>46129</v>
          </cell>
        </row>
        <row r="10">
          <cell r="H10">
            <v>16896</v>
          </cell>
          <cell r="I10">
            <v>46114</v>
          </cell>
          <cell r="J10">
            <v>64</v>
          </cell>
          <cell r="K10">
            <v>46129</v>
          </cell>
          <cell r="L10" t="str">
            <v>Sanjeev Auto To Sanjeev Auto  Hosur</v>
          </cell>
          <cell r="M10">
            <v>27500</v>
          </cell>
          <cell r="N10">
            <v>24500</v>
          </cell>
          <cell r="O10">
            <v>46118</v>
          </cell>
          <cell r="P10">
            <v>3000</v>
          </cell>
          <cell r="Q10">
            <v>46141</v>
          </cell>
          <cell r="R10" t="str">
            <v>Sanjeev Auto</v>
          </cell>
          <cell r="S10">
            <v>32000</v>
          </cell>
          <cell r="T10" t="str">
            <v>VL/MH/26-27/0014</v>
          </cell>
          <cell r="U10">
            <v>46129</v>
          </cell>
        </row>
        <row r="11">
          <cell r="H11">
            <v>16897</v>
          </cell>
          <cell r="I11">
            <v>46118</v>
          </cell>
          <cell r="J11">
            <v>60</v>
          </cell>
          <cell r="K11">
            <v>46129</v>
          </cell>
          <cell r="L11" t="str">
            <v> g168 To  hosur</v>
          </cell>
          <cell r="M11">
            <v>19000</v>
          </cell>
          <cell r="N11">
            <v>17000</v>
          </cell>
          <cell r="O11">
            <v>46120</v>
          </cell>
          <cell r="P11">
            <v>2000</v>
          </cell>
          <cell r="Q11">
            <v>46141</v>
          </cell>
          <cell r="R11" t="str">
            <v>Sanjeev Auto</v>
          </cell>
          <cell r="S11">
            <v>22000</v>
          </cell>
          <cell r="T11" t="str">
            <v>VL/MH/26-27/0016</v>
          </cell>
          <cell r="U11">
            <v>46129</v>
          </cell>
        </row>
        <row r="12">
          <cell r="H12">
            <v>16898</v>
          </cell>
          <cell r="I12">
            <v>46118</v>
          </cell>
          <cell r="J12">
            <v>60</v>
          </cell>
          <cell r="K12">
            <v>46129</v>
          </cell>
          <cell r="L12" t="str">
            <v> g168 To  hosur</v>
          </cell>
          <cell r="M12">
            <v>19000</v>
          </cell>
          <cell r="N12">
            <v>17000</v>
          </cell>
          <cell r="O12">
            <v>46120</v>
          </cell>
          <cell r="P12">
            <v>2000</v>
          </cell>
          <cell r="Q12">
            <v>46141</v>
          </cell>
          <cell r="R12" t="str">
            <v>Sanjeev Auto</v>
          </cell>
          <cell r="S12">
            <v>22000</v>
          </cell>
          <cell r="T12" t="str">
            <v>VL/MH/26-27/0016</v>
          </cell>
          <cell r="U12">
            <v>46129</v>
          </cell>
        </row>
        <row r="13">
          <cell r="H13">
            <v>16899</v>
          </cell>
          <cell r="I13">
            <v>46119</v>
          </cell>
          <cell r="J13">
            <v>59</v>
          </cell>
          <cell r="K13">
            <v>46129</v>
          </cell>
          <cell r="L13" t="str">
            <v> g168 To  hosur</v>
          </cell>
          <cell r="M13">
            <v>19000</v>
          </cell>
          <cell r="N13">
            <v>17000</v>
          </cell>
          <cell r="O13">
            <v>46120</v>
          </cell>
          <cell r="P13">
            <v>2000</v>
          </cell>
          <cell r="Q13">
            <v>46141</v>
          </cell>
          <cell r="R13" t="str">
            <v>Sanjeev Auto</v>
          </cell>
          <cell r="S13">
            <v>22000</v>
          </cell>
          <cell r="T13" t="str">
            <v>VL/MH/26-27/0017</v>
          </cell>
          <cell r="U13">
            <v>46129</v>
          </cell>
        </row>
        <row r="14">
          <cell r="H14">
            <v>16900</v>
          </cell>
          <cell r="I14">
            <v>46119</v>
          </cell>
          <cell r="J14">
            <v>59</v>
          </cell>
          <cell r="K14">
            <v>46129</v>
          </cell>
          <cell r="L14" t="str">
            <v> g168 To  hosur</v>
          </cell>
          <cell r="M14">
            <v>19000</v>
          </cell>
          <cell r="N14">
            <v>17000</v>
          </cell>
          <cell r="O14">
            <v>46120</v>
          </cell>
          <cell r="P14">
            <v>2000</v>
          </cell>
          <cell r="Q14">
            <v>46141</v>
          </cell>
          <cell r="R14" t="str">
            <v>Sanjeev Auto</v>
          </cell>
          <cell r="S14">
            <v>22000</v>
          </cell>
          <cell r="T14" t="str">
            <v>VL/MH/26-27/0017</v>
          </cell>
          <cell r="U14">
            <v>46129</v>
          </cell>
        </row>
        <row r="15">
          <cell r="H15" t="str">
            <v>VLPLW-26-27-0001</v>
          </cell>
          <cell r="I15">
            <v>46119</v>
          </cell>
          <cell r="J15">
            <v>59</v>
          </cell>
          <cell r="K15">
            <v>46129</v>
          </cell>
          <cell r="L15" t="str">
            <v>G168 to Sanjeev Auto Hosur</v>
          </cell>
          <cell r="M15">
            <v>39000</v>
          </cell>
          <cell r="N15">
            <v>34000</v>
          </cell>
          <cell r="O15">
            <v>46121</v>
          </cell>
          <cell r="P15">
            <v>5000</v>
          </cell>
          <cell r="Q15">
            <v>46141</v>
          </cell>
          <cell r="R15" t="str">
            <v>Sanjeev Auto</v>
          </cell>
          <cell r="S15">
            <v>46000</v>
          </cell>
          <cell r="T15" t="str">
            <v>VL/MH/26-27/0019</v>
          </cell>
          <cell r="U15">
            <v>46129</v>
          </cell>
        </row>
        <row r="16">
          <cell r="H16" t="str">
            <v>VLPLW-26-27-0002</v>
          </cell>
          <cell r="I16">
            <v>46119</v>
          </cell>
          <cell r="J16">
            <v>59</v>
          </cell>
          <cell r="K16">
            <v>46129</v>
          </cell>
          <cell r="L16" t="str">
            <v>G168 to Sanjeev Auto Hosur</v>
          </cell>
          <cell r="M16">
            <v>39000</v>
          </cell>
          <cell r="N16">
            <v>34000</v>
          </cell>
          <cell r="O16">
            <v>46121</v>
          </cell>
          <cell r="P16">
            <v>5000</v>
          </cell>
          <cell r="Q16">
            <v>46141</v>
          </cell>
          <cell r="R16" t="str">
            <v>Sanjeev Auto</v>
          </cell>
          <cell r="S16">
            <v>46000</v>
          </cell>
          <cell r="T16" t="str">
            <v>VL/MH/26-27/0020</v>
          </cell>
          <cell r="U16">
            <v>46129</v>
          </cell>
        </row>
        <row r="17">
          <cell r="H17" t="str">
            <v>VLPLW-26-27-0003</v>
          </cell>
          <cell r="I17">
            <v>46120</v>
          </cell>
          <cell r="J17">
            <v>58</v>
          </cell>
          <cell r="K17">
            <v>46129</v>
          </cell>
          <cell r="L17" t="str">
            <v>G168 to Sanjeev Auto Hosur</v>
          </cell>
          <cell r="M17">
            <v>27500</v>
          </cell>
          <cell r="N17">
            <v>24500</v>
          </cell>
          <cell r="O17">
            <v>46121</v>
          </cell>
          <cell r="P17">
            <v>3000</v>
          </cell>
          <cell r="Q17">
            <v>46141</v>
          </cell>
          <cell r="R17" t="str">
            <v>Sanjeev Auto</v>
          </cell>
          <cell r="S17">
            <v>32000</v>
          </cell>
          <cell r="T17" t="str">
            <v>VL/MH/26-27/0013</v>
          </cell>
          <cell r="U17">
            <v>46129</v>
          </cell>
        </row>
        <row r="18">
          <cell r="H18" t="str">
            <v xml:space="preserve">VLPLW-26-27-0004 </v>
          </cell>
          <cell r="I18">
            <v>46120</v>
          </cell>
          <cell r="J18">
            <v>58</v>
          </cell>
          <cell r="K18" t="str">
            <v>Pending</v>
          </cell>
          <cell r="L18" t="str">
            <v> g168 To  hosur</v>
          </cell>
          <cell r="M18">
            <v>19000</v>
          </cell>
          <cell r="N18">
            <v>17000</v>
          </cell>
          <cell r="O18">
            <v>46122</v>
          </cell>
          <cell r="P18">
            <v>2000</v>
          </cell>
          <cell r="Q18" t="str">
            <v>Pending</v>
          </cell>
          <cell r="R18" t="str">
            <v>Sanjeev Auto</v>
          </cell>
          <cell r="S18">
            <v>22000</v>
          </cell>
          <cell r="T18" t="str">
            <v>Pending</v>
          </cell>
          <cell r="U18" t="str">
            <v>Pending</v>
          </cell>
        </row>
        <row r="19">
          <cell r="H19" t="str">
            <v>VLPLW-26-27-0005</v>
          </cell>
          <cell r="I19">
            <v>46120</v>
          </cell>
          <cell r="J19">
            <v>58</v>
          </cell>
          <cell r="K19">
            <v>46129</v>
          </cell>
          <cell r="L19" t="str">
            <v> g168 To  hosur</v>
          </cell>
          <cell r="M19">
            <v>19000</v>
          </cell>
          <cell r="N19">
            <v>17000</v>
          </cell>
          <cell r="O19">
            <v>46122</v>
          </cell>
          <cell r="P19">
            <v>2000</v>
          </cell>
          <cell r="Q19">
            <v>46141</v>
          </cell>
          <cell r="R19" t="str">
            <v>Sanjeev Auto</v>
          </cell>
          <cell r="S19">
            <v>22000</v>
          </cell>
          <cell r="T19" t="str">
            <v>VL/MH/26-27/0017</v>
          </cell>
          <cell r="U19">
            <v>46129</v>
          </cell>
        </row>
        <row r="20">
          <cell r="H20" t="str">
            <v xml:space="preserve">VLPLW-26-27-0006 </v>
          </cell>
          <cell r="I20">
            <v>46121</v>
          </cell>
          <cell r="J20">
            <v>57</v>
          </cell>
          <cell r="K20">
            <v>46162</v>
          </cell>
          <cell r="L20" t="str">
            <v>G168 To  Hosur</v>
          </cell>
          <cell r="M20">
            <v>39000</v>
          </cell>
          <cell r="N20">
            <v>34000</v>
          </cell>
          <cell r="O20">
            <v>46122</v>
          </cell>
          <cell r="P20">
            <v>5000</v>
          </cell>
          <cell r="Q20" t="str">
            <v>Pending</v>
          </cell>
          <cell r="R20" t="str">
            <v>Sanjeev Auto</v>
          </cell>
          <cell r="S20">
            <v>46000</v>
          </cell>
          <cell r="T20" t="str">
            <v>VL/MH/26-27/0190</v>
          </cell>
          <cell r="U20">
            <v>46162</v>
          </cell>
        </row>
        <row r="21">
          <cell r="H21" t="str">
            <v>VLPLW-26-27-0007</v>
          </cell>
          <cell r="I21">
            <v>46121</v>
          </cell>
          <cell r="J21">
            <v>57</v>
          </cell>
          <cell r="K21">
            <v>46162</v>
          </cell>
          <cell r="L21" t="str">
            <v> g168 To  hosur</v>
          </cell>
          <cell r="M21">
            <v>19000</v>
          </cell>
          <cell r="N21">
            <v>17000</v>
          </cell>
          <cell r="O21">
            <v>46122</v>
          </cell>
          <cell r="P21">
            <v>2000</v>
          </cell>
          <cell r="Q21" t="str">
            <v>Pending</v>
          </cell>
          <cell r="R21" t="str">
            <v>Sanjeev Auto</v>
          </cell>
          <cell r="S21">
            <v>22000</v>
          </cell>
          <cell r="T21" t="str">
            <v>VL/MH/26-27/0175</v>
          </cell>
          <cell r="U21">
            <v>46162</v>
          </cell>
        </row>
        <row r="22">
          <cell r="H22" t="str">
            <v>VLPLW-26-27-0008 </v>
          </cell>
          <cell r="I22">
            <v>46121</v>
          </cell>
          <cell r="J22">
            <v>57</v>
          </cell>
          <cell r="K22">
            <v>46162</v>
          </cell>
          <cell r="L22" t="str">
            <v> g168 To  hosur</v>
          </cell>
          <cell r="M22">
            <v>19000</v>
          </cell>
          <cell r="N22">
            <v>17000</v>
          </cell>
          <cell r="O22">
            <v>46122</v>
          </cell>
          <cell r="P22">
            <v>2000</v>
          </cell>
          <cell r="Q22" t="str">
            <v>Pending</v>
          </cell>
          <cell r="R22" t="str">
            <v>Sanjeev Auto</v>
          </cell>
          <cell r="S22">
            <v>22000</v>
          </cell>
          <cell r="T22" t="str">
            <v>VL/MH/26-27/0175</v>
          </cell>
          <cell r="U22">
            <v>46162</v>
          </cell>
        </row>
        <row r="23">
          <cell r="H23" t="str">
            <v xml:space="preserve">VLPLW-26-27-0009 </v>
          </cell>
          <cell r="I23">
            <v>46121</v>
          </cell>
          <cell r="J23">
            <v>57</v>
          </cell>
          <cell r="K23">
            <v>46129</v>
          </cell>
          <cell r="L23" t="str">
            <v> g168 To  hosur</v>
          </cell>
          <cell r="M23">
            <v>27500</v>
          </cell>
          <cell r="N23">
            <v>24500</v>
          </cell>
          <cell r="O23">
            <v>46122</v>
          </cell>
          <cell r="P23">
            <v>3000</v>
          </cell>
          <cell r="Q23">
            <v>46141</v>
          </cell>
          <cell r="R23" t="str">
            <v>Sanjeev Auto</v>
          </cell>
          <cell r="S23">
            <v>32000</v>
          </cell>
          <cell r="T23" t="str">
            <v>VL/MH/26-27/0013</v>
          </cell>
          <cell r="U23">
            <v>46129</v>
          </cell>
        </row>
        <row r="24">
          <cell r="H24" t="str">
            <v xml:space="preserve">VLPLW-26-27-0010 </v>
          </cell>
          <cell r="I24">
            <v>46122</v>
          </cell>
          <cell r="J24">
            <v>56</v>
          </cell>
          <cell r="K24" t="str">
            <v>Pending</v>
          </cell>
          <cell r="L24" t="str">
            <v> g168 To  hosur</v>
          </cell>
          <cell r="M24">
            <v>39000</v>
          </cell>
          <cell r="N24">
            <v>34000</v>
          </cell>
          <cell r="O24">
            <v>46122</v>
          </cell>
          <cell r="P24">
            <v>5000</v>
          </cell>
          <cell r="Q24" t="str">
            <v>Pending</v>
          </cell>
          <cell r="R24" t="str">
            <v>Sanjeev Auto</v>
          </cell>
          <cell r="S24">
            <v>46000</v>
          </cell>
          <cell r="T24" t="str">
            <v>Pending</v>
          </cell>
          <cell r="U24" t="str">
            <v>Pending</v>
          </cell>
        </row>
        <row r="25">
          <cell r="H25" t="str">
            <v>VLPLW-26-27-0011 </v>
          </cell>
          <cell r="I25">
            <v>46122</v>
          </cell>
          <cell r="J25">
            <v>56</v>
          </cell>
          <cell r="K25">
            <v>46148</v>
          </cell>
          <cell r="L25" t="str">
            <v> g168 To  hosur</v>
          </cell>
          <cell r="M25">
            <v>27500</v>
          </cell>
          <cell r="N25">
            <v>24500</v>
          </cell>
          <cell r="O25">
            <v>46123</v>
          </cell>
          <cell r="P25">
            <v>3000</v>
          </cell>
          <cell r="Q25" t="str">
            <v>Pending</v>
          </cell>
          <cell r="R25" t="str">
            <v>Sanjeev Auto</v>
          </cell>
          <cell r="S25">
            <v>32000</v>
          </cell>
          <cell r="T25" t="str">
            <v>VL/MH/26-27/0102</v>
          </cell>
          <cell r="U25">
            <v>46148</v>
          </cell>
        </row>
        <row r="26">
          <cell r="H26" t="str">
            <v>VLPLW-26-27-0012</v>
          </cell>
          <cell r="I26">
            <v>46122</v>
          </cell>
          <cell r="J26">
            <v>56</v>
          </cell>
          <cell r="K26" t="str">
            <v>Pending</v>
          </cell>
          <cell r="L26" t="str">
            <v>g168 To  Hosur</v>
          </cell>
          <cell r="M26">
            <v>19000</v>
          </cell>
          <cell r="N26">
            <v>17000</v>
          </cell>
          <cell r="O26">
            <v>46123</v>
          </cell>
          <cell r="P26">
            <v>2000</v>
          </cell>
          <cell r="Q26" t="str">
            <v>Pending</v>
          </cell>
          <cell r="R26" t="str">
            <v>Sanjeev Auto</v>
          </cell>
          <cell r="S26">
            <v>22000</v>
          </cell>
          <cell r="T26" t="str">
            <v>Pending</v>
          </cell>
          <cell r="U26" t="str">
            <v>Pending</v>
          </cell>
        </row>
        <row r="27">
          <cell r="H27" t="str">
            <v xml:space="preserve">VLPLW-26-27-0013  </v>
          </cell>
          <cell r="I27">
            <v>46122</v>
          </cell>
          <cell r="J27">
            <v>56</v>
          </cell>
          <cell r="K27" t="str">
            <v>Pending</v>
          </cell>
          <cell r="L27" t="str">
            <v>g168 To  Hosur</v>
          </cell>
          <cell r="M27">
            <v>19000</v>
          </cell>
          <cell r="N27">
            <v>17000</v>
          </cell>
          <cell r="O27">
            <v>46123</v>
          </cell>
          <cell r="P27">
            <v>2000</v>
          </cell>
          <cell r="Q27" t="str">
            <v>Pending</v>
          </cell>
          <cell r="R27" t="str">
            <v>Sanjeev Auto</v>
          </cell>
          <cell r="S27">
            <v>22000</v>
          </cell>
          <cell r="T27" t="str">
            <v>Pending</v>
          </cell>
          <cell r="U27" t="str">
            <v>Pending</v>
          </cell>
        </row>
        <row r="28">
          <cell r="H28" t="str">
            <v>VLPLW-26-27-0014 </v>
          </cell>
          <cell r="I28">
            <v>46123</v>
          </cell>
          <cell r="J28">
            <v>55</v>
          </cell>
          <cell r="K28">
            <v>46162</v>
          </cell>
          <cell r="L28" t="str">
            <v> g168 To  hosur</v>
          </cell>
          <cell r="M28">
            <v>39000</v>
          </cell>
          <cell r="N28">
            <v>34000</v>
          </cell>
          <cell r="O28">
            <v>46123</v>
          </cell>
          <cell r="P28">
            <v>5000</v>
          </cell>
          <cell r="Q28" t="str">
            <v>Pending</v>
          </cell>
          <cell r="R28" t="str">
            <v>Sanjeev Auto</v>
          </cell>
          <cell r="S28">
            <v>46000</v>
          </cell>
          <cell r="T28" t="str">
            <v>VL/MH/26-27/0190</v>
          </cell>
          <cell r="U28">
            <v>46162</v>
          </cell>
        </row>
        <row r="29">
          <cell r="H29" t="str">
            <v>VLPLW-26-27-0015 </v>
          </cell>
          <cell r="I29">
            <v>46123</v>
          </cell>
          <cell r="J29">
            <v>55</v>
          </cell>
          <cell r="K29">
            <v>46162</v>
          </cell>
          <cell r="L29" t="str">
            <v>g168 To  Hosur</v>
          </cell>
          <cell r="M29">
            <v>19000</v>
          </cell>
          <cell r="N29">
            <v>17000</v>
          </cell>
          <cell r="O29">
            <v>46125</v>
          </cell>
          <cell r="P29">
            <v>2000</v>
          </cell>
          <cell r="Q29" t="str">
            <v>Pending</v>
          </cell>
          <cell r="R29" t="str">
            <v>Sanjeev Auto</v>
          </cell>
          <cell r="S29">
            <v>22000</v>
          </cell>
          <cell r="T29" t="str">
            <v>VL/MH/26-27/0176</v>
          </cell>
          <cell r="U29">
            <v>46162</v>
          </cell>
        </row>
        <row r="30">
          <cell r="H30" t="str">
            <v>VLPLW-26-27-0016 </v>
          </cell>
          <cell r="I30">
            <v>46124</v>
          </cell>
          <cell r="J30">
            <v>54</v>
          </cell>
          <cell r="K30">
            <v>46162</v>
          </cell>
          <cell r="L30" t="str">
            <v> g168 To  hosur</v>
          </cell>
          <cell r="M30">
            <v>39000</v>
          </cell>
          <cell r="N30">
            <v>34000</v>
          </cell>
          <cell r="O30">
            <v>46125</v>
          </cell>
          <cell r="P30">
            <v>5000</v>
          </cell>
          <cell r="Q30" t="str">
            <v>Pending</v>
          </cell>
          <cell r="R30" t="str">
            <v>Sanjeev Auto</v>
          </cell>
          <cell r="S30">
            <v>46000</v>
          </cell>
          <cell r="T30" t="str">
            <v>VL/MH/26-27/0191</v>
          </cell>
          <cell r="U30">
            <v>46162</v>
          </cell>
        </row>
        <row r="31">
          <cell r="H31" t="str">
            <v>VLPLW-26-27-0017</v>
          </cell>
          <cell r="I31">
            <v>46123</v>
          </cell>
          <cell r="J31">
            <v>55</v>
          </cell>
          <cell r="K31">
            <v>46148</v>
          </cell>
          <cell r="L31" t="str">
            <v> g168 To  hosur</v>
          </cell>
          <cell r="M31">
            <v>27500</v>
          </cell>
          <cell r="N31">
            <v>24500</v>
          </cell>
          <cell r="O31">
            <v>46125</v>
          </cell>
          <cell r="P31">
            <v>3000</v>
          </cell>
          <cell r="Q31" t="str">
            <v>Pending</v>
          </cell>
          <cell r="R31" t="str">
            <v>Sanjeev Auto</v>
          </cell>
          <cell r="S31">
            <v>32000</v>
          </cell>
          <cell r="T31" t="str">
            <v>VL/MH/26-27/0102</v>
          </cell>
          <cell r="U31">
            <v>46148</v>
          </cell>
        </row>
        <row r="32">
          <cell r="H32" t="str">
            <v>VLPLW-26-27-0018</v>
          </cell>
          <cell r="I32">
            <v>46125</v>
          </cell>
          <cell r="J32">
            <v>53</v>
          </cell>
          <cell r="K32">
            <v>46162</v>
          </cell>
          <cell r="L32" t="str">
            <v>g168 To  Hosur</v>
          </cell>
          <cell r="M32">
            <v>19000</v>
          </cell>
          <cell r="N32">
            <v>17000</v>
          </cell>
          <cell r="O32">
            <v>46125</v>
          </cell>
          <cell r="P32">
            <v>2000</v>
          </cell>
          <cell r="Q32" t="str">
            <v>Pending</v>
          </cell>
          <cell r="R32" t="str">
            <v>Sanjeev Auto</v>
          </cell>
          <cell r="S32">
            <v>22000</v>
          </cell>
          <cell r="T32" t="str">
            <v>VL/MH/26-27/0176</v>
          </cell>
          <cell r="U32">
            <v>46162</v>
          </cell>
        </row>
        <row r="33">
          <cell r="H33" t="str">
            <v xml:space="preserve">VLPLW-26-27-0027 </v>
          </cell>
          <cell r="I33">
            <v>46125</v>
          </cell>
          <cell r="J33">
            <v>53</v>
          </cell>
          <cell r="K33">
            <v>46162</v>
          </cell>
          <cell r="L33" t="str">
            <v>Waluj To HOSUR</v>
          </cell>
          <cell r="M33">
            <v>19000</v>
          </cell>
          <cell r="N33">
            <v>17000</v>
          </cell>
          <cell r="O33">
            <v>46127</v>
          </cell>
          <cell r="P33">
            <v>2000</v>
          </cell>
          <cell r="Q33" t="str">
            <v>Pending</v>
          </cell>
          <cell r="R33" t="str">
            <v>Sanjeev Auto</v>
          </cell>
          <cell r="S33">
            <v>22000</v>
          </cell>
          <cell r="T33" t="str">
            <v>VL/MH/26-27/0177</v>
          </cell>
          <cell r="U33">
            <v>46162</v>
          </cell>
        </row>
        <row r="34">
          <cell r="H34" t="str">
            <v xml:space="preserve">VLPLW-26-27-0039 </v>
          </cell>
          <cell r="I34">
            <v>46127</v>
          </cell>
          <cell r="J34">
            <v>51</v>
          </cell>
          <cell r="K34">
            <v>46162</v>
          </cell>
          <cell r="L34" t="str">
            <v>Waluj To HOSUR</v>
          </cell>
          <cell r="M34">
            <v>19000</v>
          </cell>
          <cell r="N34">
            <v>17000</v>
          </cell>
          <cell r="O34">
            <v>46127</v>
          </cell>
          <cell r="P34">
            <v>2000</v>
          </cell>
          <cell r="Q34" t="str">
            <v>Pending</v>
          </cell>
          <cell r="R34" t="str">
            <v>Sanjeev Auto</v>
          </cell>
          <cell r="S34">
            <v>22000</v>
          </cell>
          <cell r="T34" t="str">
            <v>VL/MH/26-27/0178</v>
          </cell>
          <cell r="U34">
            <v>46162</v>
          </cell>
        </row>
        <row r="35">
          <cell r="H35" t="str">
            <v xml:space="preserve">VLPLW 26-27-0044 </v>
          </cell>
          <cell r="I35">
            <v>46126</v>
          </cell>
          <cell r="J35">
            <v>52</v>
          </cell>
          <cell r="K35">
            <v>46162</v>
          </cell>
          <cell r="L35" t="str">
            <v> g168 To  hosur</v>
          </cell>
          <cell r="M35">
            <v>39000</v>
          </cell>
          <cell r="N35">
            <v>34000</v>
          </cell>
          <cell r="O35">
            <v>46127</v>
          </cell>
          <cell r="P35">
            <v>5000</v>
          </cell>
          <cell r="Q35" t="str">
            <v>Pending</v>
          </cell>
          <cell r="R35" t="str">
            <v>Sanjeev Auto</v>
          </cell>
          <cell r="S35">
            <v>46000</v>
          </cell>
          <cell r="T35" t="str">
            <v>VL/MH/26-27/0191</v>
          </cell>
          <cell r="U35">
            <v>46162</v>
          </cell>
        </row>
        <row r="36">
          <cell r="H36" t="str">
            <v>VLPLW 26-27-0045</v>
          </cell>
          <cell r="I36">
            <v>46127</v>
          </cell>
          <cell r="J36">
            <v>51</v>
          </cell>
          <cell r="K36">
            <v>46162</v>
          </cell>
          <cell r="L36" t="str">
            <v> g168 To  hosur</v>
          </cell>
          <cell r="M36">
            <v>39000</v>
          </cell>
          <cell r="N36">
            <v>34000</v>
          </cell>
          <cell r="O36">
            <v>46127</v>
          </cell>
          <cell r="P36">
            <v>5000</v>
          </cell>
          <cell r="Q36" t="str">
            <v>Pending</v>
          </cell>
          <cell r="R36" t="str">
            <v>Sanjeev Auto</v>
          </cell>
          <cell r="S36">
            <v>46000</v>
          </cell>
          <cell r="T36" t="str">
            <v>VL/MH/26-27/0193</v>
          </cell>
          <cell r="U36">
            <v>46162</v>
          </cell>
        </row>
        <row r="37">
          <cell r="H37" t="str">
            <v>VLPLW-26-27-0047 </v>
          </cell>
          <cell r="I37">
            <v>46126</v>
          </cell>
          <cell r="J37">
            <v>52</v>
          </cell>
          <cell r="K37" t="str">
            <v>Pending</v>
          </cell>
          <cell r="L37" t="str">
            <v> g168 To  hosur</v>
          </cell>
          <cell r="M37">
            <v>27500</v>
          </cell>
          <cell r="N37">
            <v>24500</v>
          </cell>
          <cell r="O37">
            <v>46127</v>
          </cell>
          <cell r="P37">
            <v>3000</v>
          </cell>
          <cell r="Q37" t="str">
            <v>Pending</v>
          </cell>
          <cell r="R37" t="str">
            <v>Sanjeev Auto</v>
          </cell>
          <cell r="S37">
            <v>32000</v>
          </cell>
          <cell r="T37" t="str">
            <v>Pending</v>
          </cell>
          <cell r="U37" t="str">
            <v>Pending</v>
          </cell>
        </row>
        <row r="38">
          <cell r="H38" t="str">
            <v xml:space="preserve">VLPLW-26-27 0060 </v>
          </cell>
          <cell r="I38">
            <v>46127</v>
          </cell>
          <cell r="J38">
            <v>51</v>
          </cell>
          <cell r="K38">
            <v>46162</v>
          </cell>
          <cell r="L38" t="str">
            <v>Waluj To HOSUR</v>
          </cell>
          <cell r="M38">
            <v>19000</v>
          </cell>
          <cell r="N38">
            <v>17000</v>
          </cell>
          <cell r="O38">
            <v>46128</v>
          </cell>
          <cell r="P38">
            <v>2000</v>
          </cell>
          <cell r="Q38" t="str">
            <v>Pending</v>
          </cell>
          <cell r="R38" t="str">
            <v>Sanjeev Auto</v>
          </cell>
          <cell r="S38">
            <v>22000</v>
          </cell>
          <cell r="T38" t="str">
            <v>VL/MH/26-27/0178</v>
          </cell>
          <cell r="U38">
            <v>46162</v>
          </cell>
        </row>
        <row r="39">
          <cell r="H39" t="str">
            <v>VLPLW-26-27 0061</v>
          </cell>
          <cell r="I39">
            <v>46127</v>
          </cell>
          <cell r="J39">
            <v>51</v>
          </cell>
          <cell r="K39">
            <v>46162</v>
          </cell>
          <cell r="L39" t="str">
            <v>Waluj To HOSUR</v>
          </cell>
          <cell r="M39">
            <v>19000</v>
          </cell>
          <cell r="N39">
            <v>17000</v>
          </cell>
          <cell r="O39">
            <v>46128</v>
          </cell>
          <cell r="P39">
            <v>2000</v>
          </cell>
          <cell r="Q39" t="str">
            <v>Pending</v>
          </cell>
          <cell r="R39" t="str">
            <v>Sanjeev Auto</v>
          </cell>
          <cell r="S39">
            <v>22000</v>
          </cell>
          <cell r="T39" t="str">
            <v>VL/MH/26-27/0177</v>
          </cell>
          <cell r="U39">
            <v>46162</v>
          </cell>
        </row>
        <row r="40">
          <cell r="H40" t="str">
            <v>VLPL2627 0062</v>
          </cell>
          <cell r="I40">
            <v>46128</v>
          </cell>
          <cell r="J40">
            <v>50</v>
          </cell>
          <cell r="K40">
            <v>46162</v>
          </cell>
          <cell r="L40" t="str">
            <v> Sanjeev Auto To Sanjeev Auto  Hosur</v>
          </cell>
          <cell r="M40">
            <v>39000</v>
          </cell>
          <cell r="N40">
            <v>34000</v>
          </cell>
          <cell r="O40">
            <v>46128</v>
          </cell>
          <cell r="P40">
            <v>5000</v>
          </cell>
          <cell r="Q40" t="str">
            <v>Pending</v>
          </cell>
          <cell r="R40" t="str">
            <v>Sanjeev Auto</v>
          </cell>
          <cell r="S40">
            <v>46000</v>
          </cell>
          <cell r="T40" t="str">
            <v>VL/MH/26-27/0195</v>
          </cell>
          <cell r="U40">
            <v>46162</v>
          </cell>
        </row>
        <row r="41">
          <cell r="H41" t="str">
            <v xml:space="preserve">VLPLW2627 0081 </v>
          </cell>
          <cell r="I41">
            <v>46128</v>
          </cell>
          <cell r="J41">
            <v>50</v>
          </cell>
          <cell r="K41">
            <v>46162</v>
          </cell>
          <cell r="L41" t="str">
            <v>Waluj To HOSUR</v>
          </cell>
          <cell r="M41">
            <v>19000</v>
          </cell>
          <cell r="N41">
            <v>17000</v>
          </cell>
          <cell r="O41">
            <v>46129</v>
          </cell>
          <cell r="P41">
            <v>2000</v>
          </cell>
          <cell r="Q41" t="str">
            <v>Pending</v>
          </cell>
          <cell r="R41" t="str">
            <v>Sanjeev Auto</v>
          </cell>
          <cell r="S41">
            <v>22000</v>
          </cell>
          <cell r="T41" t="str">
            <v>VL/MH/26-27/0179</v>
          </cell>
          <cell r="U41">
            <v>46162</v>
          </cell>
        </row>
        <row r="42">
          <cell r="H42" t="str">
            <v>VLPLW2627 0082 </v>
          </cell>
          <cell r="I42">
            <v>46128</v>
          </cell>
          <cell r="J42">
            <v>50</v>
          </cell>
          <cell r="K42">
            <v>46162</v>
          </cell>
          <cell r="L42" t="str">
            <v>Waluj To HOSUR</v>
          </cell>
          <cell r="M42">
            <v>19000</v>
          </cell>
          <cell r="N42">
            <v>17000</v>
          </cell>
          <cell r="O42">
            <v>46129</v>
          </cell>
          <cell r="P42">
            <v>2000</v>
          </cell>
          <cell r="Q42" t="str">
            <v>Pending</v>
          </cell>
          <cell r="R42" t="str">
            <v>Sanjeev Auto</v>
          </cell>
          <cell r="S42">
            <v>22000</v>
          </cell>
          <cell r="T42" t="str">
            <v>VL/MH/26-27/0179</v>
          </cell>
          <cell r="U42">
            <v>46162</v>
          </cell>
        </row>
        <row r="43">
          <cell r="H43" t="str">
            <v xml:space="preserve">VLPLw2627 0095 </v>
          </cell>
          <cell r="I43">
            <v>46129</v>
          </cell>
          <cell r="J43">
            <v>49</v>
          </cell>
          <cell r="K43">
            <v>46162</v>
          </cell>
          <cell r="L43" t="str">
            <v> g168 To  hosur</v>
          </cell>
          <cell r="M43">
            <v>39000</v>
          </cell>
          <cell r="N43">
            <v>34000</v>
          </cell>
          <cell r="O43">
            <v>46130</v>
          </cell>
          <cell r="P43">
            <v>5000</v>
          </cell>
          <cell r="Q43" t="str">
            <v>Pending</v>
          </cell>
          <cell r="R43" t="str">
            <v>Sanjeev Auto</v>
          </cell>
          <cell r="S43">
            <v>46000</v>
          </cell>
          <cell r="T43" t="str">
            <v>VL/MH/26-27/0195</v>
          </cell>
          <cell r="U43">
            <v>46162</v>
          </cell>
        </row>
        <row r="44">
          <cell r="H44" t="str">
            <v xml:space="preserve">VLPLW2627 0105 </v>
          </cell>
          <cell r="I44">
            <v>46130</v>
          </cell>
          <cell r="J44">
            <v>48</v>
          </cell>
          <cell r="K44">
            <v>46162</v>
          </cell>
          <cell r="L44" t="str">
            <v>Waluj To HOSUR</v>
          </cell>
          <cell r="M44">
            <v>19000</v>
          </cell>
          <cell r="N44">
            <v>17000</v>
          </cell>
          <cell r="O44">
            <v>46130</v>
          </cell>
          <cell r="P44">
            <v>2000</v>
          </cell>
          <cell r="Q44" t="str">
            <v>Pending</v>
          </cell>
          <cell r="R44" t="str">
            <v>Sanjeev Auto</v>
          </cell>
          <cell r="S44">
            <v>22000</v>
          </cell>
          <cell r="T44" t="str">
            <v>VL/MH/26-27/0181</v>
          </cell>
          <cell r="U44">
            <v>46162</v>
          </cell>
        </row>
        <row r="45">
          <cell r="H45" t="str">
            <v xml:space="preserve">VLPLW-26-27-0106 </v>
          </cell>
          <cell r="I45">
            <v>46129</v>
          </cell>
          <cell r="J45">
            <v>49</v>
          </cell>
          <cell r="K45">
            <v>46148</v>
          </cell>
          <cell r="L45" t="str">
            <v>G168 To  Hosur</v>
          </cell>
          <cell r="M45">
            <v>27500</v>
          </cell>
          <cell r="N45">
            <v>24500</v>
          </cell>
          <cell r="O45">
            <v>46130</v>
          </cell>
          <cell r="P45">
            <v>3000</v>
          </cell>
          <cell r="Q45" t="str">
            <v>Pending</v>
          </cell>
          <cell r="R45" t="str">
            <v>Sanjeev Auto</v>
          </cell>
          <cell r="S45">
            <v>32000</v>
          </cell>
          <cell r="T45" t="str">
            <v>VL/MH/26-27/0102</v>
          </cell>
          <cell r="U45">
            <v>46148</v>
          </cell>
        </row>
        <row r="46">
          <cell r="H46" t="str">
            <v xml:space="preserve">VLPLW2627 0107 </v>
          </cell>
          <cell r="I46">
            <v>46128</v>
          </cell>
          <cell r="J46">
            <v>50</v>
          </cell>
          <cell r="K46">
            <v>46162</v>
          </cell>
          <cell r="L46" t="str">
            <v>Waluj To HOSUR</v>
          </cell>
          <cell r="M46">
            <v>19000</v>
          </cell>
          <cell r="N46">
            <v>17000</v>
          </cell>
          <cell r="O46">
            <v>46130</v>
          </cell>
          <cell r="P46">
            <v>2000</v>
          </cell>
          <cell r="Q46" t="str">
            <v>Pending</v>
          </cell>
          <cell r="R46" t="str">
            <v>Sanjeev Auto</v>
          </cell>
          <cell r="S46">
            <v>22000</v>
          </cell>
          <cell r="T46" t="str">
            <v>VL/MH/26-27/0180</v>
          </cell>
          <cell r="U46">
            <v>46162</v>
          </cell>
        </row>
        <row r="47">
          <cell r="H47" t="str">
            <v xml:space="preserve">VLPLW2627 0140 </v>
          </cell>
          <cell r="I47">
            <v>46130</v>
          </cell>
          <cell r="J47">
            <v>48</v>
          </cell>
          <cell r="K47">
            <v>46162</v>
          </cell>
          <cell r="L47" t="str">
            <v>Waluj To hosur</v>
          </cell>
          <cell r="M47">
            <v>39000</v>
          </cell>
          <cell r="N47">
            <v>34000</v>
          </cell>
          <cell r="O47">
            <v>46132</v>
          </cell>
          <cell r="P47">
            <v>5000</v>
          </cell>
          <cell r="Q47" t="str">
            <v>Pending</v>
          </cell>
          <cell r="R47" t="str">
            <v>Sanjeev Auto</v>
          </cell>
          <cell r="S47">
            <v>46000</v>
          </cell>
          <cell r="T47" t="str">
            <v>VL/MH/26-27/0193</v>
          </cell>
          <cell r="U47">
            <v>46162</v>
          </cell>
        </row>
        <row r="48">
          <cell r="H48" t="str">
            <v>VLPLW2627 0141</v>
          </cell>
          <cell r="I48">
            <v>46130</v>
          </cell>
          <cell r="J48">
            <v>48</v>
          </cell>
          <cell r="K48">
            <v>46162</v>
          </cell>
          <cell r="L48" t="str">
            <v>Waluj To HOSUR</v>
          </cell>
          <cell r="M48">
            <v>19000</v>
          </cell>
          <cell r="N48">
            <v>17000</v>
          </cell>
          <cell r="O48">
            <v>46132</v>
          </cell>
          <cell r="P48">
            <v>2000</v>
          </cell>
          <cell r="Q48" t="str">
            <v>Pending</v>
          </cell>
          <cell r="R48" t="str">
            <v>Sanjeev Auto</v>
          </cell>
          <cell r="S48">
            <v>22000</v>
          </cell>
          <cell r="T48" t="str">
            <v>VL/MH/26-27/0180</v>
          </cell>
          <cell r="U48">
            <v>46162</v>
          </cell>
        </row>
        <row r="49">
          <cell r="H49" t="str">
            <v xml:space="preserve">VLPLw2627 0142 </v>
          </cell>
          <cell r="I49">
            <v>46131</v>
          </cell>
          <cell r="J49">
            <v>47</v>
          </cell>
          <cell r="K49">
            <v>46162</v>
          </cell>
          <cell r="L49" t="str">
            <v>G168 To  Hosur</v>
          </cell>
          <cell r="M49">
            <v>39000</v>
          </cell>
          <cell r="N49">
            <v>34000</v>
          </cell>
          <cell r="O49">
            <v>46132</v>
          </cell>
          <cell r="P49">
            <v>5000</v>
          </cell>
          <cell r="Q49" t="str">
            <v>Pending</v>
          </cell>
          <cell r="R49" t="str">
            <v>Sanjeev Auto</v>
          </cell>
          <cell r="S49">
            <v>46000</v>
          </cell>
          <cell r="T49" t="str">
            <v>VL/MH/26-27/0197</v>
          </cell>
          <cell r="U49">
            <v>46162</v>
          </cell>
        </row>
        <row r="50">
          <cell r="H50" t="str">
            <v>VLPLW-26-27-0143</v>
          </cell>
          <cell r="I50">
            <v>46130</v>
          </cell>
          <cell r="J50">
            <v>48</v>
          </cell>
          <cell r="K50">
            <v>46148</v>
          </cell>
          <cell r="L50" t="str">
            <v>G168 To  Hosur</v>
          </cell>
          <cell r="M50">
            <v>27500</v>
          </cell>
          <cell r="N50">
            <v>24500</v>
          </cell>
          <cell r="O50">
            <v>46132</v>
          </cell>
          <cell r="P50">
            <v>3000</v>
          </cell>
          <cell r="Q50" t="str">
            <v>Pending</v>
          </cell>
          <cell r="R50" t="str">
            <v>Sanjeev Auto</v>
          </cell>
          <cell r="S50">
            <v>32000</v>
          </cell>
          <cell r="T50" t="str">
            <v>VL/MH/26-27/0103</v>
          </cell>
          <cell r="U50">
            <v>46148</v>
          </cell>
        </row>
        <row r="51">
          <cell r="H51" t="str">
            <v>VLPLW-26-27-0157</v>
          </cell>
          <cell r="I51">
            <v>46132</v>
          </cell>
          <cell r="J51">
            <v>46</v>
          </cell>
          <cell r="K51">
            <v>46162</v>
          </cell>
          <cell r="L51" t="str">
            <v>Waluj To HOSUR</v>
          </cell>
          <cell r="M51">
            <v>19000</v>
          </cell>
          <cell r="N51">
            <v>17000</v>
          </cell>
          <cell r="O51">
            <v>46133</v>
          </cell>
          <cell r="P51">
            <v>2000</v>
          </cell>
          <cell r="Q51" t="str">
            <v>Pending</v>
          </cell>
          <cell r="R51" t="str">
            <v>Sanjeev Auto</v>
          </cell>
          <cell r="S51">
            <v>22000</v>
          </cell>
          <cell r="T51" t="str">
            <v>VL/MH/26-27/0174</v>
          </cell>
          <cell r="U51">
            <v>46162</v>
          </cell>
        </row>
        <row r="52">
          <cell r="H52" t="str">
            <v>VLPLW2627 0158</v>
          </cell>
          <cell r="I52">
            <v>46133</v>
          </cell>
          <cell r="J52">
            <v>45</v>
          </cell>
          <cell r="K52">
            <v>46162</v>
          </cell>
          <cell r="L52" t="str">
            <v>Waluj To HOSUR</v>
          </cell>
          <cell r="M52">
            <v>39000</v>
          </cell>
          <cell r="N52">
            <v>34000</v>
          </cell>
          <cell r="O52">
            <v>46133</v>
          </cell>
          <cell r="P52">
            <v>5000</v>
          </cell>
          <cell r="Q52" t="str">
            <v>Pending</v>
          </cell>
          <cell r="R52" t="str">
            <v>Sanjeev Auto</v>
          </cell>
          <cell r="S52">
            <v>46000</v>
          </cell>
          <cell r="T52" t="str">
            <v>VL/MH/26-27/0197</v>
          </cell>
          <cell r="U52">
            <v>46162</v>
          </cell>
        </row>
        <row r="53">
          <cell r="H53" t="str">
            <v xml:space="preserve">VLPLW2627 0182 </v>
          </cell>
          <cell r="I53">
            <v>46133</v>
          </cell>
          <cell r="J53">
            <v>45</v>
          </cell>
          <cell r="K53">
            <v>46162</v>
          </cell>
          <cell r="L53" t="str">
            <v>Waluj To HOSUR</v>
          </cell>
          <cell r="M53">
            <v>19000</v>
          </cell>
          <cell r="N53">
            <v>17000</v>
          </cell>
          <cell r="O53">
            <v>46134</v>
          </cell>
          <cell r="P53">
            <v>2000</v>
          </cell>
          <cell r="Q53" t="str">
            <v>Pending</v>
          </cell>
          <cell r="R53" t="str">
            <v>Sanjeev Auto</v>
          </cell>
          <cell r="S53">
            <v>22000</v>
          </cell>
          <cell r="T53" t="str">
            <v>VL/MH/26-27/0181</v>
          </cell>
          <cell r="U53">
            <v>46162</v>
          </cell>
        </row>
        <row r="54">
          <cell r="H54" t="str">
            <v xml:space="preserve">VLPLW2627 0183 </v>
          </cell>
          <cell r="I54">
            <v>46133</v>
          </cell>
          <cell r="J54">
            <v>45</v>
          </cell>
          <cell r="K54" t="str">
            <v>Pending</v>
          </cell>
          <cell r="L54" t="str">
            <v>Waluj To HOSUR</v>
          </cell>
          <cell r="M54">
            <v>19000</v>
          </cell>
          <cell r="N54">
            <v>17000</v>
          </cell>
          <cell r="O54">
            <v>46134</v>
          </cell>
          <cell r="P54">
            <v>2000</v>
          </cell>
          <cell r="Q54" t="str">
            <v>Pending</v>
          </cell>
          <cell r="R54" t="str">
            <v>Sanjeev Auto</v>
          </cell>
          <cell r="S54">
            <v>22000</v>
          </cell>
          <cell r="T54" t="str">
            <v>Pending</v>
          </cell>
          <cell r="U54" t="str">
            <v>Pending</v>
          </cell>
        </row>
        <row r="55">
          <cell r="H55" t="str">
            <v>VLPLW-26-27 0184</v>
          </cell>
          <cell r="I55">
            <v>46133</v>
          </cell>
          <cell r="J55">
            <v>45</v>
          </cell>
          <cell r="K55">
            <v>46148</v>
          </cell>
          <cell r="L55" t="str">
            <v>G168 To Hosur</v>
          </cell>
          <cell r="M55">
            <v>27500</v>
          </cell>
          <cell r="N55">
            <v>24500</v>
          </cell>
          <cell r="O55">
            <v>46134</v>
          </cell>
          <cell r="P55">
            <v>3000</v>
          </cell>
          <cell r="Q55" t="str">
            <v>Pending</v>
          </cell>
          <cell r="R55" t="str">
            <v>Sanjeev Auto</v>
          </cell>
          <cell r="S55">
            <v>32000</v>
          </cell>
          <cell r="T55" t="str">
            <v>VL/MH/26-27/0103</v>
          </cell>
          <cell r="U55">
            <v>46148</v>
          </cell>
        </row>
        <row r="56">
          <cell r="H56" t="str">
            <v>VLPLW2627 0185</v>
          </cell>
          <cell r="I56">
            <v>46134</v>
          </cell>
          <cell r="J56">
            <v>44</v>
          </cell>
          <cell r="K56">
            <v>46162</v>
          </cell>
          <cell r="L56" t="str">
            <v>G168 To  Hosur</v>
          </cell>
          <cell r="M56">
            <v>39000</v>
          </cell>
          <cell r="N56">
            <v>34000</v>
          </cell>
          <cell r="O56">
            <v>46134</v>
          </cell>
          <cell r="P56">
            <v>5000</v>
          </cell>
          <cell r="Q56" t="str">
            <v>Pending</v>
          </cell>
          <cell r="R56" t="str">
            <v>Sanjeev Auto</v>
          </cell>
          <cell r="S56">
            <v>46000</v>
          </cell>
          <cell r="T56" t="str">
            <v>VL/MH/26-27/0198</v>
          </cell>
          <cell r="U56">
            <v>46162</v>
          </cell>
        </row>
        <row r="57">
          <cell r="H57" t="str">
            <v xml:space="preserve">VLPLW 26-27 0200 </v>
          </cell>
          <cell r="I57">
            <v>46135</v>
          </cell>
          <cell r="J57">
            <v>43</v>
          </cell>
          <cell r="K57">
            <v>46162</v>
          </cell>
          <cell r="L57" t="str">
            <v>G168 To  Hosur</v>
          </cell>
          <cell r="M57">
            <v>39000</v>
          </cell>
          <cell r="N57">
            <v>34000</v>
          </cell>
          <cell r="O57">
            <v>46135</v>
          </cell>
          <cell r="P57">
            <v>5000</v>
          </cell>
          <cell r="Q57" t="str">
            <v>Pending</v>
          </cell>
          <cell r="R57" t="str">
            <v>Sanjeev Auto</v>
          </cell>
          <cell r="S57">
            <v>46000</v>
          </cell>
          <cell r="T57" t="str">
            <v>VL/MH/26-27/0198</v>
          </cell>
          <cell r="U57">
            <v>46162</v>
          </cell>
        </row>
        <row r="58">
          <cell r="H58" t="str">
            <v>VLPLW2627 0201</v>
          </cell>
          <cell r="I58">
            <v>46134</v>
          </cell>
          <cell r="J58">
            <v>44</v>
          </cell>
          <cell r="K58">
            <v>46162</v>
          </cell>
          <cell r="L58" t="str">
            <v>Waluj To HOSUR</v>
          </cell>
          <cell r="M58">
            <v>19000</v>
          </cell>
          <cell r="N58">
            <v>17000</v>
          </cell>
          <cell r="O58">
            <v>46135</v>
          </cell>
          <cell r="P58">
            <v>2000</v>
          </cell>
          <cell r="Q58" t="str">
            <v>Pending</v>
          </cell>
          <cell r="R58" t="str">
            <v>Sanjeev Auto</v>
          </cell>
          <cell r="S58">
            <v>22000</v>
          </cell>
          <cell r="T58" t="str">
            <v>VL/MH/26-27/0182</v>
          </cell>
          <cell r="U58">
            <v>46162</v>
          </cell>
        </row>
        <row r="59">
          <cell r="H59" t="str">
            <v>VLPLW2627 0202</v>
          </cell>
          <cell r="I59">
            <v>46134</v>
          </cell>
          <cell r="J59">
            <v>44</v>
          </cell>
          <cell r="K59">
            <v>46162</v>
          </cell>
          <cell r="L59" t="str">
            <v>Waluj To HOSUR</v>
          </cell>
          <cell r="M59">
            <v>19000</v>
          </cell>
          <cell r="N59">
            <v>17000</v>
          </cell>
          <cell r="O59">
            <v>46135</v>
          </cell>
          <cell r="P59">
            <v>2000</v>
          </cell>
          <cell r="Q59" t="str">
            <v>Pending</v>
          </cell>
          <cell r="R59" t="str">
            <v>Sanjeev Auto</v>
          </cell>
          <cell r="S59">
            <v>22000</v>
          </cell>
          <cell r="T59" t="str">
            <v>VL/MH/26-27/0181</v>
          </cell>
          <cell r="U59">
            <v>46162</v>
          </cell>
        </row>
        <row r="60">
          <cell r="H60" t="str">
            <v>VLPLW26-27 0221</v>
          </cell>
          <cell r="I60">
            <v>46135</v>
          </cell>
          <cell r="J60">
            <v>43</v>
          </cell>
          <cell r="K60">
            <v>46162</v>
          </cell>
          <cell r="L60" t="str">
            <v>Waluj To Hosur</v>
          </cell>
          <cell r="M60">
            <v>19000</v>
          </cell>
          <cell r="N60">
            <v>17000</v>
          </cell>
          <cell r="O60">
            <v>46136</v>
          </cell>
          <cell r="P60">
            <v>2000</v>
          </cell>
          <cell r="Q60" t="str">
            <v>Pending</v>
          </cell>
          <cell r="R60" t="str">
            <v>Sanjeev Auto</v>
          </cell>
          <cell r="S60">
            <v>22000</v>
          </cell>
          <cell r="T60" t="str">
            <v>VL/MH/26-27/0183</v>
          </cell>
          <cell r="U60">
            <v>46162</v>
          </cell>
        </row>
        <row r="61">
          <cell r="H61" t="str">
            <v>VLPLW26-27 0222</v>
          </cell>
          <cell r="I61">
            <v>46136</v>
          </cell>
          <cell r="J61">
            <v>42</v>
          </cell>
          <cell r="K61">
            <v>46162</v>
          </cell>
          <cell r="L61" t="str">
            <v>Waluj To Hosur</v>
          </cell>
          <cell r="M61">
            <v>19000</v>
          </cell>
          <cell r="N61">
            <v>17000</v>
          </cell>
          <cell r="O61">
            <v>46136</v>
          </cell>
          <cell r="P61">
            <v>2000</v>
          </cell>
          <cell r="Q61" t="str">
            <v>Pending</v>
          </cell>
          <cell r="R61" t="str">
            <v>Sanjeev Auto</v>
          </cell>
          <cell r="S61">
            <v>22000</v>
          </cell>
          <cell r="T61" t="str">
            <v>VL/MH/26-27/0184</v>
          </cell>
          <cell r="U61">
            <v>46162</v>
          </cell>
        </row>
        <row r="62">
          <cell r="H62" t="str">
            <v>VLPLW2627/232 </v>
          </cell>
          <cell r="I62">
            <v>46136</v>
          </cell>
          <cell r="J62">
            <v>42</v>
          </cell>
          <cell r="K62">
            <v>46162</v>
          </cell>
          <cell r="L62" t="str">
            <v>Waluj To Hosur</v>
          </cell>
          <cell r="M62">
            <v>19000</v>
          </cell>
          <cell r="N62">
            <v>17000</v>
          </cell>
          <cell r="O62">
            <v>46137</v>
          </cell>
          <cell r="P62">
            <v>2000</v>
          </cell>
          <cell r="Q62" t="str">
            <v>Pending</v>
          </cell>
          <cell r="R62" t="str">
            <v>Sanjeev Auto</v>
          </cell>
          <cell r="S62">
            <v>22000</v>
          </cell>
          <cell r="T62" t="str">
            <v>VL/MH/26-27/0183</v>
          </cell>
          <cell r="U62">
            <v>46162</v>
          </cell>
        </row>
        <row r="63">
          <cell r="H63" t="str">
            <v xml:space="preserve">VLPLW2627/233  </v>
          </cell>
          <cell r="I63">
            <v>46136</v>
          </cell>
          <cell r="J63">
            <v>42</v>
          </cell>
          <cell r="K63">
            <v>46162</v>
          </cell>
          <cell r="L63" t="str">
            <v>Waluj To Hosur</v>
          </cell>
          <cell r="M63">
            <v>19000</v>
          </cell>
          <cell r="N63">
            <v>17000</v>
          </cell>
          <cell r="O63">
            <v>46137</v>
          </cell>
          <cell r="P63">
            <v>2000</v>
          </cell>
          <cell r="Q63" t="str">
            <v>Pending</v>
          </cell>
          <cell r="R63" t="str">
            <v>Sanjeev Auto</v>
          </cell>
          <cell r="S63">
            <v>22000</v>
          </cell>
          <cell r="T63" t="str">
            <v>VL/MH/26-27/0183</v>
          </cell>
          <cell r="U63">
            <v>46162</v>
          </cell>
        </row>
        <row r="64">
          <cell r="H64" t="str">
            <v>VLPLW2627/237</v>
          </cell>
          <cell r="I64">
            <v>46136</v>
          </cell>
          <cell r="J64">
            <v>42</v>
          </cell>
          <cell r="K64">
            <v>46162</v>
          </cell>
          <cell r="L64" t="str">
            <v>Waluj To Hosur</v>
          </cell>
          <cell r="M64">
            <v>39000</v>
          </cell>
          <cell r="N64">
            <v>34000</v>
          </cell>
          <cell r="O64">
            <v>46137</v>
          </cell>
          <cell r="P64">
            <v>5000</v>
          </cell>
          <cell r="Q64" t="str">
            <v>Pending</v>
          </cell>
          <cell r="R64" t="str">
            <v>Sanjeev Auto</v>
          </cell>
          <cell r="S64">
            <v>46000</v>
          </cell>
          <cell r="T64" t="str">
            <v>VL/MH/26-27/0200</v>
          </cell>
          <cell r="U64">
            <v>46162</v>
          </cell>
        </row>
        <row r="65">
          <cell r="H65" t="str">
            <v xml:space="preserve">VLPLW2627/268  </v>
          </cell>
          <cell r="I65">
            <v>46136</v>
          </cell>
          <cell r="J65">
            <v>42</v>
          </cell>
          <cell r="K65">
            <v>46148</v>
          </cell>
          <cell r="L65" t="str">
            <v>G168 To Hosur</v>
          </cell>
          <cell r="M65">
            <v>27500</v>
          </cell>
          <cell r="N65">
            <v>24500</v>
          </cell>
          <cell r="O65">
            <v>46139</v>
          </cell>
          <cell r="P65">
            <v>3000</v>
          </cell>
          <cell r="Q65" t="str">
            <v>Pending</v>
          </cell>
          <cell r="R65" t="str">
            <v>Sanjeev Auto</v>
          </cell>
          <cell r="S65">
            <v>32000</v>
          </cell>
          <cell r="T65" t="str">
            <v>VL/MH/26-27/0103</v>
          </cell>
          <cell r="U65">
            <v>46148</v>
          </cell>
        </row>
        <row r="66">
          <cell r="H66" t="str">
            <v>VLPLW2627/269</v>
          </cell>
          <cell r="I66">
            <v>46137</v>
          </cell>
          <cell r="J66">
            <v>41</v>
          </cell>
          <cell r="K66">
            <v>46162</v>
          </cell>
          <cell r="L66" t="str">
            <v>Waluj To Hosur</v>
          </cell>
          <cell r="M66">
            <v>39000</v>
          </cell>
          <cell r="N66">
            <v>34000</v>
          </cell>
          <cell r="O66">
            <v>46139</v>
          </cell>
          <cell r="P66">
            <v>5000</v>
          </cell>
          <cell r="Q66" t="str">
            <v>Pending</v>
          </cell>
          <cell r="R66" t="str">
            <v>Sanjeev Auto</v>
          </cell>
          <cell r="S66">
            <v>46000</v>
          </cell>
          <cell r="T66" t="str">
            <v>VL/MH/26-27/0200</v>
          </cell>
          <cell r="U66">
            <v>46162</v>
          </cell>
        </row>
        <row r="67">
          <cell r="H67" t="str">
            <v>VLPLW2627/270</v>
          </cell>
          <cell r="I67">
            <v>46137</v>
          </cell>
          <cell r="J67">
            <v>41</v>
          </cell>
          <cell r="K67">
            <v>46162</v>
          </cell>
          <cell r="L67" t="str">
            <v>Waluj To Hosur</v>
          </cell>
          <cell r="M67">
            <v>19000</v>
          </cell>
          <cell r="N67">
            <v>17000</v>
          </cell>
          <cell r="O67">
            <v>46139</v>
          </cell>
          <cell r="P67">
            <v>2000</v>
          </cell>
          <cell r="Q67" t="str">
            <v>Pending</v>
          </cell>
          <cell r="R67" t="str">
            <v>Sanjeev Auto</v>
          </cell>
          <cell r="S67">
            <v>22000</v>
          </cell>
          <cell r="T67" t="str">
            <v>VL/MH/26-27/0182</v>
          </cell>
          <cell r="U67">
            <v>46162</v>
          </cell>
        </row>
        <row r="68">
          <cell r="H68" t="str">
            <v>VLPLW2627/271</v>
          </cell>
          <cell r="I68">
            <v>46137</v>
          </cell>
          <cell r="J68">
            <v>41</v>
          </cell>
          <cell r="K68">
            <v>46162</v>
          </cell>
          <cell r="L68" t="str">
            <v>Waluj To Hosur</v>
          </cell>
          <cell r="M68">
            <v>19000</v>
          </cell>
          <cell r="N68">
            <v>17000</v>
          </cell>
          <cell r="O68">
            <v>46139</v>
          </cell>
          <cell r="P68">
            <v>2000</v>
          </cell>
          <cell r="Q68" t="str">
            <v>Pending</v>
          </cell>
          <cell r="R68" t="str">
            <v>Sanjeev Auto</v>
          </cell>
          <cell r="S68">
            <v>22000</v>
          </cell>
          <cell r="T68" t="str">
            <v>VL/MH/26-27/0184</v>
          </cell>
          <cell r="U68">
            <v>46162</v>
          </cell>
        </row>
        <row r="69">
          <cell r="H69" t="str">
            <v>VLPLW2627/281</v>
          </cell>
          <cell r="I69">
            <v>46139</v>
          </cell>
          <cell r="J69">
            <v>39</v>
          </cell>
          <cell r="K69">
            <v>46162</v>
          </cell>
          <cell r="L69" t="str">
            <v>Waluj To HOSUR</v>
          </cell>
          <cell r="M69">
            <v>19000</v>
          </cell>
          <cell r="N69">
            <v>17000</v>
          </cell>
          <cell r="O69">
            <v>46140</v>
          </cell>
          <cell r="P69">
            <v>2000</v>
          </cell>
          <cell r="Q69" t="str">
            <v>Pending</v>
          </cell>
          <cell r="R69" t="str">
            <v>Sanjeev Auto</v>
          </cell>
          <cell r="S69">
            <v>22000</v>
          </cell>
          <cell r="T69" t="str">
            <v>VL/MH/26-27/0185</v>
          </cell>
          <cell r="U69">
            <v>46162</v>
          </cell>
        </row>
        <row r="70">
          <cell r="H70" t="str">
            <v>VLPLW2627/282</v>
          </cell>
          <cell r="I70">
            <v>46139</v>
          </cell>
          <cell r="J70">
            <v>39</v>
          </cell>
          <cell r="K70">
            <v>46162</v>
          </cell>
          <cell r="L70" t="str">
            <v>Waluj To HOSUR</v>
          </cell>
          <cell r="M70">
            <v>19000</v>
          </cell>
          <cell r="N70">
            <v>17000</v>
          </cell>
          <cell r="O70">
            <v>46140</v>
          </cell>
          <cell r="P70">
            <v>2000</v>
          </cell>
          <cell r="Q70" t="str">
            <v>Pending</v>
          </cell>
          <cell r="R70" t="str">
            <v>Sanjeev Auto</v>
          </cell>
          <cell r="S70">
            <v>22000</v>
          </cell>
          <cell r="T70" t="str">
            <v>VL/MH/26-27/0185</v>
          </cell>
          <cell r="U70">
            <v>46162</v>
          </cell>
        </row>
        <row r="71">
          <cell r="H71" t="str">
            <v>VLPLW2627/283</v>
          </cell>
          <cell r="I71">
            <v>46139</v>
          </cell>
          <cell r="J71">
            <v>39</v>
          </cell>
          <cell r="K71">
            <v>46171</v>
          </cell>
          <cell r="L71" t="str">
            <v>Waluj  To  hosur</v>
          </cell>
          <cell r="M71">
            <v>39000</v>
          </cell>
          <cell r="N71">
            <v>34000</v>
          </cell>
          <cell r="O71">
            <v>46140</v>
          </cell>
          <cell r="P71">
            <v>5000</v>
          </cell>
          <cell r="Q71" t="str">
            <v>Pending</v>
          </cell>
          <cell r="R71" t="str">
            <v>Sanjeev Auto</v>
          </cell>
          <cell r="S71">
            <v>46000</v>
          </cell>
          <cell r="T71" t="str">
            <v>VL/MH/26-27/0268</v>
          </cell>
          <cell r="U71">
            <v>46171</v>
          </cell>
        </row>
        <row r="72">
          <cell r="H72" t="str">
            <v>VLPLW2627/313</v>
          </cell>
          <cell r="I72">
            <v>46140</v>
          </cell>
          <cell r="J72">
            <v>38</v>
          </cell>
          <cell r="K72">
            <v>46148</v>
          </cell>
          <cell r="L72" t="str">
            <v>G168 To Hosur</v>
          </cell>
          <cell r="M72">
            <v>27500</v>
          </cell>
          <cell r="N72">
            <v>24500</v>
          </cell>
          <cell r="O72">
            <v>46141</v>
          </cell>
          <cell r="P72">
            <v>3000</v>
          </cell>
          <cell r="Q72" t="str">
            <v>Pending</v>
          </cell>
          <cell r="R72" t="str">
            <v>Sanjeev Auto</v>
          </cell>
          <cell r="S72">
            <v>32000</v>
          </cell>
          <cell r="T72" t="str">
            <v>VL/MH/26-27/0104</v>
          </cell>
          <cell r="U72">
            <v>46148</v>
          </cell>
        </row>
        <row r="73">
          <cell r="H73" t="str">
            <v>VLPLW2627/314</v>
          </cell>
          <cell r="I73">
            <v>46140</v>
          </cell>
          <cell r="J73">
            <v>38</v>
          </cell>
          <cell r="K73">
            <v>46162</v>
          </cell>
          <cell r="L73" t="str">
            <v>Waluj To HOSUR</v>
          </cell>
          <cell r="M73">
            <v>19000</v>
          </cell>
          <cell r="N73">
            <v>17000</v>
          </cell>
          <cell r="O73">
            <v>46141</v>
          </cell>
          <cell r="P73">
            <v>2000</v>
          </cell>
          <cell r="Q73" t="str">
            <v>Pending</v>
          </cell>
          <cell r="R73" t="str">
            <v>Sanjeev Auto</v>
          </cell>
          <cell r="S73">
            <v>22000</v>
          </cell>
          <cell r="T73" t="str">
            <v>VL/MH/26-27/0185</v>
          </cell>
          <cell r="U73">
            <v>46162</v>
          </cell>
        </row>
        <row r="74">
          <cell r="H74" t="str">
            <v>VLPLW2627/315</v>
          </cell>
          <cell r="I74">
            <v>46140</v>
          </cell>
          <cell r="J74">
            <v>38</v>
          </cell>
          <cell r="K74">
            <v>46162</v>
          </cell>
          <cell r="L74" t="str">
            <v>Waluj To HOSUR</v>
          </cell>
          <cell r="M74">
            <v>19000</v>
          </cell>
          <cell r="N74">
            <v>17000</v>
          </cell>
          <cell r="O74">
            <v>46141</v>
          </cell>
          <cell r="P74">
            <v>2000</v>
          </cell>
          <cell r="Q74" t="str">
            <v>Pending</v>
          </cell>
          <cell r="R74" t="str">
            <v>Sanjeev Auto</v>
          </cell>
          <cell r="S74">
            <v>22000</v>
          </cell>
          <cell r="T74" t="str">
            <v>VL/MH/26-27/0186</v>
          </cell>
          <cell r="U74">
            <v>46162</v>
          </cell>
        </row>
        <row r="75">
          <cell r="H75" t="str">
            <v>VLPLW2627/316</v>
          </cell>
          <cell r="I75">
            <v>46141</v>
          </cell>
          <cell r="J75">
            <v>37</v>
          </cell>
          <cell r="K75">
            <v>46162</v>
          </cell>
          <cell r="L75" t="str">
            <v>Waluj To Hosur</v>
          </cell>
          <cell r="M75">
            <v>39000</v>
          </cell>
          <cell r="N75">
            <v>34000</v>
          </cell>
          <cell r="O75">
            <v>46141</v>
          </cell>
          <cell r="P75">
            <v>5000</v>
          </cell>
          <cell r="Q75" t="str">
            <v>Pending</v>
          </cell>
          <cell r="R75" t="str">
            <v>Sanjeev Auto</v>
          </cell>
          <cell r="S75">
            <v>46000</v>
          </cell>
          <cell r="T75" t="str">
            <v>VL/MH/26-27/0201</v>
          </cell>
          <cell r="U75">
            <v>46162</v>
          </cell>
        </row>
        <row r="76">
          <cell r="H76" t="str">
            <v>VLPLW2627/331</v>
          </cell>
          <cell r="I76">
            <v>46141</v>
          </cell>
          <cell r="J76">
            <v>37</v>
          </cell>
          <cell r="K76">
            <v>46162</v>
          </cell>
          <cell r="L76" t="str">
            <v>Waluj To HOSUR</v>
          </cell>
          <cell r="M76">
            <v>19000</v>
          </cell>
          <cell r="N76">
            <v>17000</v>
          </cell>
          <cell r="O76">
            <v>46142</v>
          </cell>
          <cell r="P76">
            <v>2000</v>
          </cell>
          <cell r="Q76" t="str">
            <v>Pending</v>
          </cell>
          <cell r="R76" t="str">
            <v>Sanjeev Auto</v>
          </cell>
          <cell r="S76">
            <v>22000</v>
          </cell>
          <cell r="T76" t="str">
            <v>VL/MH/26-27/0186</v>
          </cell>
          <cell r="U76">
            <v>46162</v>
          </cell>
        </row>
        <row r="77">
          <cell r="H77" t="str">
            <v>VLPLW2627/333</v>
          </cell>
          <cell r="I77">
            <v>46141</v>
          </cell>
          <cell r="J77">
            <v>37</v>
          </cell>
          <cell r="K77">
            <v>46162</v>
          </cell>
          <cell r="L77" t="str">
            <v>Waluj To HOSUR</v>
          </cell>
          <cell r="M77">
            <v>19000</v>
          </cell>
          <cell r="N77">
            <v>17000</v>
          </cell>
          <cell r="O77">
            <v>46142</v>
          </cell>
          <cell r="P77">
            <v>2000</v>
          </cell>
          <cell r="Q77" t="str">
            <v>Pending</v>
          </cell>
          <cell r="R77" t="str">
            <v>Sanjeev Auto</v>
          </cell>
          <cell r="S77">
            <v>22000</v>
          </cell>
          <cell r="T77" t="str">
            <v>VL/MH/26-27/0186</v>
          </cell>
          <cell r="U77">
            <v>46162</v>
          </cell>
        </row>
        <row r="78">
          <cell r="H78" t="str">
            <v>VLPLW2627/334</v>
          </cell>
          <cell r="I78">
            <v>46142</v>
          </cell>
          <cell r="J78">
            <v>36</v>
          </cell>
          <cell r="K78" t="str">
            <v>Pending</v>
          </cell>
          <cell r="L78" t="str">
            <v>G168 To  Hosur</v>
          </cell>
          <cell r="M78">
            <v>39000</v>
          </cell>
          <cell r="N78">
            <v>34000</v>
          </cell>
          <cell r="O78">
            <v>46142</v>
          </cell>
          <cell r="P78">
            <v>5000</v>
          </cell>
          <cell r="Q78" t="str">
            <v>Pending</v>
          </cell>
          <cell r="R78" t="str">
            <v>Sanjeev Auto</v>
          </cell>
          <cell r="S78">
            <v>46000</v>
          </cell>
          <cell r="T78" t="str">
            <v>Pending</v>
          </cell>
          <cell r="U78" t="str">
            <v>Pending</v>
          </cell>
        </row>
        <row r="79">
          <cell r="H79" t="str">
            <v>VLPLW2627/335</v>
          </cell>
          <cell r="I79">
            <v>46142</v>
          </cell>
          <cell r="J79">
            <v>36</v>
          </cell>
          <cell r="K79">
            <v>46148</v>
          </cell>
          <cell r="L79" t="str">
            <v>G168 To Hosur</v>
          </cell>
          <cell r="M79">
            <v>27500</v>
          </cell>
          <cell r="N79">
            <v>24500</v>
          </cell>
          <cell r="O79">
            <v>46142</v>
          </cell>
          <cell r="P79">
            <v>3000</v>
          </cell>
          <cell r="Q79" t="str">
            <v>Pending</v>
          </cell>
          <cell r="R79" t="str">
            <v>Sanjeev Auto</v>
          </cell>
          <cell r="S79">
            <v>32000</v>
          </cell>
          <cell r="T79" t="str">
            <v>VL/MH/26-27/0104</v>
          </cell>
          <cell r="U79">
            <v>46148</v>
          </cell>
        </row>
        <row r="80">
          <cell r="H80" t="str">
            <v xml:space="preserve">VLPLW2627/354  </v>
          </cell>
          <cell r="I80">
            <v>46142</v>
          </cell>
          <cell r="J80">
            <v>36</v>
          </cell>
          <cell r="K80">
            <v>46148</v>
          </cell>
          <cell r="L80" t="str">
            <v>hosur to g168</v>
          </cell>
          <cell r="M80">
            <v>27500</v>
          </cell>
          <cell r="N80">
            <v>24500</v>
          </cell>
          <cell r="O80">
            <v>46144</v>
          </cell>
          <cell r="P80">
            <v>3000</v>
          </cell>
          <cell r="Q80" t="str">
            <v>Pending</v>
          </cell>
          <cell r="R80" t="str">
            <v>Sanjeev Auto</v>
          </cell>
          <cell r="S80">
            <v>32000</v>
          </cell>
          <cell r="T80" t="str">
            <v>VL/MH/26-27/0104</v>
          </cell>
          <cell r="U80">
            <v>46148</v>
          </cell>
        </row>
        <row r="81">
          <cell r="H81" t="str">
            <v>VLPLW2627/358</v>
          </cell>
          <cell r="I81">
            <v>46143</v>
          </cell>
          <cell r="J81">
            <v>35</v>
          </cell>
          <cell r="K81">
            <v>46162</v>
          </cell>
          <cell r="L81" t="str">
            <v>Waluj To Hosur</v>
          </cell>
          <cell r="M81">
            <v>39000</v>
          </cell>
          <cell r="N81">
            <v>34000</v>
          </cell>
          <cell r="O81">
            <v>46144</v>
          </cell>
          <cell r="P81">
            <v>5000</v>
          </cell>
          <cell r="Q81" t="str">
            <v>Pending</v>
          </cell>
          <cell r="R81" t="str">
            <v>Sanjeev Auto</v>
          </cell>
          <cell r="S81">
            <v>46000</v>
          </cell>
          <cell r="T81" t="str">
            <v>VL/MH/26-27/0202</v>
          </cell>
          <cell r="U81">
            <v>46162</v>
          </cell>
        </row>
        <row r="82">
          <cell r="H82" t="str">
            <v>VLPLW2627/393</v>
          </cell>
          <cell r="I82">
            <v>46144</v>
          </cell>
          <cell r="J82">
            <v>34</v>
          </cell>
          <cell r="K82">
            <v>46171</v>
          </cell>
          <cell r="L82" t="str">
            <v>Waluj  To  HOSUR</v>
          </cell>
          <cell r="M82">
            <v>33000</v>
          </cell>
          <cell r="N82">
            <v>30000</v>
          </cell>
          <cell r="O82">
            <v>46146</v>
          </cell>
          <cell r="P82">
            <v>3000</v>
          </cell>
          <cell r="Q82" t="str">
            <v>Pending</v>
          </cell>
          <cell r="R82" t="str">
            <v>Sanjeev Auto</v>
          </cell>
          <cell r="S82">
            <v>38000</v>
          </cell>
          <cell r="T82" t="str">
            <v>VL/MH/26-27/0271</v>
          </cell>
          <cell r="U82">
            <v>46171</v>
          </cell>
        </row>
        <row r="83">
          <cell r="H83" t="str">
            <v>VLPLW2627/394</v>
          </cell>
          <cell r="I83">
            <v>46145</v>
          </cell>
          <cell r="J83">
            <v>33</v>
          </cell>
          <cell r="K83">
            <v>46171</v>
          </cell>
          <cell r="L83" t="str">
            <v>G168 To Hosur</v>
          </cell>
          <cell r="M83">
            <v>39000</v>
          </cell>
          <cell r="N83">
            <v>34000</v>
          </cell>
          <cell r="O83">
            <v>46146</v>
          </cell>
          <cell r="P83">
            <v>5000</v>
          </cell>
          <cell r="Q83" t="str">
            <v>Pending</v>
          </cell>
          <cell r="R83" t="str">
            <v>Sanjeev Auto</v>
          </cell>
          <cell r="S83">
            <v>46000</v>
          </cell>
          <cell r="T83" t="str">
            <v>VL/MH/26-27/0269</v>
          </cell>
          <cell r="U83">
            <v>46171</v>
          </cell>
        </row>
        <row r="84">
          <cell r="H84" t="str">
            <v>VLPLW2627/395</v>
          </cell>
          <cell r="I84">
            <v>46145</v>
          </cell>
          <cell r="J84">
            <v>33</v>
          </cell>
          <cell r="K84" t="str">
            <v>Pending</v>
          </cell>
          <cell r="L84" t="str">
            <v>Waluj To hosur </v>
          </cell>
          <cell r="M84">
            <v>19000</v>
          </cell>
          <cell r="N84">
            <v>17000</v>
          </cell>
          <cell r="O84">
            <v>46146</v>
          </cell>
          <cell r="P84">
            <v>2000</v>
          </cell>
          <cell r="Q84" t="str">
            <v>Pending</v>
          </cell>
          <cell r="R84" t="str">
            <v>Sanjeev Auto</v>
          </cell>
          <cell r="S84">
            <v>22000</v>
          </cell>
          <cell r="T84" t="str">
            <v>Pending</v>
          </cell>
          <cell r="U84" t="str">
            <v>Pending</v>
          </cell>
        </row>
        <row r="85">
          <cell r="H85" t="str">
            <v>VLPLW2627/396</v>
          </cell>
          <cell r="I85">
            <v>46146</v>
          </cell>
          <cell r="J85">
            <v>32</v>
          </cell>
          <cell r="K85" t="str">
            <v>Pending</v>
          </cell>
          <cell r="L85" t="str">
            <v>Waluj To HOSUR</v>
          </cell>
          <cell r="M85">
            <v>19000</v>
          </cell>
          <cell r="N85">
            <v>17000</v>
          </cell>
          <cell r="O85">
            <v>46146</v>
          </cell>
          <cell r="P85">
            <v>2000</v>
          </cell>
          <cell r="Q85" t="str">
            <v>Pending</v>
          </cell>
          <cell r="R85" t="str">
            <v>Sanjeev Auto</v>
          </cell>
          <cell r="S85">
            <v>22000</v>
          </cell>
          <cell r="T85" t="str">
            <v>Pending</v>
          </cell>
          <cell r="U85" t="str">
            <v>Pending</v>
          </cell>
        </row>
        <row r="86">
          <cell r="H86" t="str">
            <v>VLPLW2627/426</v>
          </cell>
          <cell r="I86">
            <v>46146</v>
          </cell>
          <cell r="J86">
            <v>32</v>
          </cell>
          <cell r="K86">
            <v>46171</v>
          </cell>
          <cell r="L86" t="str">
            <v>Waluj To HOSUR</v>
          </cell>
          <cell r="M86">
            <v>19000</v>
          </cell>
          <cell r="N86">
            <v>17000</v>
          </cell>
          <cell r="O86">
            <v>46147</v>
          </cell>
          <cell r="P86">
            <v>2000</v>
          </cell>
          <cell r="Q86" t="str">
            <v>Pending</v>
          </cell>
          <cell r="R86" t="str">
            <v>Sanjeev Auto</v>
          </cell>
          <cell r="S86">
            <v>22000</v>
          </cell>
          <cell r="T86" t="str">
            <v>VL/MH/26-27/0272</v>
          </cell>
          <cell r="U86">
            <v>46171</v>
          </cell>
        </row>
        <row r="87">
          <cell r="H87" t="str">
            <v>VLPLW2627/427</v>
          </cell>
          <cell r="I87">
            <v>46146</v>
          </cell>
          <cell r="J87">
            <v>32</v>
          </cell>
          <cell r="K87" t="str">
            <v>Pending</v>
          </cell>
          <cell r="L87" t="str">
            <v>Waluj To HOSUR</v>
          </cell>
          <cell r="M87">
            <v>19000</v>
          </cell>
          <cell r="N87">
            <v>17000</v>
          </cell>
          <cell r="O87">
            <v>46147</v>
          </cell>
          <cell r="P87">
            <v>2000</v>
          </cell>
          <cell r="Q87" t="str">
            <v>Pending</v>
          </cell>
          <cell r="R87" t="str">
            <v>Sanjeev Auto</v>
          </cell>
          <cell r="S87">
            <v>22000</v>
          </cell>
          <cell r="T87" t="str">
            <v>Pending</v>
          </cell>
          <cell r="U87" t="str">
            <v>Pending</v>
          </cell>
        </row>
        <row r="88">
          <cell r="H88" t="str">
            <v>VLPLW2627/428</v>
          </cell>
          <cell r="I88">
            <v>46147</v>
          </cell>
          <cell r="J88">
            <v>31</v>
          </cell>
          <cell r="K88">
            <v>46171</v>
          </cell>
          <cell r="L88" t="str">
            <v>Sanjeev Auto To Sanjeev Auto  Hosur</v>
          </cell>
          <cell r="M88">
            <v>39000</v>
          </cell>
          <cell r="N88">
            <v>34000</v>
          </cell>
          <cell r="O88">
            <v>46147</v>
          </cell>
          <cell r="P88">
            <v>5000</v>
          </cell>
          <cell r="Q88" t="str">
            <v>Pending</v>
          </cell>
          <cell r="R88" t="str">
            <v>Sanjeev Auto</v>
          </cell>
          <cell r="S88">
            <v>46000</v>
          </cell>
          <cell r="T88" t="str">
            <v>VL/MH/26-27/0269</v>
          </cell>
          <cell r="U88">
            <v>46171</v>
          </cell>
        </row>
        <row r="89">
          <cell r="H89" t="str">
            <v>VLPLW2627/457</v>
          </cell>
          <cell r="I89">
            <v>46148</v>
          </cell>
          <cell r="J89">
            <v>30</v>
          </cell>
          <cell r="K89">
            <v>46171</v>
          </cell>
          <cell r="L89" t="str">
            <v>Waluj  To  hosur</v>
          </cell>
          <cell r="M89">
            <v>39000</v>
          </cell>
          <cell r="N89">
            <v>34000</v>
          </cell>
          <cell r="O89">
            <v>46149</v>
          </cell>
          <cell r="P89">
            <v>5000</v>
          </cell>
          <cell r="Q89" t="str">
            <v>Pending</v>
          </cell>
          <cell r="R89" t="str">
            <v>Sanjeev Auto</v>
          </cell>
          <cell r="S89">
            <v>46000</v>
          </cell>
          <cell r="T89" t="str">
            <v>VL/MH/26-27/0269</v>
          </cell>
          <cell r="U89">
            <v>46171</v>
          </cell>
        </row>
        <row r="90">
          <cell r="H90" t="str">
            <v>VLPLW2627/458</v>
          </cell>
          <cell r="I90">
            <v>46148</v>
          </cell>
          <cell r="J90">
            <v>30</v>
          </cell>
          <cell r="K90">
            <v>46171</v>
          </cell>
          <cell r="L90" t="str">
            <v>Waluj To HOSUR</v>
          </cell>
          <cell r="M90">
            <v>19000</v>
          </cell>
          <cell r="N90">
            <v>17000</v>
          </cell>
          <cell r="O90">
            <v>46149</v>
          </cell>
          <cell r="P90">
            <v>2000</v>
          </cell>
          <cell r="Q90" t="str">
            <v>Pending</v>
          </cell>
          <cell r="R90" t="str">
            <v>Sanjeev Auto</v>
          </cell>
          <cell r="S90">
            <v>22000</v>
          </cell>
          <cell r="T90" t="str">
            <v>VL/MH/26-27/0272</v>
          </cell>
          <cell r="U90">
            <v>46171</v>
          </cell>
        </row>
        <row r="91">
          <cell r="H91" t="str">
            <v>VLPLW2627/459</v>
          </cell>
          <cell r="I91">
            <v>46148</v>
          </cell>
          <cell r="J91">
            <v>30</v>
          </cell>
          <cell r="K91">
            <v>46171</v>
          </cell>
          <cell r="L91" t="str">
            <v>Waluj To hosur</v>
          </cell>
          <cell r="M91">
            <v>19000</v>
          </cell>
          <cell r="N91">
            <v>17000</v>
          </cell>
          <cell r="O91">
            <v>46149</v>
          </cell>
          <cell r="P91">
            <v>2000</v>
          </cell>
          <cell r="Q91" t="str">
            <v>Pending</v>
          </cell>
          <cell r="R91" t="str">
            <v>Sanjeev Auto</v>
          </cell>
          <cell r="S91">
            <v>22000</v>
          </cell>
          <cell r="T91" t="str">
            <v>VL/MH/26-27/0272</v>
          </cell>
          <cell r="U91">
            <v>46171</v>
          </cell>
        </row>
        <row r="92">
          <cell r="H92" t="str">
            <v>VLPLW2627/518</v>
          </cell>
          <cell r="I92">
            <v>46150</v>
          </cell>
          <cell r="J92">
            <v>28</v>
          </cell>
          <cell r="K92">
            <v>46171</v>
          </cell>
          <cell r="L92" t="str">
            <v>Waluj To HOSUR</v>
          </cell>
          <cell r="M92">
            <v>19000</v>
          </cell>
          <cell r="N92">
            <v>17000</v>
          </cell>
          <cell r="O92">
            <v>46151</v>
          </cell>
          <cell r="P92">
            <v>2000</v>
          </cell>
          <cell r="Q92" t="str">
            <v>Pending</v>
          </cell>
          <cell r="R92" t="str">
            <v>Sanjeev Auto</v>
          </cell>
          <cell r="S92">
            <v>22000</v>
          </cell>
          <cell r="T92" t="str">
            <v>VL/MH/26-27/0272</v>
          </cell>
          <cell r="U92">
            <v>46171</v>
          </cell>
        </row>
        <row r="93">
          <cell r="H93" t="str">
            <v>VLPLW2627/519</v>
          </cell>
          <cell r="I93">
            <v>46150</v>
          </cell>
          <cell r="J93">
            <v>28</v>
          </cell>
          <cell r="K93">
            <v>46171</v>
          </cell>
          <cell r="L93" t="str">
            <v>Waluj To narsapura</v>
          </cell>
          <cell r="M93">
            <v>19000</v>
          </cell>
          <cell r="N93">
            <v>17000</v>
          </cell>
          <cell r="O93">
            <v>46151</v>
          </cell>
          <cell r="P93">
            <v>2000</v>
          </cell>
          <cell r="Q93" t="str">
            <v>Pending</v>
          </cell>
          <cell r="R93" t="str">
            <v>Sanjeev Auto</v>
          </cell>
          <cell r="S93">
            <v>22000</v>
          </cell>
          <cell r="T93" t="str">
            <v>VL/MH/26-27/0273</v>
          </cell>
          <cell r="U93">
            <v>46171</v>
          </cell>
        </row>
        <row r="94">
          <cell r="H94" t="str">
            <v>VLPLW2627/544</v>
          </cell>
          <cell r="I94">
            <v>46150</v>
          </cell>
          <cell r="J94">
            <v>28</v>
          </cell>
          <cell r="K94">
            <v>46171</v>
          </cell>
          <cell r="L94" t="str">
            <v>Waluj To HOSUR</v>
          </cell>
          <cell r="M94">
            <v>19000</v>
          </cell>
          <cell r="N94">
            <v>17000</v>
          </cell>
          <cell r="O94">
            <v>46151</v>
          </cell>
          <cell r="P94">
            <v>2000</v>
          </cell>
          <cell r="Q94" t="str">
            <v>Pending</v>
          </cell>
          <cell r="R94" t="str">
            <v>Sanjeev Auto</v>
          </cell>
          <cell r="S94">
            <v>22000</v>
          </cell>
          <cell r="T94" t="str">
            <v>VL/MH/26-27/0273</v>
          </cell>
          <cell r="U94">
            <v>46171</v>
          </cell>
        </row>
        <row r="95">
          <cell r="H95" t="str">
            <v>VLPLW2627/545</v>
          </cell>
          <cell r="I95">
            <v>46150</v>
          </cell>
          <cell r="J95">
            <v>28</v>
          </cell>
          <cell r="K95">
            <v>46171</v>
          </cell>
          <cell r="L95" t="str">
            <v>Waluj To HOSUR</v>
          </cell>
          <cell r="M95">
            <v>19000</v>
          </cell>
          <cell r="N95">
            <v>17000</v>
          </cell>
          <cell r="O95">
            <v>46151</v>
          </cell>
          <cell r="P95">
            <v>2000</v>
          </cell>
          <cell r="Q95" t="str">
            <v>Pending</v>
          </cell>
          <cell r="R95" t="str">
            <v>Sanjeev Auto</v>
          </cell>
          <cell r="S95">
            <v>22000</v>
          </cell>
          <cell r="T95" t="str">
            <v>VL/MH/26-27/0273</v>
          </cell>
          <cell r="U95">
            <v>46171</v>
          </cell>
        </row>
        <row r="96">
          <cell r="H96" t="str">
            <v>VLPLW2627/548</v>
          </cell>
          <cell r="I96">
            <v>46150</v>
          </cell>
          <cell r="J96">
            <v>28</v>
          </cell>
          <cell r="K96">
            <v>46171</v>
          </cell>
          <cell r="L96" t="str">
            <v>Waluj To HOSUR</v>
          </cell>
          <cell r="M96">
            <v>19000</v>
          </cell>
          <cell r="N96">
            <v>17000</v>
          </cell>
          <cell r="O96">
            <v>46151</v>
          </cell>
          <cell r="P96">
            <v>2000</v>
          </cell>
          <cell r="Q96" t="str">
            <v>Pending</v>
          </cell>
          <cell r="R96" t="str">
            <v>Sanjeev Auto</v>
          </cell>
          <cell r="S96">
            <v>22000</v>
          </cell>
          <cell r="T96" t="str">
            <v>VL/MH/26-27/0273</v>
          </cell>
          <cell r="U96">
            <v>46171</v>
          </cell>
        </row>
        <row r="97">
          <cell r="H97" t="str">
            <v>VLPLW2627/546</v>
          </cell>
          <cell r="I97">
            <v>46150</v>
          </cell>
          <cell r="J97">
            <v>28</v>
          </cell>
          <cell r="K97">
            <v>46171</v>
          </cell>
          <cell r="L97" t="str">
            <v>G168 To Hosur</v>
          </cell>
          <cell r="M97">
            <v>39000</v>
          </cell>
          <cell r="N97">
            <v>34000</v>
          </cell>
          <cell r="O97">
            <v>46151</v>
          </cell>
          <cell r="P97">
            <v>5000</v>
          </cell>
          <cell r="Q97" t="str">
            <v>Pending</v>
          </cell>
          <cell r="R97" t="str">
            <v>Sanjeev Auto</v>
          </cell>
          <cell r="S97">
            <v>46000</v>
          </cell>
          <cell r="T97" t="str">
            <v>VL/MH/26-27/0269</v>
          </cell>
          <cell r="U97">
            <v>46171</v>
          </cell>
        </row>
        <row r="98">
          <cell r="H98" t="str">
            <v>VLPLW2627/547</v>
          </cell>
          <cell r="I98">
            <v>46149</v>
          </cell>
          <cell r="J98">
            <v>29</v>
          </cell>
          <cell r="K98">
            <v>46171</v>
          </cell>
          <cell r="L98" t="str">
            <v>Waluj To narsapura</v>
          </cell>
          <cell r="M98">
            <v>33000</v>
          </cell>
          <cell r="N98">
            <v>30000</v>
          </cell>
          <cell r="O98">
            <v>46151</v>
          </cell>
          <cell r="P98">
            <v>3000</v>
          </cell>
          <cell r="Q98" t="str">
            <v>Pending</v>
          </cell>
          <cell r="R98" t="str">
            <v>Sanjeev Auto</v>
          </cell>
          <cell r="S98">
            <v>38000</v>
          </cell>
          <cell r="T98" t="str">
            <v>VL/MH/26-27/0271</v>
          </cell>
          <cell r="U98">
            <v>46171</v>
          </cell>
        </row>
        <row r="99">
          <cell r="H99" t="str">
            <v>VLPLW2627/549</v>
          </cell>
          <cell r="I99">
            <v>46150</v>
          </cell>
          <cell r="J99">
            <v>28</v>
          </cell>
          <cell r="K99">
            <v>46171</v>
          </cell>
          <cell r="L99" t="str">
            <v>Waluj To hosur</v>
          </cell>
          <cell r="M99">
            <v>39000</v>
          </cell>
          <cell r="N99">
            <v>34000</v>
          </cell>
          <cell r="O99">
            <v>46151</v>
          </cell>
          <cell r="P99">
            <v>5000</v>
          </cell>
          <cell r="Q99" t="str">
            <v>Pending</v>
          </cell>
          <cell r="R99" t="str">
            <v>Sanjeev Auto</v>
          </cell>
          <cell r="S99">
            <v>46000</v>
          </cell>
          <cell r="T99" t="str">
            <v>VL/MH/26-27/0270</v>
          </cell>
          <cell r="U99">
            <v>46171</v>
          </cell>
        </row>
        <row r="100">
          <cell r="H100" t="str">
            <v>VLPLW2627/571</v>
          </cell>
          <cell r="I100">
            <v>46152</v>
          </cell>
          <cell r="J100">
            <v>26</v>
          </cell>
          <cell r="K100" t="str">
            <v>Pending</v>
          </cell>
          <cell r="L100" t="str">
            <v>Waluj To HOSUR</v>
          </cell>
          <cell r="M100">
            <v>19000</v>
          </cell>
          <cell r="N100">
            <v>17000</v>
          </cell>
          <cell r="O100">
            <v>46152</v>
          </cell>
          <cell r="P100">
            <v>2000</v>
          </cell>
          <cell r="Q100" t="str">
            <v>Pending</v>
          </cell>
          <cell r="R100" t="str">
            <v>Sanjeev Auto</v>
          </cell>
          <cell r="S100">
            <v>22000</v>
          </cell>
          <cell r="T100" t="str">
            <v>Pending</v>
          </cell>
          <cell r="U100" t="str">
            <v>Pending</v>
          </cell>
        </row>
        <row r="101">
          <cell r="H101" t="str">
            <v>VLPLW2627/572</v>
          </cell>
          <cell r="I101">
            <v>46152</v>
          </cell>
          <cell r="J101">
            <v>26</v>
          </cell>
          <cell r="K101">
            <v>46171</v>
          </cell>
          <cell r="L101" t="str">
            <v>G168 To Hosur</v>
          </cell>
          <cell r="M101">
            <v>39000</v>
          </cell>
          <cell r="N101">
            <v>34000</v>
          </cell>
          <cell r="O101">
            <v>46152</v>
          </cell>
          <cell r="P101">
            <v>5000</v>
          </cell>
          <cell r="Q101" t="str">
            <v>Pending</v>
          </cell>
          <cell r="R101" t="str">
            <v>Sanjeev Auto</v>
          </cell>
          <cell r="S101">
            <v>46000</v>
          </cell>
          <cell r="T101" t="str">
            <v>VL/MH/26-27/0270</v>
          </cell>
          <cell r="U101">
            <v>46171</v>
          </cell>
        </row>
        <row r="102">
          <cell r="H102" t="str">
            <v>VLPLW2627/616</v>
          </cell>
          <cell r="I102">
            <v>46154</v>
          </cell>
          <cell r="J102">
            <v>24</v>
          </cell>
          <cell r="K102">
            <v>46171</v>
          </cell>
          <cell r="L102" t="str">
            <v>Waluj  To  hosur</v>
          </cell>
          <cell r="M102">
            <v>33000</v>
          </cell>
          <cell r="N102">
            <v>30000</v>
          </cell>
          <cell r="O102">
            <v>46155</v>
          </cell>
          <cell r="P102">
            <v>3000</v>
          </cell>
          <cell r="Q102" t="str">
            <v>Pending</v>
          </cell>
          <cell r="R102" t="str">
            <v>Sanjeev Auto</v>
          </cell>
          <cell r="S102">
            <v>38000</v>
          </cell>
          <cell r="T102" t="str">
            <v>VL/MH/26-27/0271</v>
          </cell>
          <cell r="U102">
            <v>46171</v>
          </cell>
        </row>
        <row r="103">
          <cell r="H103" t="str">
            <v>VLPLW2627/617</v>
          </cell>
          <cell r="I103">
            <v>46154</v>
          </cell>
          <cell r="J103">
            <v>24</v>
          </cell>
          <cell r="K103">
            <v>46171</v>
          </cell>
          <cell r="L103" t="str">
            <v>Waluj  To  hosur</v>
          </cell>
          <cell r="M103">
            <v>19000</v>
          </cell>
          <cell r="N103">
            <v>17000</v>
          </cell>
          <cell r="O103">
            <v>46155</v>
          </cell>
          <cell r="P103">
            <v>2000</v>
          </cell>
          <cell r="Q103" t="str">
            <v>Pending</v>
          </cell>
          <cell r="R103" t="str">
            <v>Sanjeev Auto</v>
          </cell>
          <cell r="S103">
            <v>22000</v>
          </cell>
          <cell r="T103" t="str">
            <v>VL/MH/26-27/0274</v>
          </cell>
          <cell r="U103">
            <v>46171</v>
          </cell>
        </row>
        <row r="104">
          <cell r="H104" t="str">
            <v>VLPLW2627/644</v>
          </cell>
          <cell r="I104">
            <v>46153</v>
          </cell>
          <cell r="J104">
            <v>25</v>
          </cell>
          <cell r="K104">
            <v>46171</v>
          </cell>
          <cell r="L104" t="str">
            <v>Waluj  To  hosur</v>
          </cell>
          <cell r="M104">
            <v>19000</v>
          </cell>
          <cell r="N104">
            <v>17000</v>
          </cell>
          <cell r="O104">
            <v>46155</v>
          </cell>
          <cell r="P104">
            <v>2000</v>
          </cell>
          <cell r="Q104" t="str">
            <v>Pending</v>
          </cell>
          <cell r="R104" t="str">
            <v>Sanjeev Auto</v>
          </cell>
          <cell r="S104">
            <v>22000</v>
          </cell>
          <cell r="T104" t="str">
            <v>VL/MH/26-27/0274</v>
          </cell>
          <cell r="U104">
            <v>46171</v>
          </cell>
        </row>
        <row r="105">
          <cell r="H105" t="str">
            <v xml:space="preserve">VLPLW2627/645  </v>
          </cell>
          <cell r="I105">
            <v>46154</v>
          </cell>
          <cell r="J105">
            <v>24</v>
          </cell>
          <cell r="K105">
            <v>46171</v>
          </cell>
          <cell r="L105" t="str">
            <v>Waluj To HOSUR</v>
          </cell>
          <cell r="M105">
            <v>19000</v>
          </cell>
          <cell r="N105">
            <v>17000</v>
          </cell>
          <cell r="O105">
            <v>46155</v>
          </cell>
          <cell r="P105">
            <v>2000</v>
          </cell>
          <cell r="Q105" t="str">
            <v>Pending</v>
          </cell>
          <cell r="R105" t="str">
            <v>Sanjeev Auto</v>
          </cell>
          <cell r="S105">
            <v>22000</v>
          </cell>
          <cell r="T105" t="str">
            <v>VL/MH/26-27/0274</v>
          </cell>
          <cell r="U105">
            <v>46171</v>
          </cell>
        </row>
        <row r="106">
          <cell r="H106" t="str">
            <v>VLPLW2627/646</v>
          </cell>
          <cell r="I106">
            <v>46155</v>
          </cell>
          <cell r="J106">
            <v>23</v>
          </cell>
          <cell r="K106">
            <v>46171</v>
          </cell>
          <cell r="L106" t="str">
            <v>Waluj  To  hosur</v>
          </cell>
          <cell r="M106">
            <v>33000</v>
          </cell>
          <cell r="N106">
            <v>30000</v>
          </cell>
          <cell r="O106">
            <v>46155</v>
          </cell>
          <cell r="P106">
            <v>3000</v>
          </cell>
          <cell r="Q106" t="str">
            <v>Pending</v>
          </cell>
          <cell r="R106" t="str">
            <v>Sanjeev Auto</v>
          </cell>
          <cell r="S106">
            <v>38000</v>
          </cell>
          <cell r="T106" t="str">
            <v>VL/MH/26-27/0271</v>
          </cell>
          <cell r="U106">
            <v>46171</v>
          </cell>
        </row>
        <row r="107">
          <cell r="H107" t="str">
            <v>VLPLW2627/647</v>
          </cell>
          <cell r="I107">
            <v>46154</v>
          </cell>
          <cell r="J107">
            <v>24</v>
          </cell>
          <cell r="K107">
            <v>46171</v>
          </cell>
          <cell r="L107" t="str">
            <v>Waluj  To  hosur</v>
          </cell>
          <cell r="M107">
            <v>19000</v>
          </cell>
          <cell r="N107">
            <v>17000</v>
          </cell>
          <cell r="O107">
            <v>46155</v>
          </cell>
          <cell r="P107">
            <v>2000</v>
          </cell>
          <cell r="Q107" t="str">
            <v>Pending</v>
          </cell>
          <cell r="R107" t="str">
            <v>Sanjeev Auto</v>
          </cell>
          <cell r="S107">
            <v>22000</v>
          </cell>
          <cell r="T107" t="str">
            <v>VL/MH/26-27/0275</v>
          </cell>
          <cell r="U107">
            <v>46171</v>
          </cell>
        </row>
        <row r="108">
          <cell r="H108" t="str">
            <v>VLPLW2627/697</v>
          </cell>
          <cell r="I108">
            <v>46155</v>
          </cell>
          <cell r="J108">
            <v>23</v>
          </cell>
          <cell r="K108">
            <v>46171</v>
          </cell>
          <cell r="L108" t="str">
            <v>Waluj  To  hosur</v>
          </cell>
          <cell r="M108">
            <v>19000</v>
          </cell>
          <cell r="N108">
            <v>17000</v>
          </cell>
          <cell r="O108">
            <v>46157</v>
          </cell>
          <cell r="P108">
            <v>2000</v>
          </cell>
          <cell r="Q108" t="str">
            <v>Pending</v>
          </cell>
          <cell r="R108" t="str">
            <v>Sanjeev Auto</v>
          </cell>
          <cell r="S108">
            <v>22000</v>
          </cell>
          <cell r="T108" t="str">
            <v>VL/MH/26-27/0275</v>
          </cell>
          <cell r="U108">
            <v>46171</v>
          </cell>
        </row>
        <row r="109">
          <cell r="H109" t="str">
            <v>VLPLW2627/698</v>
          </cell>
          <cell r="I109">
            <v>46155</v>
          </cell>
          <cell r="J109">
            <v>23</v>
          </cell>
          <cell r="K109">
            <v>46171</v>
          </cell>
          <cell r="L109" t="str">
            <v>Waluj To HOSUR</v>
          </cell>
          <cell r="M109">
            <v>19000</v>
          </cell>
          <cell r="N109">
            <v>17000</v>
          </cell>
          <cell r="O109">
            <v>46157</v>
          </cell>
          <cell r="P109">
            <v>2000</v>
          </cell>
          <cell r="Q109" t="str">
            <v>Pending</v>
          </cell>
          <cell r="R109" t="str">
            <v>Sanjeev Auto</v>
          </cell>
          <cell r="S109">
            <v>22000</v>
          </cell>
          <cell r="T109" t="str">
            <v>VL/MH/26-27/0275</v>
          </cell>
          <cell r="U109">
            <v>46171</v>
          </cell>
        </row>
        <row r="110">
          <cell r="H110" t="str">
            <v xml:space="preserve">VLPLW2627/699  </v>
          </cell>
          <cell r="I110">
            <v>46156</v>
          </cell>
          <cell r="J110">
            <v>22</v>
          </cell>
          <cell r="K110">
            <v>46171</v>
          </cell>
          <cell r="L110" t="str">
            <v>Waluj To HOSUR</v>
          </cell>
          <cell r="M110">
            <v>19000</v>
          </cell>
          <cell r="N110">
            <v>17000</v>
          </cell>
          <cell r="O110">
            <v>46157</v>
          </cell>
          <cell r="P110">
            <v>2000</v>
          </cell>
          <cell r="Q110" t="str">
            <v>Pending</v>
          </cell>
          <cell r="R110" t="str">
            <v>Sanjeev Auto</v>
          </cell>
          <cell r="S110">
            <v>22000</v>
          </cell>
          <cell r="T110" t="str">
            <v>VL/MH/26-27/0276</v>
          </cell>
          <cell r="U110">
            <v>46171</v>
          </cell>
        </row>
        <row r="111">
          <cell r="H111" t="str">
            <v xml:space="preserve">VLPLW2627/700  </v>
          </cell>
          <cell r="I111">
            <v>46156</v>
          </cell>
          <cell r="J111">
            <v>22</v>
          </cell>
          <cell r="K111" t="str">
            <v>Pending</v>
          </cell>
          <cell r="L111" t="str">
            <v>Waluj To HOSUR</v>
          </cell>
          <cell r="M111">
            <v>19000</v>
          </cell>
          <cell r="N111">
            <v>17000</v>
          </cell>
          <cell r="O111">
            <v>46157</v>
          </cell>
          <cell r="P111">
            <v>2000</v>
          </cell>
          <cell r="Q111" t="str">
            <v>Pending</v>
          </cell>
          <cell r="R111" t="str">
            <v>Sanjeev Auto</v>
          </cell>
          <cell r="S111">
            <v>22000</v>
          </cell>
          <cell r="T111" t="str">
            <v>Pending</v>
          </cell>
          <cell r="U111" t="str">
            <v>Pending</v>
          </cell>
        </row>
        <row r="112">
          <cell r="H112" t="str">
            <v>VLPLW2627/703</v>
          </cell>
          <cell r="I112">
            <v>46156</v>
          </cell>
          <cell r="J112">
            <v>22</v>
          </cell>
          <cell r="K112">
            <v>46171</v>
          </cell>
          <cell r="L112" t="str">
            <v>Waluj  To  hosur</v>
          </cell>
          <cell r="M112">
            <v>39000</v>
          </cell>
          <cell r="N112">
            <v>35000</v>
          </cell>
          <cell r="O112">
            <v>46157</v>
          </cell>
          <cell r="P112">
            <v>4000</v>
          </cell>
          <cell r="Q112" t="str">
            <v>Pending</v>
          </cell>
          <cell r="R112" t="str">
            <v>Sanjeev Auto</v>
          </cell>
          <cell r="S112">
            <v>46000</v>
          </cell>
          <cell r="T112" t="str">
            <v>VL/MH/26-27/0270</v>
          </cell>
          <cell r="U112">
            <v>46171</v>
          </cell>
        </row>
        <row r="113">
          <cell r="H113" t="str">
            <v xml:space="preserve">VLPLW2627/711  </v>
          </cell>
          <cell r="I113">
            <v>46149</v>
          </cell>
          <cell r="J113">
            <v>29</v>
          </cell>
          <cell r="K113" t="str">
            <v>Pending</v>
          </cell>
          <cell r="L113" t="str">
            <v>G168 To Hosur</v>
          </cell>
          <cell r="M113">
            <v>27500</v>
          </cell>
          <cell r="N113">
            <v>24500</v>
          </cell>
          <cell r="O113">
            <v>46158</v>
          </cell>
          <cell r="P113">
            <v>3000</v>
          </cell>
          <cell r="Q113" t="str">
            <v>Pending</v>
          </cell>
          <cell r="R113" t="str">
            <v>Sanjeev Auto</v>
          </cell>
          <cell r="S113">
            <v>32000</v>
          </cell>
          <cell r="T113" t="str">
            <v>Pending</v>
          </cell>
          <cell r="U113" t="str">
            <v>Pending</v>
          </cell>
        </row>
        <row r="114">
          <cell r="H114" t="str">
            <v>VLPLW2627/712</v>
          </cell>
          <cell r="I114">
            <v>46150</v>
          </cell>
          <cell r="J114">
            <v>28</v>
          </cell>
          <cell r="K114" t="str">
            <v>Pending</v>
          </cell>
          <cell r="L114" t="str">
            <v>G168 To Hosur</v>
          </cell>
          <cell r="M114">
            <v>27500</v>
          </cell>
          <cell r="N114">
            <v>24500</v>
          </cell>
          <cell r="O114">
            <v>46158</v>
          </cell>
          <cell r="P114">
            <v>3000</v>
          </cell>
          <cell r="Q114" t="str">
            <v>Pending</v>
          </cell>
          <cell r="R114" t="str">
            <v>Sanjeev Auto</v>
          </cell>
          <cell r="S114">
            <v>32000</v>
          </cell>
          <cell r="T114" t="str">
            <v>Pending</v>
          </cell>
          <cell r="U114" t="str">
            <v>Pending</v>
          </cell>
        </row>
        <row r="115">
          <cell r="H115" t="str">
            <v>VLPLW2627/713</v>
          </cell>
          <cell r="I115">
            <v>46152</v>
          </cell>
          <cell r="J115">
            <v>26</v>
          </cell>
          <cell r="K115" t="str">
            <v>Pending</v>
          </cell>
          <cell r="L115" t="str">
            <v>G168 To Hosur</v>
          </cell>
          <cell r="M115">
            <v>27500</v>
          </cell>
          <cell r="N115">
            <v>24500</v>
          </cell>
          <cell r="O115">
            <v>46158</v>
          </cell>
          <cell r="P115">
            <v>3000</v>
          </cell>
          <cell r="Q115" t="str">
            <v>Pending</v>
          </cell>
          <cell r="R115" t="str">
            <v>Sanjeev Auto</v>
          </cell>
          <cell r="S115">
            <v>32000</v>
          </cell>
          <cell r="T115" t="str">
            <v>Pending</v>
          </cell>
          <cell r="U115" t="str">
            <v>Pending</v>
          </cell>
        </row>
        <row r="116">
          <cell r="H116" t="str">
            <v>VLPLW2627/715</v>
          </cell>
          <cell r="I116">
            <v>46154</v>
          </cell>
          <cell r="J116">
            <v>24</v>
          </cell>
          <cell r="K116" t="str">
            <v>Pending</v>
          </cell>
          <cell r="L116" t="str">
            <v>G168 To Hosur</v>
          </cell>
          <cell r="M116">
            <v>27500</v>
          </cell>
          <cell r="N116">
            <v>24500</v>
          </cell>
          <cell r="O116">
            <v>46158</v>
          </cell>
          <cell r="P116">
            <v>3000</v>
          </cell>
          <cell r="Q116" t="str">
            <v>Pending</v>
          </cell>
          <cell r="R116" t="str">
            <v>Sanjeev Auto</v>
          </cell>
          <cell r="S116">
            <v>32000</v>
          </cell>
          <cell r="T116" t="str">
            <v>Pending</v>
          </cell>
          <cell r="U116" t="str">
            <v>Pending</v>
          </cell>
        </row>
        <row r="117">
          <cell r="H117" t="str">
            <v xml:space="preserve">VLPLW2627/719  </v>
          </cell>
          <cell r="I117">
            <v>46147</v>
          </cell>
          <cell r="J117">
            <v>31</v>
          </cell>
          <cell r="K117" t="str">
            <v>Pending</v>
          </cell>
          <cell r="L117" t="str">
            <v>G168 To Hosur</v>
          </cell>
          <cell r="M117">
            <v>27500</v>
          </cell>
          <cell r="N117">
            <v>24500</v>
          </cell>
          <cell r="O117">
            <v>46158</v>
          </cell>
          <cell r="P117">
            <v>3000</v>
          </cell>
          <cell r="Q117" t="str">
            <v>Pending</v>
          </cell>
          <cell r="R117" t="str">
            <v>Sanjeev Auto</v>
          </cell>
          <cell r="S117">
            <v>32000</v>
          </cell>
          <cell r="T117" t="str">
            <v>Pending</v>
          </cell>
          <cell r="U117" t="str">
            <v>Pending</v>
          </cell>
        </row>
        <row r="118">
          <cell r="H118" t="str">
            <v xml:space="preserve">VLPLW2627/744  </v>
          </cell>
          <cell r="I118">
            <v>46157</v>
          </cell>
          <cell r="J118">
            <v>21</v>
          </cell>
          <cell r="K118">
            <v>46171</v>
          </cell>
          <cell r="L118" t="str">
            <v>Waluj To HOSUR</v>
          </cell>
          <cell r="M118">
            <v>19000</v>
          </cell>
          <cell r="N118">
            <v>17000</v>
          </cell>
          <cell r="O118">
            <v>46159</v>
          </cell>
          <cell r="P118">
            <v>2000</v>
          </cell>
          <cell r="Q118" t="str">
            <v>Pending</v>
          </cell>
          <cell r="R118" t="str">
            <v>Sanjeev Auto</v>
          </cell>
          <cell r="S118">
            <v>22000</v>
          </cell>
          <cell r="T118" t="str">
            <v>VL/MH/26-27/0276</v>
          </cell>
          <cell r="U118">
            <v>46171</v>
          </cell>
        </row>
        <row r="119">
          <cell r="H119" t="str">
            <v>VLPLW2627/747</v>
          </cell>
          <cell r="I119">
            <v>46157</v>
          </cell>
          <cell r="J119">
            <v>21</v>
          </cell>
          <cell r="K119">
            <v>46171</v>
          </cell>
          <cell r="L119" t="str">
            <v>Waluj To HOSUR</v>
          </cell>
          <cell r="M119">
            <v>19000</v>
          </cell>
          <cell r="N119">
            <v>17000</v>
          </cell>
          <cell r="O119">
            <v>46159</v>
          </cell>
          <cell r="P119">
            <v>2000</v>
          </cell>
          <cell r="Q119" t="str">
            <v>Pending</v>
          </cell>
          <cell r="R119" t="str">
            <v>Sanjeev Auto</v>
          </cell>
          <cell r="S119">
            <v>22000</v>
          </cell>
          <cell r="T119" t="str">
            <v>VL/MH/26-27/0276</v>
          </cell>
          <cell r="U119">
            <v>46171</v>
          </cell>
        </row>
        <row r="120">
          <cell r="H120" t="str">
            <v xml:space="preserve">VLPLW2627/748  </v>
          </cell>
          <cell r="I120">
            <v>46157</v>
          </cell>
          <cell r="J120">
            <v>21</v>
          </cell>
          <cell r="K120" t="str">
            <v>Pending</v>
          </cell>
          <cell r="L120" t="str">
            <v>Waluj  To  HOSUR</v>
          </cell>
          <cell r="M120">
            <v>33000</v>
          </cell>
          <cell r="N120">
            <v>30000</v>
          </cell>
          <cell r="O120">
            <v>46159</v>
          </cell>
          <cell r="P120">
            <v>3000</v>
          </cell>
          <cell r="Q120" t="str">
            <v>Pending</v>
          </cell>
          <cell r="R120" t="str">
            <v>Sanjeev Auto</v>
          </cell>
          <cell r="S120">
            <v>38000</v>
          </cell>
          <cell r="T120" t="str">
            <v>Pending</v>
          </cell>
          <cell r="U120" t="str">
            <v>Pending</v>
          </cell>
        </row>
        <row r="121">
          <cell r="H121" t="str">
            <v>VLPLW2627/749</v>
          </cell>
          <cell r="I121">
            <v>46158</v>
          </cell>
          <cell r="J121">
            <v>20</v>
          </cell>
          <cell r="K121" t="str">
            <v>Pending</v>
          </cell>
          <cell r="L121" t="str">
            <v>G168 To Hosur</v>
          </cell>
          <cell r="M121">
            <v>33000</v>
          </cell>
          <cell r="N121">
            <v>30000</v>
          </cell>
          <cell r="O121">
            <v>46159</v>
          </cell>
          <cell r="P121">
            <v>3000</v>
          </cell>
          <cell r="Q121" t="str">
            <v>Pending</v>
          </cell>
          <cell r="R121" t="str">
            <v>Sanjeev Auto</v>
          </cell>
          <cell r="S121">
            <v>38000</v>
          </cell>
          <cell r="T121" t="str">
            <v>Pending</v>
          </cell>
          <cell r="U121" t="str">
            <v>Pending</v>
          </cell>
        </row>
        <row r="122">
          <cell r="H122" t="str">
            <v xml:space="preserve">VLPLW2627/746  </v>
          </cell>
          <cell r="I122">
            <v>46158</v>
          </cell>
          <cell r="J122">
            <v>20</v>
          </cell>
          <cell r="K122" t="str">
            <v>Pending</v>
          </cell>
          <cell r="L122" t="str">
            <v>G168 To Hosur</v>
          </cell>
          <cell r="M122">
            <v>27500</v>
          </cell>
          <cell r="N122">
            <v>24500</v>
          </cell>
          <cell r="O122">
            <v>46160</v>
          </cell>
          <cell r="P122">
            <v>3000</v>
          </cell>
          <cell r="Q122" t="str">
            <v>Pending</v>
          </cell>
          <cell r="R122" t="str">
            <v>Sanjeev Auto</v>
          </cell>
          <cell r="S122">
            <v>32000</v>
          </cell>
          <cell r="T122" t="str">
            <v>Pending</v>
          </cell>
          <cell r="U122" t="str">
            <v>Pending</v>
          </cell>
        </row>
        <row r="123">
          <cell r="H123" t="str">
            <v xml:space="preserve">VLPLW2627/768  </v>
          </cell>
          <cell r="I123">
            <v>46158</v>
          </cell>
          <cell r="J123">
            <v>20</v>
          </cell>
          <cell r="K123">
            <v>46171</v>
          </cell>
          <cell r="L123" t="str">
            <v>Waluj To HOSUR</v>
          </cell>
          <cell r="M123">
            <v>19000</v>
          </cell>
          <cell r="N123">
            <v>17000</v>
          </cell>
          <cell r="O123">
            <v>46160</v>
          </cell>
          <cell r="P123">
            <v>2000</v>
          </cell>
          <cell r="Q123" t="str">
            <v>Pending</v>
          </cell>
          <cell r="R123" t="str">
            <v>Sanjeev Auto</v>
          </cell>
          <cell r="S123">
            <v>22000</v>
          </cell>
          <cell r="T123" t="str">
            <v>VL/MH/26-27/0277</v>
          </cell>
          <cell r="U123">
            <v>46171</v>
          </cell>
        </row>
        <row r="124">
          <cell r="H124" t="str">
            <v>VLPLW2627/769</v>
          </cell>
          <cell r="I124">
            <v>46158</v>
          </cell>
          <cell r="J124">
            <v>20</v>
          </cell>
          <cell r="K124">
            <v>46171</v>
          </cell>
          <cell r="L124" t="str">
            <v>Waluj  To HOSUR</v>
          </cell>
          <cell r="M124">
            <v>19000</v>
          </cell>
          <cell r="N124">
            <v>17000</v>
          </cell>
          <cell r="O124">
            <v>46160</v>
          </cell>
          <cell r="P124">
            <v>2000</v>
          </cell>
          <cell r="Q124" t="str">
            <v>Pending</v>
          </cell>
          <cell r="R124" t="str">
            <v>Sanjeev Auto</v>
          </cell>
          <cell r="S124">
            <v>22000</v>
          </cell>
          <cell r="T124" t="str">
            <v>VL/MH/26-27/0277</v>
          </cell>
          <cell r="U124">
            <v>46171</v>
          </cell>
        </row>
        <row r="125">
          <cell r="H125" t="str">
            <v xml:space="preserve">VLPLW2627/877  </v>
          </cell>
          <cell r="I125">
            <v>46158</v>
          </cell>
          <cell r="J125">
            <v>20</v>
          </cell>
          <cell r="K125">
            <v>46171</v>
          </cell>
          <cell r="L125" t="str">
            <v>G168 To Hosur</v>
          </cell>
          <cell r="M125">
            <v>39000</v>
          </cell>
          <cell r="N125">
            <v>34000</v>
          </cell>
          <cell r="O125">
            <v>46164</v>
          </cell>
          <cell r="P125">
            <v>5000</v>
          </cell>
          <cell r="Q125" t="str">
            <v>Pending</v>
          </cell>
          <cell r="R125" t="str">
            <v>Sanjeev Auto</v>
          </cell>
          <cell r="S125">
            <v>46000</v>
          </cell>
          <cell r="T125" t="str">
            <v>VL/MH/26-27/0278</v>
          </cell>
          <cell r="U125">
            <v>46171</v>
          </cell>
        </row>
        <row r="126">
          <cell r="H126" t="str">
            <v xml:space="preserve">VLPLW2627/866  </v>
          </cell>
          <cell r="I126">
            <v>46159</v>
          </cell>
          <cell r="J126">
            <v>19</v>
          </cell>
          <cell r="K126" t="str">
            <v>Pending</v>
          </cell>
          <cell r="L126" t="str">
            <v>G168 To Hosur</v>
          </cell>
          <cell r="M126">
            <v>27500</v>
          </cell>
          <cell r="N126">
            <v>24500</v>
          </cell>
          <cell r="O126">
            <v>46164</v>
          </cell>
          <cell r="P126">
            <v>3000</v>
          </cell>
          <cell r="Q126" t="str">
            <v>Pending</v>
          </cell>
          <cell r="R126" t="str">
            <v>Sanjeev Auto</v>
          </cell>
          <cell r="S126">
            <v>32000</v>
          </cell>
          <cell r="T126" t="str">
            <v>Pending</v>
          </cell>
          <cell r="U126" t="str">
            <v>Pending</v>
          </cell>
        </row>
        <row r="127">
          <cell r="H127" t="str">
            <v>VLPLW2627/867</v>
          </cell>
          <cell r="I127">
            <v>46160</v>
          </cell>
          <cell r="J127">
            <v>18</v>
          </cell>
          <cell r="K127" t="str">
            <v>Pending</v>
          </cell>
          <cell r="L127" t="str">
            <v>G168 To Hosur</v>
          </cell>
          <cell r="M127">
            <v>27500</v>
          </cell>
          <cell r="N127">
            <v>24500</v>
          </cell>
          <cell r="O127">
            <v>46164</v>
          </cell>
          <cell r="P127">
            <v>3000</v>
          </cell>
          <cell r="Q127" t="str">
            <v>Pending</v>
          </cell>
          <cell r="R127" t="str">
            <v>Sanjeev Auto</v>
          </cell>
          <cell r="S127">
            <v>32000</v>
          </cell>
          <cell r="T127" t="str">
            <v>Pending</v>
          </cell>
          <cell r="U127" t="str">
            <v>Pending</v>
          </cell>
        </row>
        <row r="128">
          <cell r="H128" t="str">
            <v xml:space="preserve">VLPLW2627/878  </v>
          </cell>
          <cell r="I128">
            <v>46159</v>
          </cell>
          <cell r="J128">
            <v>19</v>
          </cell>
          <cell r="K128">
            <v>46171</v>
          </cell>
          <cell r="L128" t="str">
            <v>Waluj To HOSUR</v>
          </cell>
          <cell r="M128">
            <v>19000</v>
          </cell>
          <cell r="N128">
            <v>17000</v>
          </cell>
          <cell r="O128">
            <v>46164</v>
          </cell>
          <cell r="P128">
            <v>2000</v>
          </cell>
          <cell r="Q128" t="str">
            <v>Pending</v>
          </cell>
          <cell r="R128" t="str">
            <v>Sanjeev Auto</v>
          </cell>
          <cell r="S128">
            <v>22000</v>
          </cell>
          <cell r="T128" t="str">
            <v>VL/MH/26-27/0277</v>
          </cell>
          <cell r="U128">
            <v>46171</v>
          </cell>
        </row>
        <row r="129">
          <cell r="H129" t="str">
            <v>VLPLW2627/879</v>
          </cell>
          <cell r="I129">
            <v>46160</v>
          </cell>
          <cell r="J129">
            <v>18</v>
          </cell>
          <cell r="K129">
            <v>46171</v>
          </cell>
          <cell r="L129" t="str">
            <v>Waluj To HOSUR</v>
          </cell>
          <cell r="M129">
            <v>19000</v>
          </cell>
          <cell r="N129">
            <v>17000</v>
          </cell>
          <cell r="O129">
            <v>46164</v>
          </cell>
          <cell r="P129">
            <v>2000</v>
          </cell>
          <cell r="Q129" t="str">
            <v>Pending</v>
          </cell>
          <cell r="R129" t="str">
            <v>Sanjeev Auto</v>
          </cell>
          <cell r="S129">
            <v>22000</v>
          </cell>
          <cell r="T129" t="str">
            <v>VL/MH/26-27/0277</v>
          </cell>
          <cell r="U129">
            <v>46171</v>
          </cell>
        </row>
        <row r="130">
          <cell r="H130" t="str">
            <v>VLPLW2627/880</v>
          </cell>
          <cell r="I130">
            <v>46160</v>
          </cell>
          <cell r="J130">
            <v>18</v>
          </cell>
          <cell r="K130">
            <v>46171</v>
          </cell>
          <cell r="L130" t="str">
            <v>g168 to hosur</v>
          </cell>
          <cell r="M130">
            <v>19000</v>
          </cell>
          <cell r="N130">
            <v>17000</v>
          </cell>
          <cell r="O130">
            <v>46164</v>
          </cell>
          <cell r="P130">
            <v>2000</v>
          </cell>
          <cell r="Q130" t="str">
            <v>Pending</v>
          </cell>
          <cell r="R130" t="str">
            <v>Sanjeev Auto</v>
          </cell>
          <cell r="S130">
            <v>22000</v>
          </cell>
          <cell r="T130" t="str">
            <v>VL/MH/26-27/0277</v>
          </cell>
          <cell r="U130">
            <v>46171</v>
          </cell>
        </row>
        <row r="131">
          <cell r="H131" t="str">
            <v>VLPLW2627/881</v>
          </cell>
          <cell r="I131">
            <v>46161</v>
          </cell>
          <cell r="J131">
            <v>17</v>
          </cell>
          <cell r="K131">
            <v>46171</v>
          </cell>
          <cell r="L131" t="str">
            <v>Waluj To HOSUR</v>
          </cell>
          <cell r="M131">
            <v>39000</v>
          </cell>
          <cell r="N131">
            <v>35000</v>
          </cell>
          <cell r="O131">
            <v>46164</v>
          </cell>
          <cell r="P131">
            <v>4000</v>
          </cell>
          <cell r="Q131" t="str">
            <v>Pending</v>
          </cell>
          <cell r="R131" t="str">
            <v>Sanjeev Auto</v>
          </cell>
          <cell r="S131">
            <v>46000</v>
          </cell>
          <cell r="T131" t="str">
            <v>VL/MH/26-27/0270</v>
          </cell>
          <cell r="U131">
            <v>46171</v>
          </cell>
        </row>
        <row r="132">
          <cell r="H132" t="str">
            <v>VLPLW2627/884</v>
          </cell>
          <cell r="I132">
            <v>46161</v>
          </cell>
          <cell r="J132">
            <v>17</v>
          </cell>
          <cell r="K132" t="str">
            <v>Pending</v>
          </cell>
          <cell r="L132" t="str">
            <v>Waluj To HOSUR</v>
          </cell>
          <cell r="M132">
            <v>19000</v>
          </cell>
          <cell r="N132">
            <v>17000</v>
          </cell>
          <cell r="O132">
            <v>46164</v>
          </cell>
          <cell r="P132">
            <v>2000</v>
          </cell>
          <cell r="Q132" t="str">
            <v>Pending</v>
          </cell>
          <cell r="R132" t="str">
            <v>Sanjeev Auto</v>
          </cell>
          <cell r="S132">
            <v>22000</v>
          </cell>
          <cell r="T132" t="str">
            <v>Pending</v>
          </cell>
          <cell r="U132" t="str">
            <v>Pending</v>
          </cell>
        </row>
        <row r="133">
          <cell r="H133" t="str">
            <v>VLPLW2627/885</v>
          </cell>
          <cell r="I133">
            <v>46161</v>
          </cell>
          <cell r="J133">
            <v>17</v>
          </cell>
          <cell r="K133" t="str">
            <v>Pending</v>
          </cell>
          <cell r="L133" t="str">
            <v>Waluj To HOSUR</v>
          </cell>
          <cell r="M133">
            <v>33000</v>
          </cell>
          <cell r="N133">
            <v>30000</v>
          </cell>
          <cell r="O133">
            <v>46164</v>
          </cell>
          <cell r="P133">
            <v>3000</v>
          </cell>
          <cell r="Q133" t="str">
            <v>Pending</v>
          </cell>
          <cell r="R133" t="str">
            <v>Sanjeev Auto</v>
          </cell>
          <cell r="S133">
            <v>38000</v>
          </cell>
          <cell r="T133" t="str">
            <v>Pending</v>
          </cell>
          <cell r="U133" t="str">
            <v>Pending</v>
          </cell>
        </row>
        <row r="134">
          <cell r="H134" t="str">
            <v xml:space="preserve">VLPLW2627/886  </v>
          </cell>
          <cell r="I134">
            <v>46161</v>
          </cell>
          <cell r="J134">
            <v>17</v>
          </cell>
          <cell r="K134" t="str">
            <v>Pending</v>
          </cell>
          <cell r="L134" t="str">
            <v>WALUJ To GURGAON</v>
          </cell>
          <cell r="M134">
            <v>33000</v>
          </cell>
          <cell r="N134">
            <v>30000</v>
          </cell>
          <cell r="O134">
            <v>46164</v>
          </cell>
          <cell r="P134">
            <v>3000</v>
          </cell>
          <cell r="Q134" t="str">
            <v>Pending</v>
          </cell>
          <cell r="R134" t="str">
            <v>Sanjeev Auto</v>
          </cell>
          <cell r="S134">
            <v>38000</v>
          </cell>
          <cell r="T134" t="str">
            <v>Pending</v>
          </cell>
          <cell r="U134" t="str">
            <v>Pending</v>
          </cell>
        </row>
        <row r="135">
          <cell r="H135" t="str">
            <v>VLPLW2627/887</v>
          </cell>
          <cell r="I135">
            <v>46162</v>
          </cell>
          <cell r="J135">
            <v>16</v>
          </cell>
          <cell r="K135" t="str">
            <v>Pending</v>
          </cell>
          <cell r="L135" t="str">
            <v>Waluj To HOSUR</v>
          </cell>
          <cell r="M135">
            <v>19000</v>
          </cell>
          <cell r="N135">
            <v>17000</v>
          </cell>
          <cell r="O135">
            <v>46164</v>
          </cell>
          <cell r="P135">
            <v>2000</v>
          </cell>
          <cell r="Q135" t="str">
            <v>Pending</v>
          </cell>
          <cell r="R135" t="str">
            <v>Sanjeev Auto</v>
          </cell>
          <cell r="S135">
            <v>22000</v>
          </cell>
          <cell r="T135" t="str">
            <v>Pending</v>
          </cell>
          <cell r="U135" t="str">
            <v>Pending</v>
          </cell>
        </row>
        <row r="136">
          <cell r="H136" t="str">
            <v xml:space="preserve">VLPLW2627/888  </v>
          </cell>
          <cell r="I136">
            <v>46163</v>
          </cell>
          <cell r="J136">
            <v>15</v>
          </cell>
          <cell r="K136" t="str">
            <v>Pending</v>
          </cell>
          <cell r="L136" t="str">
            <v>Waluj To hosur</v>
          </cell>
          <cell r="M136">
            <v>39000</v>
          </cell>
          <cell r="N136">
            <v>34000</v>
          </cell>
          <cell r="O136">
            <v>46164</v>
          </cell>
          <cell r="P136">
            <v>5000</v>
          </cell>
          <cell r="Q136" t="str">
            <v>Pending</v>
          </cell>
          <cell r="R136" t="str">
            <v>Sanjeev Auto</v>
          </cell>
          <cell r="S136">
            <v>46000</v>
          </cell>
          <cell r="T136" t="str">
            <v>Pending</v>
          </cell>
          <cell r="U136" t="str">
            <v>Pending</v>
          </cell>
        </row>
        <row r="137">
          <cell r="H137" t="str">
            <v>VLPLW2627/889</v>
          </cell>
          <cell r="I137">
            <v>46162</v>
          </cell>
          <cell r="J137">
            <v>16</v>
          </cell>
          <cell r="K137" t="str">
            <v>Pending</v>
          </cell>
          <cell r="L137" t="str">
            <v>Waluj To hosur</v>
          </cell>
          <cell r="M137">
            <v>39000</v>
          </cell>
          <cell r="N137">
            <v>34000</v>
          </cell>
          <cell r="O137">
            <v>46164</v>
          </cell>
          <cell r="P137">
            <v>5000</v>
          </cell>
          <cell r="Q137" t="str">
            <v>Pending</v>
          </cell>
          <cell r="R137" t="str">
            <v>Sanjeev Auto</v>
          </cell>
          <cell r="S137">
            <v>46000</v>
          </cell>
          <cell r="T137" t="str">
            <v>Pending</v>
          </cell>
          <cell r="U137" t="str">
            <v>Pending</v>
          </cell>
        </row>
        <row r="138">
          <cell r="H138" t="str">
            <v xml:space="preserve">VLPLW2627/891  </v>
          </cell>
          <cell r="I138">
            <v>46164</v>
          </cell>
          <cell r="J138">
            <v>14</v>
          </cell>
          <cell r="K138" t="str">
            <v>Pending</v>
          </cell>
          <cell r="L138" t="str">
            <v>Waluj To HOSUR</v>
          </cell>
          <cell r="M138">
            <v>19000</v>
          </cell>
          <cell r="N138">
            <v>17000</v>
          </cell>
          <cell r="O138">
            <v>46164</v>
          </cell>
          <cell r="P138">
            <v>2000</v>
          </cell>
          <cell r="Q138" t="str">
            <v>Pending</v>
          </cell>
          <cell r="R138" t="str">
            <v>Sanjeev Auto</v>
          </cell>
          <cell r="S138">
            <v>22000</v>
          </cell>
          <cell r="T138" t="str">
            <v>Pending</v>
          </cell>
          <cell r="U138" t="str">
            <v>Pending</v>
          </cell>
        </row>
        <row r="139">
          <cell r="H139" t="str">
            <v>VLPLW2627/892</v>
          </cell>
          <cell r="I139">
            <v>46164</v>
          </cell>
          <cell r="J139">
            <v>14</v>
          </cell>
          <cell r="K139" t="str">
            <v>Pending</v>
          </cell>
          <cell r="L139" t="str">
            <v>Waluj To HOSUR</v>
          </cell>
          <cell r="M139">
            <v>19000</v>
          </cell>
          <cell r="N139">
            <v>17000</v>
          </cell>
          <cell r="O139">
            <v>46164</v>
          </cell>
          <cell r="P139">
            <v>2000</v>
          </cell>
          <cell r="Q139" t="str">
            <v>Pending</v>
          </cell>
          <cell r="R139" t="str">
            <v>Sanjeev Auto</v>
          </cell>
          <cell r="S139">
            <v>22000</v>
          </cell>
          <cell r="T139" t="str">
            <v>Pending</v>
          </cell>
          <cell r="U139" t="str">
            <v>Pending</v>
          </cell>
        </row>
        <row r="140">
          <cell r="H140" t="str">
            <v xml:space="preserve">VLPLW2627/916  </v>
          </cell>
          <cell r="I140">
            <v>46164</v>
          </cell>
          <cell r="J140">
            <v>14</v>
          </cell>
          <cell r="K140" t="str">
            <v>Pending</v>
          </cell>
          <cell r="L140" t="str">
            <v>Waluj To HOSUR</v>
          </cell>
          <cell r="M140">
            <v>19000</v>
          </cell>
          <cell r="N140">
            <v>17000</v>
          </cell>
          <cell r="O140">
            <v>46165</v>
          </cell>
          <cell r="P140">
            <v>2000</v>
          </cell>
          <cell r="Q140" t="str">
            <v>Pending</v>
          </cell>
          <cell r="R140" t="str">
            <v>Sanjeev Auto</v>
          </cell>
          <cell r="S140">
            <v>22000</v>
          </cell>
          <cell r="T140" t="str">
            <v>Pending</v>
          </cell>
          <cell r="U140" t="str">
            <v>Pending</v>
          </cell>
        </row>
        <row r="141">
          <cell r="H141" t="str">
            <v>VLPLW2627/917</v>
          </cell>
          <cell r="I141">
            <v>46165</v>
          </cell>
          <cell r="J141">
            <v>13</v>
          </cell>
          <cell r="K141" t="str">
            <v>Pending</v>
          </cell>
          <cell r="L141" t="str">
            <v>Waluj To HOSUR</v>
          </cell>
          <cell r="M141">
            <v>19000</v>
          </cell>
          <cell r="N141">
            <v>17000</v>
          </cell>
          <cell r="O141">
            <v>46165</v>
          </cell>
          <cell r="P141">
            <v>2000</v>
          </cell>
          <cell r="Q141" t="str">
            <v>Pending</v>
          </cell>
          <cell r="R141" t="str">
            <v>Sanjeev Auto</v>
          </cell>
          <cell r="S141">
            <v>22000</v>
          </cell>
          <cell r="T141" t="str">
            <v>Pending</v>
          </cell>
          <cell r="U141" t="str">
            <v>Pending</v>
          </cell>
        </row>
        <row r="142">
          <cell r="H142" t="str">
            <v>VLPLW2627/919</v>
          </cell>
          <cell r="I142">
            <v>46165</v>
          </cell>
          <cell r="J142">
            <v>13</v>
          </cell>
          <cell r="K142" t="str">
            <v>Pending</v>
          </cell>
          <cell r="L142" t="str">
            <v>G168 To Hosur</v>
          </cell>
          <cell r="M142">
            <v>39000</v>
          </cell>
          <cell r="N142">
            <v>34000</v>
          </cell>
          <cell r="O142">
            <v>46165</v>
          </cell>
          <cell r="P142">
            <v>5000</v>
          </cell>
          <cell r="Q142" t="str">
            <v>Pending</v>
          </cell>
          <cell r="R142" t="str">
            <v>Sanjeev Auto</v>
          </cell>
          <cell r="S142">
            <v>46000</v>
          </cell>
          <cell r="T142" t="str">
            <v>Pending</v>
          </cell>
          <cell r="U142" t="str">
            <v>Pending</v>
          </cell>
        </row>
        <row r="143">
          <cell r="H143" t="str">
            <v>VLPLW2627/920</v>
          </cell>
          <cell r="I143">
            <v>46165</v>
          </cell>
          <cell r="J143">
            <v>13</v>
          </cell>
          <cell r="K143" t="str">
            <v>Pending</v>
          </cell>
          <cell r="L143" t="str">
            <v>G168 To Hosur</v>
          </cell>
          <cell r="M143">
            <v>27500</v>
          </cell>
          <cell r="N143">
            <v>24500</v>
          </cell>
          <cell r="O143">
            <v>46165</v>
          </cell>
          <cell r="P143">
            <v>3000</v>
          </cell>
          <cell r="Q143" t="str">
            <v>Pending</v>
          </cell>
          <cell r="R143" t="str">
            <v>Sanjeev Auto</v>
          </cell>
          <cell r="S143">
            <v>32000</v>
          </cell>
          <cell r="T143" t="str">
            <v>Pending</v>
          </cell>
          <cell r="U143" t="str">
            <v>Pending</v>
          </cell>
        </row>
        <row r="144">
          <cell r="H144" t="str">
            <v>VLPLW2627/937</v>
          </cell>
          <cell r="I144">
            <v>46165</v>
          </cell>
          <cell r="J144">
            <v>13</v>
          </cell>
          <cell r="K144" t="str">
            <v>Pending</v>
          </cell>
          <cell r="L144" t="str">
            <v>G168 To Hosur</v>
          </cell>
          <cell r="M144">
            <v>27500</v>
          </cell>
          <cell r="N144">
            <v>24500</v>
          </cell>
          <cell r="O144">
            <v>46167</v>
          </cell>
          <cell r="P144">
            <v>3000</v>
          </cell>
          <cell r="Q144" t="str">
            <v>Pending</v>
          </cell>
          <cell r="R144" t="str">
            <v>Sanjeev Auto</v>
          </cell>
          <cell r="S144">
            <v>32000</v>
          </cell>
          <cell r="T144" t="str">
            <v>Pending</v>
          </cell>
          <cell r="U144" t="str">
            <v>Pending</v>
          </cell>
        </row>
        <row r="145">
          <cell r="H145" t="str">
            <v>VLPLW2627/994</v>
          </cell>
          <cell r="I145">
            <v>46165</v>
          </cell>
          <cell r="J145">
            <v>13</v>
          </cell>
          <cell r="K145" t="str">
            <v>Pending</v>
          </cell>
          <cell r="L145" t="str">
            <v>Waluj To hosu</v>
          </cell>
          <cell r="M145">
            <v>39000</v>
          </cell>
          <cell r="N145">
            <v>34000</v>
          </cell>
          <cell r="O145">
            <v>46169</v>
          </cell>
          <cell r="P145">
            <v>5000</v>
          </cell>
          <cell r="Q145" t="str">
            <v>Pending</v>
          </cell>
          <cell r="R145" t="str">
            <v>Sanjeev Auto</v>
          </cell>
          <cell r="S145">
            <v>46000</v>
          </cell>
          <cell r="T145" t="str">
            <v>Pending</v>
          </cell>
          <cell r="U145" t="str">
            <v>Pending</v>
          </cell>
        </row>
        <row r="146">
          <cell r="H146" t="str">
            <v>VLPLW2627/997</v>
          </cell>
          <cell r="I146">
            <v>46167</v>
          </cell>
          <cell r="J146">
            <v>11</v>
          </cell>
          <cell r="K146" t="str">
            <v>Pending</v>
          </cell>
          <cell r="L146" t="str">
            <v>Waluj To hosu</v>
          </cell>
          <cell r="M146">
            <v>39000</v>
          </cell>
          <cell r="N146">
            <v>34000</v>
          </cell>
          <cell r="O146">
            <v>46169</v>
          </cell>
          <cell r="P146">
            <v>5000</v>
          </cell>
          <cell r="Q146" t="str">
            <v>Pending</v>
          </cell>
          <cell r="R146" t="str">
            <v>Sanjeev Auto</v>
          </cell>
          <cell r="S146">
            <v>46000</v>
          </cell>
          <cell r="T146" t="str">
            <v>Pending</v>
          </cell>
          <cell r="U146" t="str">
            <v>Pending</v>
          </cell>
        </row>
        <row r="147">
          <cell r="H147" t="str">
            <v>VLPLW2627/992</v>
          </cell>
          <cell r="I147">
            <v>46165</v>
          </cell>
          <cell r="J147">
            <v>13</v>
          </cell>
          <cell r="K147" t="str">
            <v>Pending</v>
          </cell>
          <cell r="L147" t="str">
            <v>Waluj To HOSUR</v>
          </cell>
          <cell r="M147">
            <v>19000</v>
          </cell>
          <cell r="N147">
            <v>17000</v>
          </cell>
          <cell r="O147">
            <v>46169</v>
          </cell>
          <cell r="P147">
            <v>2000</v>
          </cell>
          <cell r="Q147" t="str">
            <v>Pending</v>
          </cell>
          <cell r="R147" t="str">
            <v>Sanjeev Auto</v>
          </cell>
          <cell r="S147">
            <v>22000</v>
          </cell>
          <cell r="T147" t="str">
            <v>Pending</v>
          </cell>
          <cell r="U147" t="str">
            <v>Pending</v>
          </cell>
        </row>
        <row r="148">
          <cell r="H148" t="str">
            <v>VLPLW2627/993</v>
          </cell>
          <cell r="I148">
            <v>46165</v>
          </cell>
          <cell r="J148">
            <v>13</v>
          </cell>
          <cell r="K148" t="str">
            <v>Pending</v>
          </cell>
          <cell r="L148" t="str">
            <v>Waluj To HOSUR</v>
          </cell>
          <cell r="M148">
            <v>19000</v>
          </cell>
          <cell r="N148">
            <v>17000</v>
          </cell>
          <cell r="O148">
            <v>46169</v>
          </cell>
          <cell r="P148">
            <v>2000</v>
          </cell>
          <cell r="Q148" t="str">
            <v>Pending</v>
          </cell>
          <cell r="R148" t="str">
            <v>Sanjeev Auto</v>
          </cell>
          <cell r="S148">
            <v>22000</v>
          </cell>
          <cell r="T148" t="str">
            <v>Pending</v>
          </cell>
          <cell r="U148" t="str">
            <v>Pending</v>
          </cell>
        </row>
        <row r="149">
          <cell r="H149" t="str">
            <v>VLPLW2627/995</v>
          </cell>
          <cell r="I149">
            <v>46167</v>
          </cell>
          <cell r="J149">
            <v>11</v>
          </cell>
          <cell r="K149" t="str">
            <v>Pending</v>
          </cell>
          <cell r="L149" t="str">
            <v>Waluj To HOSUR</v>
          </cell>
          <cell r="M149">
            <v>19000</v>
          </cell>
          <cell r="N149">
            <v>17000</v>
          </cell>
          <cell r="O149">
            <v>46169</v>
          </cell>
          <cell r="P149">
            <v>2000</v>
          </cell>
          <cell r="Q149" t="str">
            <v>Pending</v>
          </cell>
          <cell r="R149" t="str">
            <v>Sanjeev Auto</v>
          </cell>
          <cell r="S149">
            <v>22000</v>
          </cell>
          <cell r="T149" t="str">
            <v>Pending</v>
          </cell>
          <cell r="U149" t="str">
            <v>Pending</v>
          </cell>
        </row>
        <row r="150">
          <cell r="H150" t="str">
            <v>VLPLW2627/996</v>
          </cell>
          <cell r="I150">
            <v>46167</v>
          </cell>
          <cell r="J150">
            <v>11</v>
          </cell>
          <cell r="K150" t="str">
            <v>Pending</v>
          </cell>
          <cell r="L150" t="str">
            <v>Waluj To HOSUR</v>
          </cell>
          <cell r="M150">
            <v>19000</v>
          </cell>
          <cell r="N150">
            <v>17000</v>
          </cell>
          <cell r="O150">
            <v>46169</v>
          </cell>
          <cell r="P150">
            <v>2000</v>
          </cell>
          <cell r="Q150" t="str">
            <v>Pending</v>
          </cell>
          <cell r="R150" t="str">
            <v>Sanjeev Auto</v>
          </cell>
          <cell r="S150">
            <v>22000</v>
          </cell>
          <cell r="T150" t="str">
            <v>Pending</v>
          </cell>
          <cell r="U150" t="str">
            <v>Pending</v>
          </cell>
        </row>
        <row r="151">
          <cell r="H151" t="str">
            <v>VLPLW2627/998</v>
          </cell>
          <cell r="I151">
            <v>46168</v>
          </cell>
          <cell r="J151">
            <v>10</v>
          </cell>
          <cell r="K151" t="str">
            <v>Pending</v>
          </cell>
          <cell r="L151" t="str">
            <v>Waluj To HOSUR</v>
          </cell>
          <cell r="M151">
            <v>19000</v>
          </cell>
          <cell r="N151">
            <v>17000</v>
          </cell>
          <cell r="O151">
            <v>46169</v>
          </cell>
          <cell r="P151">
            <v>2000</v>
          </cell>
          <cell r="Q151" t="str">
            <v>Pending</v>
          </cell>
          <cell r="R151" t="str">
            <v>Sanjeev Auto</v>
          </cell>
          <cell r="S151">
            <v>22000</v>
          </cell>
          <cell r="T151" t="str">
            <v>Pending</v>
          </cell>
          <cell r="U151" t="str">
            <v>Pending</v>
          </cell>
        </row>
        <row r="152">
          <cell r="H152" t="str">
            <v>VLPLW2627/999</v>
          </cell>
          <cell r="I152">
            <v>46168</v>
          </cell>
          <cell r="J152">
            <v>10</v>
          </cell>
          <cell r="K152" t="str">
            <v>Pending</v>
          </cell>
          <cell r="L152" t="str">
            <v>Waluj To HOSUR</v>
          </cell>
          <cell r="M152">
            <v>19000</v>
          </cell>
          <cell r="N152">
            <v>17000</v>
          </cell>
          <cell r="O152">
            <v>46169</v>
          </cell>
          <cell r="P152">
            <v>2000</v>
          </cell>
          <cell r="Q152" t="str">
            <v>Pending</v>
          </cell>
          <cell r="R152" t="str">
            <v>Sanjeev Auto</v>
          </cell>
          <cell r="S152">
            <v>22000</v>
          </cell>
          <cell r="T152" t="str">
            <v>Pending</v>
          </cell>
          <cell r="U152" t="str">
            <v>Pending</v>
          </cell>
        </row>
        <row r="153">
          <cell r="H153" t="str">
            <v>VLPLW2627/1040</v>
          </cell>
          <cell r="I153">
            <v>46169</v>
          </cell>
          <cell r="J153">
            <v>9</v>
          </cell>
          <cell r="K153" t="str">
            <v>Pending</v>
          </cell>
          <cell r="L153" t="str">
            <v>Waluj To HOSUR</v>
          </cell>
          <cell r="M153">
            <v>19000</v>
          </cell>
          <cell r="N153">
            <v>17000</v>
          </cell>
          <cell r="O153">
            <v>46170</v>
          </cell>
          <cell r="P153">
            <v>2000</v>
          </cell>
          <cell r="Q153" t="str">
            <v>Pending</v>
          </cell>
          <cell r="R153" t="str">
            <v>Sanjeev Auto</v>
          </cell>
          <cell r="S153">
            <v>22000</v>
          </cell>
          <cell r="T153" t="str">
            <v>Pending</v>
          </cell>
          <cell r="U153" t="str">
            <v>Pending</v>
          </cell>
        </row>
        <row r="154">
          <cell r="H154" t="str">
            <v xml:space="preserve">VLPLW2627/1041  </v>
          </cell>
          <cell r="I154">
            <v>46170</v>
          </cell>
          <cell r="J154">
            <v>8</v>
          </cell>
          <cell r="K154" t="str">
            <v>Pending</v>
          </cell>
          <cell r="L154" t="str">
            <v>Waluj To HOSUR</v>
          </cell>
          <cell r="M154">
            <v>19000</v>
          </cell>
          <cell r="N154">
            <v>17000</v>
          </cell>
          <cell r="O154">
            <v>46170</v>
          </cell>
          <cell r="P154">
            <v>2000</v>
          </cell>
          <cell r="Q154" t="str">
            <v>Pending</v>
          </cell>
          <cell r="R154" t="str">
            <v>Sanjeev Auto</v>
          </cell>
          <cell r="S154">
            <v>22000</v>
          </cell>
          <cell r="T154" t="str">
            <v>Pending</v>
          </cell>
          <cell r="U154" t="str">
            <v>Pending</v>
          </cell>
        </row>
        <row r="155">
          <cell r="H155" t="str">
            <v xml:space="preserve">VLPLW2627/1073  </v>
          </cell>
          <cell r="I155">
            <v>46170</v>
          </cell>
          <cell r="J155">
            <v>8</v>
          </cell>
          <cell r="K155" t="str">
            <v>Pending</v>
          </cell>
          <cell r="L155" t="str">
            <v>Waluj To HOSUR</v>
          </cell>
          <cell r="M155">
            <v>19000</v>
          </cell>
          <cell r="N155">
            <v>17000</v>
          </cell>
          <cell r="O155">
            <v>46171</v>
          </cell>
          <cell r="P155">
            <v>2000</v>
          </cell>
          <cell r="Q155" t="str">
            <v>Pending</v>
          </cell>
          <cell r="R155" t="str">
            <v>Sanjeev Auto</v>
          </cell>
          <cell r="S155">
            <v>22000</v>
          </cell>
          <cell r="T155" t="str">
            <v>Pending</v>
          </cell>
          <cell r="U155" t="str">
            <v>Pending</v>
          </cell>
        </row>
        <row r="156">
          <cell r="H156" t="str">
            <v>VLPLW2627/1074</v>
          </cell>
          <cell r="I156">
            <v>46171</v>
          </cell>
          <cell r="J156">
            <v>7</v>
          </cell>
          <cell r="K156" t="str">
            <v>Pending</v>
          </cell>
          <cell r="L156" t="str">
            <v>Waluj To HOSUR</v>
          </cell>
          <cell r="M156">
            <v>19000</v>
          </cell>
          <cell r="N156">
            <v>17000</v>
          </cell>
          <cell r="O156">
            <v>46171</v>
          </cell>
          <cell r="P156">
            <v>2000</v>
          </cell>
          <cell r="Q156" t="str">
            <v>Pending</v>
          </cell>
          <cell r="R156" t="str">
            <v>Sanjeev Auto</v>
          </cell>
          <cell r="S156">
            <v>22000</v>
          </cell>
          <cell r="T156" t="str">
            <v>Pending</v>
          </cell>
          <cell r="U156" t="str">
            <v>Pending</v>
          </cell>
        </row>
        <row r="157">
          <cell r="H157" t="str">
            <v xml:space="preserve">VLPLW2627/1075  </v>
          </cell>
          <cell r="I157">
            <v>46170</v>
          </cell>
          <cell r="J157">
            <v>8</v>
          </cell>
          <cell r="K157" t="str">
            <v>Pending</v>
          </cell>
          <cell r="L157" t="str">
            <v>Waluj To HOSUR</v>
          </cell>
          <cell r="M157">
            <v>19000</v>
          </cell>
          <cell r="N157">
            <v>17000</v>
          </cell>
          <cell r="O157">
            <v>46171</v>
          </cell>
          <cell r="P157">
            <v>2000</v>
          </cell>
          <cell r="Q157" t="str">
            <v>Pending</v>
          </cell>
          <cell r="R157" t="str">
            <v>Sanjeev Auto</v>
          </cell>
          <cell r="S157">
            <v>22000</v>
          </cell>
          <cell r="T157" t="str">
            <v>Pending</v>
          </cell>
          <cell r="U157" t="str">
            <v>Pending</v>
          </cell>
        </row>
        <row r="158">
          <cell r="H158" t="str">
            <v>VLPLW2627/1093</v>
          </cell>
          <cell r="I158">
            <v>46170</v>
          </cell>
          <cell r="J158">
            <v>8</v>
          </cell>
          <cell r="K158" t="str">
            <v>Pending</v>
          </cell>
          <cell r="L158" t="str">
            <v>WALUJ To hosur </v>
          </cell>
          <cell r="M158">
            <v>33000</v>
          </cell>
          <cell r="N158">
            <v>30000</v>
          </cell>
          <cell r="O158">
            <v>46172</v>
          </cell>
          <cell r="P158">
            <v>3000</v>
          </cell>
          <cell r="Q158" t="str">
            <v>Pending</v>
          </cell>
          <cell r="R158" t="str">
            <v>Sanjeev Auto</v>
          </cell>
          <cell r="S158">
            <v>38000</v>
          </cell>
          <cell r="T158" t="str">
            <v>Pending</v>
          </cell>
          <cell r="U158" t="str">
            <v>Pending</v>
          </cell>
        </row>
        <row r="159">
          <cell r="H159" t="str">
            <v>VLPLW2627/1094</v>
          </cell>
          <cell r="I159">
            <v>46170</v>
          </cell>
          <cell r="J159">
            <v>8</v>
          </cell>
          <cell r="K159" t="str">
            <v>Pending</v>
          </cell>
          <cell r="L159" t="str">
            <v>G168 To Hosur</v>
          </cell>
          <cell r="M159">
            <v>27500</v>
          </cell>
          <cell r="N159">
            <v>24500</v>
          </cell>
          <cell r="O159">
            <v>46172</v>
          </cell>
          <cell r="P159">
            <v>3000</v>
          </cell>
          <cell r="Q159" t="str">
            <v>Pending</v>
          </cell>
          <cell r="R159" t="str">
            <v>Sanjeev Auto</v>
          </cell>
          <cell r="S159">
            <v>32000</v>
          </cell>
          <cell r="T159" t="str">
            <v>Pending</v>
          </cell>
          <cell r="U159" t="str">
            <v>Pending</v>
          </cell>
        </row>
        <row r="160">
          <cell r="H160" t="str">
            <v>VLPLW2627/1095</v>
          </cell>
          <cell r="I160">
            <v>46168</v>
          </cell>
          <cell r="J160">
            <v>10</v>
          </cell>
          <cell r="K160" t="str">
            <v>Pending</v>
          </cell>
          <cell r="L160" t="str">
            <v>G168 To Hosur</v>
          </cell>
          <cell r="M160">
            <v>27500</v>
          </cell>
          <cell r="N160">
            <v>24500</v>
          </cell>
          <cell r="O160">
            <v>46172</v>
          </cell>
          <cell r="P160">
            <v>3000</v>
          </cell>
          <cell r="Q160" t="str">
            <v>Pending</v>
          </cell>
          <cell r="R160" t="str">
            <v>Sanjeev Auto</v>
          </cell>
          <cell r="S160">
            <v>32000</v>
          </cell>
          <cell r="T160" t="str">
            <v>Pending</v>
          </cell>
          <cell r="U160" t="str">
            <v>Pending</v>
          </cell>
        </row>
        <row r="161">
          <cell r="H161" t="str">
            <v xml:space="preserve">VLPLW2627/1108 </v>
          </cell>
          <cell r="I161">
            <v>46170</v>
          </cell>
          <cell r="J161">
            <v>8</v>
          </cell>
          <cell r="K161" t="str">
            <v>Pending</v>
          </cell>
          <cell r="L161" t="str">
            <v>Waluj To HOSUR</v>
          </cell>
          <cell r="M161">
            <v>19000</v>
          </cell>
          <cell r="N161">
            <v>17000</v>
          </cell>
          <cell r="O161">
            <v>46172</v>
          </cell>
          <cell r="P161">
            <v>2000</v>
          </cell>
          <cell r="Q161" t="str">
            <v>Pending</v>
          </cell>
          <cell r="R161" t="str">
            <v>Sanjeev Auto</v>
          </cell>
          <cell r="S161">
            <v>22000</v>
          </cell>
          <cell r="T161" t="str">
            <v>Pending</v>
          </cell>
          <cell r="U161" t="str">
            <v>Pending</v>
          </cell>
        </row>
        <row r="162">
          <cell r="H162" t="str">
            <v>VLPLW2627/1116</v>
          </cell>
          <cell r="I162">
            <v>46171</v>
          </cell>
          <cell r="J162">
            <v>7</v>
          </cell>
          <cell r="K162" t="str">
            <v>Pending</v>
          </cell>
          <cell r="L162" t="str">
            <v>G168 To  Hosur</v>
          </cell>
          <cell r="M162">
            <v>39000</v>
          </cell>
          <cell r="N162">
            <v>34000</v>
          </cell>
          <cell r="O162">
            <v>46172</v>
          </cell>
          <cell r="P162">
            <v>5000</v>
          </cell>
          <cell r="Q162" t="str">
            <v>Pending</v>
          </cell>
          <cell r="R162" t="str">
            <v>Sanjeev Auto</v>
          </cell>
          <cell r="S162">
            <v>46000</v>
          </cell>
          <cell r="T162" t="str">
            <v>Pending</v>
          </cell>
          <cell r="U162" t="str">
            <v>Pending</v>
          </cell>
        </row>
        <row r="163">
          <cell r="H163" t="str">
            <v>VLPLW2627/1122</v>
          </cell>
          <cell r="I163">
            <v>46172</v>
          </cell>
          <cell r="J163">
            <v>6</v>
          </cell>
          <cell r="K163" t="str">
            <v>Pending</v>
          </cell>
          <cell r="L163" t="str">
            <v>Waluj To HOSUR</v>
          </cell>
          <cell r="M163">
            <v>19000</v>
          </cell>
          <cell r="N163">
            <v>17000</v>
          </cell>
          <cell r="O163">
            <v>46172</v>
          </cell>
          <cell r="P163">
            <v>2000</v>
          </cell>
          <cell r="Q163" t="str">
            <v>Pending</v>
          </cell>
          <cell r="R163" t="str">
            <v>Sanjeev Auto</v>
          </cell>
          <cell r="S163">
            <v>22000</v>
          </cell>
          <cell r="T163" t="str">
            <v>Pending</v>
          </cell>
          <cell r="U163" t="str">
            <v>Pending</v>
          </cell>
        </row>
        <row r="164">
          <cell r="H164" t="str">
            <v>VLPLW2627/1130</v>
          </cell>
          <cell r="I164">
            <v>46172</v>
          </cell>
          <cell r="J164">
            <v>6</v>
          </cell>
          <cell r="K164" t="str">
            <v>Pending</v>
          </cell>
          <cell r="L164" t="str">
            <v>G168 To Hosur</v>
          </cell>
          <cell r="M164">
            <v>27500</v>
          </cell>
          <cell r="N164">
            <v>24500</v>
          </cell>
          <cell r="O164">
            <v>46174</v>
          </cell>
          <cell r="P164">
            <v>3000</v>
          </cell>
          <cell r="Q164" t="str">
            <v>Pending</v>
          </cell>
          <cell r="R164" t="str">
            <v>Sanjeev Auto</v>
          </cell>
          <cell r="S164">
            <v>32000</v>
          </cell>
          <cell r="T164" t="str">
            <v>Pending</v>
          </cell>
          <cell r="U164" t="str">
            <v>Pending</v>
          </cell>
        </row>
        <row r="165">
          <cell r="H165" t="str">
            <v>VLPLW2627/1109</v>
          </cell>
          <cell r="I165">
            <v>46172</v>
          </cell>
          <cell r="J165">
            <v>6</v>
          </cell>
          <cell r="K165" t="str">
            <v>Pending</v>
          </cell>
          <cell r="L165" t="str">
            <v>Waluj To HOSUR</v>
          </cell>
          <cell r="M165">
            <v>19000</v>
          </cell>
          <cell r="N165">
            <v>17000</v>
          </cell>
          <cell r="O165">
            <v>46175</v>
          </cell>
          <cell r="P165">
            <v>2000</v>
          </cell>
          <cell r="Q165" t="str">
            <v>Pending</v>
          </cell>
          <cell r="R165" t="str">
            <v>Sanjeev Auto</v>
          </cell>
          <cell r="S165">
            <v>22000</v>
          </cell>
          <cell r="T165" t="str">
            <v>Pending</v>
          </cell>
          <cell r="U165" t="str">
            <v>Pending</v>
          </cell>
        </row>
        <row r="166">
          <cell r="H166" t="str">
            <v>VLPLW2627/1178</v>
          </cell>
          <cell r="I166">
            <v>46172</v>
          </cell>
          <cell r="J166">
            <v>6</v>
          </cell>
          <cell r="K166" t="str">
            <v>Pending</v>
          </cell>
          <cell r="L166" t="str">
            <v>Waluj To hosu</v>
          </cell>
          <cell r="M166">
            <v>39000</v>
          </cell>
          <cell r="N166">
            <v>34000</v>
          </cell>
          <cell r="O166">
            <v>46175</v>
          </cell>
          <cell r="P166">
            <v>5000</v>
          </cell>
          <cell r="Q166" t="str">
            <v>Pending</v>
          </cell>
          <cell r="R166" t="str">
            <v>Sanjeev Auto</v>
          </cell>
          <cell r="S166">
            <v>46000</v>
          </cell>
          <cell r="T166" t="str">
            <v>Pending</v>
          </cell>
          <cell r="U166" t="str">
            <v>Pending</v>
          </cell>
        </row>
        <row r="167">
          <cell r="H167" t="str">
            <v>VLPLW2627/1179</v>
          </cell>
          <cell r="I167">
            <v>46172</v>
          </cell>
          <cell r="J167">
            <v>6</v>
          </cell>
          <cell r="K167" t="str">
            <v>Pending</v>
          </cell>
          <cell r="L167" t="str">
            <v>Waluj To HOSUR</v>
          </cell>
          <cell r="M167">
            <v>19000</v>
          </cell>
          <cell r="N167">
            <v>17000</v>
          </cell>
          <cell r="O167">
            <v>46175</v>
          </cell>
          <cell r="P167">
            <v>2000</v>
          </cell>
          <cell r="Q167" t="str">
            <v>Pending</v>
          </cell>
          <cell r="R167" t="str">
            <v>Sanjeev Auto</v>
          </cell>
          <cell r="S167">
            <v>22000</v>
          </cell>
          <cell r="T167" t="str">
            <v>Pending</v>
          </cell>
          <cell r="U167" t="str">
            <v>Pending</v>
          </cell>
        </row>
        <row r="168">
          <cell r="H168" t="str">
            <v xml:space="preserve">VLPLW2627/1184  </v>
          </cell>
          <cell r="I168">
            <v>46173</v>
          </cell>
          <cell r="J168">
            <v>5</v>
          </cell>
          <cell r="K168" t="str">
            <v>Pending</v>
          </cell>
          <cell r="L168" t="str">
            <v>Waluj To hosu</v>
          </cell>
          <cell r="M168">
            <v>39000</v>
          </cell>
          <cell r="N168">
            <v>34000</v>
          </cell>
          <cell r="O168">
            <v>46175</v>
          </cell>
          <cell r="P168">
            <v>5000</v>
          </cell>
          <cell r="Q168" t="str">
            <v>Pending</v>
          </cell>
          <cell r="R168" t="str">
            <v>Sanjeev Auto</v>
          </cell>
          <cell r="S168">
            <v>46000</v>
          </cell>
          <cell r="T168" t="str">
            <v>Pending</v>
          </cell>
          <cell r="U168" t="str">
            <v>Pending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296"/>
  <sheetViews>
    <sheetView tabSelected="1" topLeftCell="F1" zoomScaleNormal="100" workbookViewId="0">
      <selection activeCell="K8" sqref="K8"/>
    </sheetView>
  </sheetViews>
  <sheetFormatPr defaultColWidth="17.84375" defaultRowHeight="14.5"/>
  <cols>
    <col min="1" max="1" width="8.3046875" style="63" bestFit="1" customWidth="1"/>
    <col min="2" max="2" width="11.15234375" style="63" bestFit="1" customWidth="1"/>
    <col min="3" max="3" width="27.84375" style="63" bestFit="1" customWidth="1"/>
    <col min="4" max="4" width="9.15234375" style="63" bestFit="1" customWidth="1"/>
    <col min="5" max="5" width="10.69140625" style="63" bestFit="1" customWidth="1"/>
    <col min="6" max="6" width="15.15234375" style="63" bestFit="1" customWidth="1"/>
    <col min="7" max="7" width="16.69140625" style="124" bestFit="1" customWidth="1"/>
    <col min="8" max="8" width="13.15234375" style="63" customWidth="1"/>
    <col min="9" max="9" width="12.15234375" style="63" bestFit="1" customWidth="1"/>
    <col min="10" max="10" width="12.3828125" style="63" bestFit="1" customWidth="1"/>
    <col min="11" max="11" width="18.15234375" style="63" bestFit="1" customWidth="1"/>
    <col min="12" max="12" width="27.07421875" style="63" customWidth="1"/>
    <col min="13" max="13" width="12.69140625" style="63" bestFit="1" customWidth="1"/>
    <col min="14" max="14" width="12.84375" style="63" bestFit="1" customWidth="1"/>
    <col min="15" max="15" width="17" style="63" bestFit="1" customWidth="1"/>
    <col min="16" max="16" width="13.15234375" style="63" bestFit="1" customWidth="1"/>
    <col min="17" max="17" width="16.53515625" style="63" bestFit="1" customWidth="1"/>
    <col min="18" max="18" width="22.53515625" style="63" bestFit="1" customWidth="1"/>
    <col min="19" max="19" width="12.3828125" style="63" bestFit="1" customWidth="1"/>
    <col min="20" max="20" width="17.69140625" style="63" bestFit="1" customWidth="1"/>
    <col min="21" max="21" width="18.3046875" style="63" bestFit="1" customWidth="1"/>
    <col min="22" max="22" width="12.15234375" style="63" bestFit="1" customWidth="1"/>
    <col min="23" max="23" width="11" style="63" bestFit="1" customWidth="1"/>
    <col min="24" max="24" width="15.84375" style="63" bestFit="1" customWidth="1"/>
    <col min="25" max="25" width="12.3828125" style="63" customWidth="1"/>
    <col min="26" max="26" width="10.53515625" style="63" customWidth="1"/>
    <col min="27" max="27" width="11.84375" style="63" bestFit="1" customWidth="1"/>
    <col min="28" max="16384" width="17.84375" style="63"/>
  </cols>
  <sheetData>
    <row r="1" spans="1:27" ht="39">
      <c r="A1" s="9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12" t="s">
        <v>9</v>
      </c>
      <c r="K1" s="11" t="s">
        <v>10</v>
      </c>
      <c r="L1" s="9" t="s">
        <v>11</v>
      </c>
      <c r="M1" s="13" t="s">
        <v>264</v>
      </c>
      <c r="N1" s="11" t="s">
        <v>265</v>
      </c>
      <c r="O1" s="11" t="s">
        <v>14</v>
      </c>
      <c r="P1" s="13" t="s">
        <v>266</v>
      </c>
      <c r="Q1" s="11" t="s">
        <v>16</v>
      </c>
      <c r="R1" s="11" t="s">
        <v>18</v>
      </c>
      <c r="S1" s="13" t="s">
        <v>21</v>
      </c>
      <c r="T1" s="14" t="s">
        <v>19</v>
      </c>
      <c r="U1" s="9" t="s">
        <v>20</v>
      </c>
      <c r="V1" s="11" t="s">
        <v>22</v>
      </c>
      <c r="W1" s="13" t="s">
        <v>23</v>
      </c>
      <c r="X1" s="9" t="s">
        <v>17</v>
      </c>
      <c r="Y1" s="11" t="s">
        <v>267</v>
      </c>
      <c r="Z1" s="15" t="s">
        <v>26</v>
      </c>
      <c r="AA1" s="15" t="s">
        <v>27</v>
      </c>
    </row>
    <row r="2" spans="1:27">
      <c r="A2" s="64">
        <f>SUBTOTAL(3,C$2:C2)</f>
        <v>1</v>
      </c>
      <c r="B2" s="64" t="s">
        <v>30</v>
      </c>
      <c r="C2" s="64" t="s">
        <v>44</v>
      </c>
      <c r="D2" s="64" t="s">
        <v>32</v>
      </c>
      <c r="E2" s="64" t="s">
        <v>33</v>
      </c>
      <c r="F2" s="64" t="s">
        <v>62</v>
      </c>
      <c r="G2" s="91" t="s">
        <v>59</v>
      </c>
      <c r="H2" s="92">
        <v>17051</v>
      </c>
      <c r="I2" s="65">
        <v>46113</v>
      </c>
      <c r="J2" s="64">
        <f t="shared" ref="J2" ca="1" si="0">+TODAY()-I2</f>
        <v>71</v>
      </c>
      <c r="K2" s="64">
        <f t="shared" ref="K2:K12" si="1">+U2</f>
        <v>46137</v>
      </c>
      <c r="L2" s="64" t="s">
        <v>47</v>
      </c>
      <c r="M2" s="64">
        <v>38000</v>
      </c>
      <c r="N2" s="64">
        <v>35000</v>
      </c>
      <c r="O2" s="65">
        <v>46113</v>
      </c>
      <c r="P2" s="64">
        <f t="shared" ref="P2" si="2">+M2-N2</f>
        <v>3000</v>
      </c>
      <c r="Q2" s="64" t="s">
        <v>33</v>
      </c>
      <c r="R2" s="64" t="s">
        <v>37</v>
      </c>
      <c r="S2" s="64">
        <v>43500</v>
      </c>
      <c r="T2" s="64" t="s">
        <v>821</v>
      </c>
      <c r="U2" s="65">
        <v>46137</v>
      </c>
      <c r="V2" s="64" t="s">
        <v>28</v>
      </c>
      <c r="W2" s="64">
        <f t="shared" ref="W2:W30" si="3">+S2-M2</f>
        <v>5500</v>
      </c>
      <c r="X2" s="64" t="s">
        <v>36</v>
      </c>
      <c r="Y2" s="64" t="s">
        <v>29</v>
      </c>
      <c r="Z2" s="71">
        <f t="shared" ref="Z2:Z30" si="4">+W2*100/M2</f>
        <v>14.473684210526315</v>
      </c>
      <c r="AA2" s="93"/>
    </row>
    <row r="3" spans="1:27">
      <c r="A3" s="64">
        <f>SUBTOTAL(3,C$2:C3)</f>
        <v>2</v>
      </c>
      <c r="B3" s="64" t="s">
        <v>30</v>
      </c>
      <c r="C3" s="64" t="s">
        <v>31</v>
      </c>
      <c r="D3" s="64" t="s">
        <v>32</v>
      </c>
      <c r="E3" s="64" t="s">
        <v>33</v>
      </c>
      <c r="F3" s="64" t="s">
        <v>42</v>
      </c>
      <c r="G3" s="91" t="s">
        <v>34</v>
      </c>
      <c r="H3" s="92">
        <v>17053</v>
      </c>
      <c r="I3" s="65">
        <v>46113</v>
      </c>
      <c r="J3" s="64">
        <f t="shared" ref="J3:J4" ca="1" si="5">+TODAY()-I3</f>
        <v>71</v>
      </c>
      <c r="K3" s="64">
        <f t="shared" si="1"/>
        <v>46137</v>
      </c>
      <c r="L3" s="64" t="s">
        <v>88</v>
      </c>
      <c r="M3" s="64">
        <v>23500</v>
      </c>
      <c r="N3" s="64">
        <v>21500</v>
      </c>
      <c r="O3" s="65">
        <v>46113</v>
      </c>
      <c r="P3" s="64">
        <f t="shared" ref="P3:P4" si="6">+M3-N3</f>
        <v>2000</v>
      </c>
      <c r="Q3" s="65">
        <v>46141</v>
      </c>
      <c r="R3" s="64" t="s">
        <v>37</v>
      </c>
      <c r="S3" s="64">
        <v>26000</v>
      </c>
      <c r="T3" s="64" t="s">
        <v>822</v>
      </c>
      <c r="U3" s="65">
        <v>46137</v>
      </c>
      <c r="V3" s="64" t="s">
        <v>28</v>
      </c>
      <c r="W3" s="64">
        <f t="shared" si="3"/>
        <v>2500</v>
      </c>
      <c r="X3" s="64" t="s">
        <v>36</v>
      </c>
      <c r="Y3" s="64" t="s">
        <v>29</v>
      </c>
      <c r="Z3" s="71">
        <f t="shared" si="4"/>
        <v>10.638297872340425</v>
      </c>
      <c r="AA3" s="93"/>
    </row>
    <row r="4" spans="1:27">
      <c r="A4" s="64">
        <f>SUBTOTAL(3,C$2:C4)</f>
        <v>3</v>
      </c>
      <c r="B4" s="64" t="s">
        <v>30</v>
      </c>
      <c r="C4" s="64" t="s">
        <v>44</v>
      </c>
      <c r="D4" s="64" t="s">
        <v>32</v>
      </c>
      <c r="E4" s="64" t="s">
        <v>33</v>
      </c>
      <c r="F4" s="64" t="s">
        <v>45</v>
      </c>
      <c r="G4" s="91" t="s">
        <v>46</v>
      </c>
      <c r="H4" s="92">
        <v>17054</v>
      </c>
      <c r="I4" s="65">
        <v>46113</v>
      </c>
      <c r="J4" s="64">
        <f t="shared" ca="1" si="5"/>
        <v>71</v>
      </c>
      <c r="K4" s="64">
        <f t="shared" si="1"/>
        <v>46136</v>
      </c>
      <c r="L4" s="64" t="s">
        <v>47</v>
      </c>
      <c r="M4" s="64">
        <v>19000</v>
      </c>
      <c r="N4" s="64">
        <v>17000</v>
      </c>
      <c r="O4" s="65">
        <v>46113</v>
      </c>
      <c r="P4" s="64">
        <f t="shared" si="6"/>
        <v>2000</v>
      </c>
      <c r="Q4" s="65">
        <v>46141</v>
      </c>
      <c r="R4" s="64" t="s">
        <v>39</v>
      </c>
      <c r="S4" s="64">
        <v>22800</v>
      </c>
      <c r="T4" s="64" t="s">
        <v>807</v>
      </c>
      <c r="U4" s="65">
        <v>46136</v>
      </c>
      <c r="V4" s="64" t="s">
        <v>28</v>
      </c>
      <c r="W4" s="64">
        <f t="shared" si="3"/>
        <v>3800</v>
      </c>
      <c r="X4" s="64" t="s">
        <v>36</v>
      </c>
      <c r="Y4" s="64" t="s">
        <v>29</v>
      </c>
      <c r="Z4" s="71">
        <f t="shared" si="4"/>
        <v>20</v>
      </c>
      <c r="AA4" s="93"/>
    </row>
    <row r="5" spans="1:27">
      <c r="A5" s="64">
        <f>SUBTOTAL(3,C$2:C5)</f>
        <v>4</v>
      </c>
      <c r="B5" s="64" t="s">
        <v>30</v>
      </c>
      <c r="C5" s="64" t="s">
        <v>31</v>
      </c>
      <c r="D5" s="64" t="s">
        <v>32</v>
      </c>
      <c r="E5" s="64" t="s">
        <v>33</v>
      </c>
      <c r="F5" s="64" t="s">
        <v>40</v>
      </c>
      <c r="G5" s="91" t="s">
        <v>34</v>
      </c>
      <c r="H5" s="92">
        <v>17055</v>
      </c>
      <c r="I5" s="65">
        <v>46113</v>
      </c>
      <c r="J5" s="64">
        <f t="shared" ref="J5:J7" ca="1" si="7">+TODAY()-I5</f>
        <v>71</v>
      </c>
      <c r="K5" s="64">
        <f t="shared" si="1"/>
        <v>46136</v>
      </c>
      <c r="L5" s="64" t="s">
        <v>47</v>
      </c>
      <c r="M5" s="64">
        <v>19000</v>
      </c>
      <c r="N5" s="64">
        <v>17000</v>
      </c>
      <c r="O5" s="65">
        <v>46113</v>
      </c>
      <c r="P5" s="64">
        <f t="shared" ref="P5:P7" si="8">+M5-N5</f>
        <v>2000</v>
      </c>
      <c r="Q5" s="65">
        <v>46141</v>
      </c>
      <c r="R5" s="64" t="s">
        <v>39</v>
      </c>
      <c r="S5" s="64">
        <v>22800</v>
      </c>
      <c r="T5" s="64" t="s">
        <v>807</v>
      </c>
      <c r="U5" s="65">
        <v>46136</v>
      </c>
      <c r="V5" s="64" t="s">
        <v>28</v>
      </c>
      <c r="W5" s="64">
        <f t="shared" si="3"/>
        <v>3800</v>
      </c>
      <c r="X5" s="64" t="s">
        <v>36</v>
      </c>
      <c r="Y5" s="64" t="s">
        <v>29</v>
      </c>
      <c r="Z5" s="71">
        <f t="shared" si="4"/>
        <v>20</v>
      </c>
      <c r="AA5" s="93"/>
    </row>
    <row r="6" spans="1:27">
      <c r="A6" s="64">
        <f>SUBTOTAL(3,C$2:C6)</f>
        <v>5</v>
      </c>
      <c r="B6" s="64" t="s">
        <v>30</v>
      </c>
      <c r="C6" s="64" t="s">
        <v>48</v>
      </c>
      <c r="D6" s="64" t="s">
        <v>32</v>
      </c>
      <c r="E6" s="64" t="s">
        <v>33</v>
      </c>
      <c r="F6" s="64" t="s">
        <v>49</v>
      </c>
      <c r="G6" s="91" t="s">
        <v>50</v>
      </c>
      <c r="H6" s="92">
        <v>17056</v>
      </c>
      <c r="I6" s="65">
        <v>46113</v>
      </c>
      <c r="J6" s="64">
        <f t="shared" ca="1" si="7"/>
        <v>71</v>
      </c>
      <c r="K6" s="64">
        <f t="shared" si="1"/>
        <v>46136</v>
      </c>
      <c r="L6" s="64" t="s">
        <v>51</v>
      </c>
      <c r="M6" s="64">
        <f>3000+44000</f>
        <v>47000</v>
      </c>
      <c r="N6" s="64">
        <v>40000</v>
      </c>
      <c r="O6" s="65">
        <v>46113</v>
      </c>
      <c r="P6" s="64">
        <f t="shared" si="8"/>
        <v>7000</v>
      </c>
      <c r="Q6" s="65">
        <v>46141</v>
      </c>
      <c r="R6" s="64" t="s">
        <v>52</v>
      </c>
      <c r="S6" s="64">
        <f>5000+48000</f>
        <v>53000</v>
      </c>
      <c r="T6" s="64" t="s">
        <v>814</v>
      </c>
      <c r="U6" s="65">
        <v>46136</v>
      </c>
      <c r="V6" s="64" t="s">
        <v>28</v>
      </c>
      <c r="W6" s="64">
        <f t="shared" si="3"/>
        <v>6000</v>
      </c>
      <c r="X6" s="64" t="s">
        <v>36</v>
      </c>
      <c r="Y6" s="64" t="s">
        <v>29</v>
      </c>
      <c r="Z6" s="71">
        <f t="shared" si="4"/>
        <v>12.76595744680851</v>
      </c>
      <c r="AA6" s="93"/>
    </row>
    <row r="7" spans="1:27">
      <c r="A7" s="64">
        <f>SUBTOTAL(3,C$2:C7)</f>
        <v>6</v>
      </c>
      <c r="B7" s="64" t="s">
        <v>30</v>
      </c>
      <c r="C7" s="64" t="s">
        <v>31</v>
      </c>
      <c r="D7" s="64" t="s">
        <v>32</v>
      </c>
      <c r="E7" s="64" t="s">
        <v>33</v>
      </c>
      <c r="F7" s="64" t="s">
        <v>53</v>
      </c>
      <c r="G7" s="91" t="s">
        <v>34</v>
      </c>
      <c r="H7" s="92">
        <v>17057</v>
      </c>
      <c r="I7" s="65">
        <v>46113</v>
      </c>
      <c r="J7" s="64">
        <f t="shared" ca="1" si="7"/>
        <v>71</v>
      </c>
      <c r="K7" s="64">
        <f t="shared" si="1"/>
        <v>46137</v>
      </c>
      <c r="L7" s="52" t="s">
        <v>519</v>
      </c>
      <c r="M7" s="64">
        <v>18500</v>
      </c>
      <c r="N7" s="64">
        <v>16500</v>
      </c>
      <c r="O7" s="65">
        <v>46113</v>
      </c>
      <c r="P7" s="64">
        <f t="shared" si="8"/>
        <v>2000</v>
      </c>
      <c r="Q7" s="65">
        <v>46141</v>
      </c>
      <c r="R7" s="64" t="s">
        <v>37</v>
      </c>
      <c r="S7" s="64">
        <v>21500</v>
      </c>
      <c r="T7" s="64" t="s">
        <v>823</v>
      </c>
      <c r="U7" s="65">
        <v>46137</v>
      </c>
      <c r="V7" s="64" t="s">
        <v>28</v>
      </c>
      <c r="W7" s="64">
        <f t="shared" si="3"/>
        <v>3000</v>
      </c>
      <c r="X7" s="64" t="s">
        <v>36</v>
      </c>
      <c r="Y7" s="64" t="s">
        <v>29</v>
      </c>
      <c r="Z7" s="71">
        <f t="shared" si="4"/>
        <v>16.216216216216218</v>
      </c>
      <c r="AA7" s="93"/>
    </row>
    <row r="8" spans="1:27">
      <c r="A8" s="64">
        <f>SUBTOTAL(3,C$2:C8)</f>
        <v>7</v>
      </c>
      <c r="B8" s="64" t="s">
        <v>30</v>
      </c>
      <c r="C8" s="64" t="s">
        <v>31</v>
      </c>
      <c r="D8" s="64" t="s">
        <v>32</v>
      </c>
      <c r="E8" s="64" t="s">
        <v>33</v>
      </c>
      <c r="F8" s="64" t="s">
        <v>41</v>
      </c>
      <c r="G8" s="91" t="s">
        <v>34</v>
      </c>
      <c r="H8" s="92">
        <v>17060</v>
      </c>
      <c r="I8" s="65">
        <v>46113</v>
      </c>
      <c r="J8" s="64">
        <f t="shared" ref="J8" ca="1" si="9">+TODAY()-I8</f>
        <v>71</v>
      </c>
      <c r="K8" s="64">
        <f t="shared" si="1"/>
        <v>46136</v>
      </c>
      <c r="L8" s="64" t="s">
        <v>47</v>
      </c>
      <c r="M8" s="64">
        <v>19000</v>
      </c>
      <c r="N8" s="64">
        <v>17000</v>
      </c>
      <c r="O8" s="65">
        <v>46113</v>
      </c>
      <c r="P8" s="64">
        <f t="shared" ref="P8" si="10">+M8-N8</f>
        <v>2000</v>
      </c>
      <c r="Q8" s="65">
        <v>46141</v>
      </c>
      <c r="R8" s="64" t="s">
        <v>39</v>
      </c>
      <c r="S8" s="64">
        <v>22800</v>
      </c>
      <c r="T8" s="64" t="s">
        <v>807</v>
      </c>
      <c r="U8" s="65">
        <v>46136</v>
      </c>
      <c r="V8" s="64" t="s">
        <v>28</v>
      </c>
      <c r="W8" s="64">
        <f t="shared" si="3"/>
        <v>3800</v>
      </c>
      <c r="X8" s="64" t="s">
        <v>36</v>
      </c>
      <c r="Y8" s="64" t="s">
        <v>29</v>
      </c>
      <c r="Z8" s="71">
        <f t="shared" si="4"/>
        <v>20</v>
      </c>
      <c r="AA8" s="93"/>
    </row>
    <row r="9" spans="1:27">
      <c r="A9" s="64">
        <f>SUBTOTAL(3,C$2:C9)</f>
        <v>8</v>
      </c>
      <c r="B9" s="64" t="s">
        <v>30</v>
      </c>
      <c r="C9" s="64" t="s">
        <v>31</v>
      </c>
      <c r="D9" s="64" t="s">
        <v>32</v>
      </c>
      <c r="E9" s="64" t="s">
        <v>33</v>
      </c>
      <c r="F9" s="64" t="s">
        <v>43</v>
      </c>
      <c r="G9" s="91" t="s">
        <v>34</v>
      </c>
      <c r="H9" s="92">
        <v>17059</v>
      </c>
      <c r="I9" s="65">
        <v>46113</v>
      </c>
      <c r="J9" s="64">
        <f t="shared" ref="J9:J12" ca="1" si="11">+TODAY()-I9</f>
        <v>71</v>
      </c>
      <c r="K9" s="64">
        <f t="shared" si="1"/>
        <v>46137</v>
      </c>
      <c r="L9" s="64" t="s">
        <v>88</v>
      </c>
      <c r="M9" s="64">
        <v>23500</v>
      </c>
      <c r="N9" s="64">
        <v>21500</v>
      </c>
      <c r="O9" s="65">
        <v>46113</v>
      </c>
      <c r="P9" s="64">
        <f t="shared" ref="P9:P12" si="12">+M9-N9</f>
        <v>2000</v>
      </c>
      <c r="Q9" s="65">
        <v>46141</v>
      </c>
      <c r="R9" s="64" t="s">
        <v>37</v>
      </c>
      <c r="S9" s="64">
        <v>26000</v>
      </c>
      <c r="T9" s="64" t="s">
        <v>822</v>
      </c>
      <c r="U9" s="65">
        <v>46137</v>
      </c>
      <c r="V9" s="64" t="s">
        <v>28</v>
      </c>
      <c r="W9" s="64">
        <f t="shared" si="3"/>
        <v>2500</v>
      </c>
      <c r="X9" s="64" t="s">
        <v>36</v>
      </c>
      <c r="Y9" s="64" t="s">
        <v>29</v>
      </c>
      <c r="Z9" s="71">
        <f t="shared" si="4"/>
        <v>10.638297872340425</v>
      </c>
      <c r="AA9" s="93"/>
    </row>
    <row r="10" spans="1:27">
      <c r="A10" s="64">
        <f>SUBTOTAL(3,C$2:C10)</f>
        <v>9</v>
      </c>
      <c r="B10" s="64" t="s">
        <v>30</v>
      </c>
      <c r="C10" s="64" t="s">
        <v>31</v>
      </c>
      <c r="D10" s="64" t="s">
        <v>32</v>
      </c>
      <c r="E10" s="64" t="s">
        <v>33</v>
      </c>
      <c r="F10" s="64" t="s">
        <v>90</v>
      </c>
      <c r="G10" s="91" t="s">
        <v>34</v>
      </c>
      <c r="H10" s="92">
        <v>17061</v>
      </c>
      <c r="I10" s="65">
        <v>46113</v>
      </c>
      <c r="J10" s="64">
        <f t="shared" ca="1" si="11"/>
        <v>71</v>
      </c>
      <c r="K10" s="64">
        <f t="shared" si="1"/>
        <v>46136</v>
      </c>
      <c r="L10" s="64" t="s">
        <v>47</v>
      </c>
      <c r="M10" s="64">
        <v>19000</v>
      </c>
      <c r="N10" s="64">
        <v>17000</v>
      </c>
      <c r="O10" s="65">
        <v>46114</v>
      </c>
      <c r="P10" s="64">
        <f t="shared" si="12"/>
        <v>2000</v>
      </c>
      <c r="Q10" s="65">
        <v>46141</v>
      </c>
      <c r="R10" s="64" t="s">
        <v>39</v>
      </c>
      <c r="S10" s="64">
        <v>22800</v>
      </c>
      <c r="T10" s="64" t="s">
        <v>807</v>
      </c>
      <c r="U10" s="65">
        <v>46136</v>
      </c>
      <c r="V10" s="64" t="s">
        <v>28</v>
      </c>
      <c r="W10" s="64">
        <f t="shared" si="3"/>
        <v>3800</v>
      </c>
      <c r="X10" s="64" t="s">
        <v>36</v>
      </c>
      <c r="Y10" s="64" t="s">
        <v>29</v>
      </c>
      <c r="Z10" s="71">
        <f t="shared" si="4"/>
        <v>20</v>
      </c>
      <c r="AA10" s="93"/>
    </row>
    <row r="11" spans="1:27">
      <c r="A11" s="64">
        <f>SUBTOTAL(3,C$2:C11)</f>
        <v>10</v>
      </c>
      <c r="B11" s="64" t="s">
        <v>30</v>
      </c>
      <c r="C11" s="64" t="s">
        <v>31</v>
      </c>
      <c r="D11" s="64" t="s">
        <v>32</v>
      </c>
      <c r="E11" s="64" t="s">
        <v>33</v>
      </c>
      <c r="F11" s="64" t="s">
        <v>91</v>
      </c>
      <c r="G11" s="91" t="s">
        <v>34</v>
      </c>
      <c r="H11" s="92">
        <v>17062</v>
      </c>
      <c r="I11" s="65">
        <v>46113</v>
      </c>
      <c r="J11" s="64">
        <f t="shared" ca="1" si="11"/>
        <v>71</v>
      </c>
      <c r="K11" s="64">
        <f t="shared" si="1"/>
        <v>46136</v>
      </c>
      <c r="L11" s="64" t="s">
        <v>47</v>
      </c>
      <c r="M11" s="64">
        <v>19000</v>
      </c>
      <c r="N11" s="64">
        <v>17000</v>
      </c>
      <c r="O11" s="65">
        <v>46114</v>
      </c>
      <c r="P11" s="64">
        <f t="shared" si="12"/>
        <v>2000</v>
      </c>
      <c r="Q11" s="65">
        <v>46141</v>
      </c>
      <c r="R11" s="64" t="s">
        <v>39</v>
      </c>
      <c r="S11" s="64">
        <v>22800</v>
      </c>
      <c r="T11" s="64" t="s">
        <v>807</v>
      </c>
      <c r="U11" s="65">
        <v>46136</v>
      </c>
      <c r="V11" s="64" t="s">
        <v>28</v>
      </c>
      <c r="W11" s="64">
        <f t="shared" si="3"/>
        <v>3800</v>
      </c>
      <c r="X11" s="64" t="s">
        <v>36</v>
      </c>
      <c r="Y11" s="64" t="s">
        <v>29</v>
      </c>
      <c r="Z11" s="71">
        <f t="shared" si="4"/>
        <v>20</v>
      </c>
      <c r="AA11" s="93"/>
    </row>
    <row r="12" spans="1:27">
      <c r="A12" s="64">
        <f>SUBTOTAL(3,C$2:C12)</f>
        <v>11</v>
      </c>
      <c r="B12" s="64" t="s">
        <v>30</v>
      </c>
      <c r="C12" s="64" t="s">
        <v>31</v>
      </c>
      <c r="D12" s="64" t="s">
        <v>32</v>
      </c>
      <c r="E12" s="64" t="s">
        <v>33</v>
      </c>
      <c r="F12" s="64" t="s">
        <v>92</v>
      </c>
      <c r="G12" s="91" t="s">
        <v>34</v>
      </c>
      <c r="H12" s="92">
        <v>17063</v>
      </c>
      <c r="I12" s="65">
        <v>46114</v>
      </c>
      <c r="J12" s="64">
        <f t="shared" ca="1" si="11"/>
        <v>70</v>
      </c>
      <c r="K12" s="64" t="str">
        <f t="shared" si="1"/>
        <v>Pending</v>
      </c>
      <c r="L12" s="64" t="s">
        <v>47</v>
      </c>
      <c r="M12" s="64">
        <v>19000</v>
      </c>
      <c r="N12" s="64">
        <v>17000</v>
      </c>
      <c r="O12" s="65">
        <v>46114</v>
      </c>
      <c r="P12" s="64">
        <f t="shared" si="12"/>
        <v>2000</v>
      </c>
      <c r="Q12" s="64" t="s">
        <v>33</v>
      </c>
      <c r="R12" s="64" t="s">
        <v>39</v>
      </c>
      <c r="S12" s="64">
        <v>22800</v>
      </c>
      <c r="T12" s="64" t="s">
        <v>33</v>
      </c>
      <c r="U12" s="65" t="s">
        <v>33</v>
      </c>
      <c r="V12" s="64" t="s">
        <v>28</v>
      </c>
      <c r="W12" s="64">
        <f t="shared" si="3"/>
        <v>3800</v>
      </c>
      <c r="X12" s="64" t="s">
        <v>36</v>
      </c>
      <c r="Y12" s="64" t="s">
        <v>29</v>
      </c>
      <c r="Z12" s="71">
        <f t="shared" si="4"/>
        <v>20</v>
      </c>
      <c r="AA12" s="93"/>
    </row>
    <row r="13" spans="1:27">
      <c r="A13" s="64">
        <f>SUBTOTAL(3,C$2:C13)</f>
        <v>12</v>
      </c>
      <c r="B13" s="64" t="s">
        <v>30</v>
      </c>
      <c r="C13" s="64" t="s">
        <v>76</v>
      </c>
      <c r="D13" s="64" t="s">
        <v>32</v>
      </c>
      <c r="E13" s="64" t="s">
        <v>33</v>
      </c>
      <c r="F13" s="64" t="s">
        <v>77</v>
      </c>
      <c r="G13" s="91" t="s">
        <v>67</v>
      </c>
      <c r="H13" s="66">
        <v>17064</v>
      </c>
      <c r="I13" s="65">
        <v>46113</v>
      </c>
      <c r="J13" s="64">
        <f t="shared" ref="J13" ca="1" si="13">+TODAY()-I13</f>
        <v>71</v>
      </c>
      <c r="K13" s="64" t="str">
        <f t="shared" ref="K13" si="14">+U13</f>
        <v>Pending</v>
      </c>
      <c r="L13" s="64" t="s">
        <v>97</v>
      </c>
      <c r="M13" s="64">
        <v>21500</v>
      </c>
      <c r="N13" s="64">
        <v>21500</v>
      </c>
      <c r="O13" s="65">
        <v>46114</v>
      </c>
      <c r="P13" s="64">
        <f t="shared" ref="P13" si="15">+M13-N13</f>
        <v>0</v>
      </c>
      <c r="Q13" s="65">
        <v>46114</v>
      </c>
      <c r="R13" s="64" t="s">
        <v>78</v>
      </c>
      <c r="S13" s="64">
        <v>25500</v>
      </c>
      <c r="T13" s="64" t="s">
        <v>33</v>
      </c>
      <c r="U13" s="65" t="s">
        <v>33</v>
      </c>
      <c r="V13" s="64" t="s">
        <v>28</v>
      </c>
      <c r="W13" s="64">
        <f t="shared" si="3"/>
        <v>4000</v>
      </c>
      <c r="X13" s="64" t="s">
        <v>36</v>
      </c>
      <c r="Y13" s="64" t="s">
        <v>29</v>
      </c>
      <c r="Z13" s="71">
        <f t="shared" si="4"/>
        <v>18.604651162790699</v>
      </c>
      <c r="AA13" s="93"/>
    </row>
    <row r="14" spans="1:27" s="67" customFormat="1">
      <c r="A14" s="66">
        <f>SUBTOTAL(3,C$2:C14)</f>
        <v>13</v>
      </c>
      <c r="B14" s="66" t="s">
        <v>30</v>
      </c>
      <c r="C14" s="66" t="s">
        <v>80</v>
      </c>
      <c r="D14" s="66" t="s">
        <v>32</v>
      </c>
      <c r="E14" s="66" t="s">
        <v>33</v>
      </c>
      <c r="F14" s="66" t="s">
        <v>81</v>
      </c>
      <c r="G14" s="94" t="s">
        <v>59</v>
      </c>
      <c r="H14" s="92">
        <v>17065</v>
      </c>
      <c r="I14" s="68">
        <v>46113</v>
      </c>
      <c r="J14" s="66">
        <f t="shared" ref="J14:J16" ca="1" si="16">+TODAY()-I14</f>
        <v>71</v>
      </c>
      <c r="K14" s="66">
        <f t="shared" ref="K14:K16" si="17">+U14</f>
        <v>46169</v>
      </c>
      <c r="L14" s="66" t="s">
        <v>121</v>
      </c>
      <c r="M14" s="66">
        <v>22500</v>
      </c>
      <c r="N14" s="66">
        <v>22500</v>
      </c>
      <c r="O14" s="68">
        <v>46114</v>
      </c>
      <c r="P14" s="66">
        <f t="shared" ref="P14:P16" si="18">+M14-N14</f>
        <v>0</v>
      </c>
      <c r="Q14" s="68">
        <v>46114</v>
      </c>
      <c r="R14" s="66" t="s">
        <v>39</v>
      </c>
      <c r="S14" s="66">
        <v>25200</v>
      </c>
      <c r="T14" s="64" t="s">
        <v>2656</v>
      </c>
      <c r="U14" s="65">
        <v>46169</v>
      </c>
      <c r="V14" s="66" t="s">
        <v>28</v>
      </c>
      <c r="W14" s="66">
        <f t="shared" si="3"/>
        <v>2700</v>
      </c>
      <c r="X14" s="66" t="s">
        <v>36</v>
      </c>
      <c r="Y14" s="66" t="s">
        <v>29</v>
      </c>
      <c r="Z14" s="75">
        <f t="shared" si="4"/>
        <v>12</v>
      </c>
      <c r="AA14" s="93"/>
    </row>
    <row r="15" spans="1:27">
      <c r="A15" s="64">
        <f>SUBTOTAL(3,C$2:C15)</f>
        <v>14</v>
      </c>
      <c r="B15" s="64" t="s">
        <v>30</v>
      </c>
      <c r="C15" s="64" t="s">
        <v>44</v>
      </c>
      <c r="D15" s="64" t="s">
        <v>32</v>
      </c>
      <c r="E15" s="64" t="s">
        <v>33</v>
      </c>
      <c r="F15" s="64" t="s">
        <v>83</v>
      </c>
      <c r="G15" s="91">
        <v>407</v>
      </c>
      <c r="H15" s="92">
        <v>17066</v>
      </c>
      <c r="I15" s="65">
        <v>46114</v>
      </c>
      <c r="J15" s="64">
        <f t="shared" ca="1" si="16"/>
        <v>70</v>
      </c>
      <c r="K15" s="64">
        <f t="shared" si="17"/>
        <v>46163</v>
      </c>
      <c r="L15" s="64" t="s">
        <v>84</v>
      </c>
      <c r="M15" s="64">
        <v>27000</v>
      </c>
      <c r="N15" s="64">
        <v>25000</v>
      </c>
      <c r="O15" s="65">
        <v>46114</v>
      </c>
      <c r="P15" s="64">
        <f t="shared" si="18"/>
        <v>2000</v>
      </c>
      <c r="Q15" s="64" t="s">
        <v>33</v>
      </c>
      <c r="R15" s="64" t="s">
        <v>56</v>
      </c>
      <c r="S15" s="64">
        <v>29800</v>
      </c>
      <c r="T15" s="64" t="s">
        <v>2185</v>
      </c>
      <c r="U15" s="65">
        <v>46163</v>
      </c>
      <c r="V15" s="64" t="s">
        <v>28</v>
      </c>
      <c r="W15" s="64">
        <f t="shared" si="3"/>
        <v>2800</v>
      </c>
      <c r="X15" s="64" t="s">
        <v>36</v>
      </c>
      <c r="Y15" s="64" t="s">
        <v>29</v>
      </c>
      <c r="Z15" s="71">
        <f t="shared" si="4"/>
        <v>10.37037037037037</v>
      </c>
      <c r="AA15" s="93"/>
    </row>
    <row r="16" spans="1:27">
      <c r="A16" s="64">
        <f>SUBTOTAL(3,C$2:C16)</f>
        <v>15</v>
      </c>
      <c r="B16" s="64" t="s">
        <v>30</v>
      </c>
      <c r="C16" s="64" t="s">
        <v>31</v>
      </c>
      <c r="D16" s="64" t="s">
        <v>32</v>
      </c>
      <c r="E16" s="64" t="s">
        <v>33</v>
      </c>
      <c r="F16" s="64" t="s">
        <v>85</v>
      </c>
      <c r="G16" s="91" t="s">
        <v>34</v>
      </c>
      <c r="H16" s="92">
        <v>17067</v>
      </c>
      <c r="I16" s="65">
        <v>46114</v>
      </c>
      <c r="J16" s="64">
        <f t="shared" ca="1" si="16"/>
        <v>70</v>
      </c>
      <c r="K16" s="64">
        <f t="shared" si="17"/>
        <v>46148</v>
      </c>
      <c r="L16" s="52" t="s">
        <v>639</v>
      </c>
      <c r="M16" s="64">
        <v>18500</v>
      </c>
      <c r="N16" s="64">
        <v>16500</v>
      </c>
      <c r="O16" s="65">
        <v>46114</v>
      </c>
      <c r="P16" s="64">
        <f t="shared" si="18"/>
        <v>2000</v>
      </c>
      <c r="Q16" s="64" t="s">
        <v>33</v>
      </c>
      <c r="R16" s="64" t="s">
        <v>37</v>
      </c>
      <c r="S16" s="64">
        <v>21500</v>
      </c>
      <c r="T16" s="64" t="s">
        <v>1336</v>
      </c>
      <c r="U16" s="65">
        <v>46148</v>
      </c>
      <c r="V16" s="64" t="s">
        <v>28</v>
      </c>
      <c r="W16" s="64">
        <f t="shared" si="3"/>
        <v>3000</v>
      </c>
      <c r="X16" s="64" t="s">
        <v>36</v>
      </c>
      <c r="Y16" s="64" t="s">
        <v>29</v>
      </c>
      <c r="Z16" s="71">
        <f t="shared" si="4"/>
        <v>16.216216216216218</v>
      </c>
      <c r="AA16" s="93"/>
    </row>
    <row r="17" spans="1:27">
      <c r="A17" s="64">
        <f>SUBTOTAL(3,C$2:C17)</f>
        <v>16</v>
      </c>
      <c r="B17" s="64" t="s">
        <v>30</v>
      </c>
      <c r="C17" s="64" t="s">
        <v>31</v>
      </c>
      <c r="D17" s="64" t="s">
        <v>32</v>
      </c>
      <c r="E17" s="64" t="s">
        <v>33</v>
      </c>
      <c r="F17" s="64" t="s">
        <v>87</v>
      </c>
      <c r="G17" s="91" t="s">
        <v>34</v>
      </c>
      <c r="H17" s="92">
        <v>17068</v>
      </c>
      <c r="I17" s="65">
        <v>46114</v>
      </c>
      <c r="J17" s="64">
        <f t="shared" ref="J17" ca="1" si="19">+TODAY()-I17</f>
        <v>70</v>
      </c>
      <c r="K17" s="64">
        <f t="shared" ref="K17" si="20">+U17</f>
        <v>46137</v>
      </c>
      <c r="L17" s="64" t="s">
        <v>88</v>
      </c>
      <c r="M17" s="64">
        <v>23500</v>
      </c>
      <c r="N17" s="64">
        <v>21500</v>
      </c>
      <c r="O17" s="65">
        <v>46114</v>
      </c>
      <c r="P17" s="64">
        <f t="shared" ref="P17" si="21">+M17-N17</f>
        <v>2000</v>
      </c>
      <c r="Q17" s="65">
        <v>46141</v>
      </c>
      <c r="R17" s="64" t="s">
        <v>37</v>
      </c>
      <c r="S17" s="64">
        <v>26000</v>
      </c>
      <c r="T17" s="64" t="s">
        <v>822</v>
      </c>
      <c r="U17" s="65">
        <v>46137</v>
      </c>
      <c r="V17" s="64" t="s">
        <v>28</v>
      </c>
      <c r="W17" s="64">
        <f t="shared" si="3"/>
        <v>2500</v>
      </c>
      <c r="X17" s="64" t="s">
        <v>36</v>
      </c>
      <c r="Y17" s="64" t="s">
        <v>29</v>
      </c>
      <c r="Z17" s="71">
        <f t="shared" si="4"/>
        <v>10.638297872340425</v>
      </c>
      <c r="AA17" s="93"/>
    </row>
    <row r="18" spans="1:27">
      <c r="A18" s="64">
        <f>SUBTOTAL(3,C$2:C18)</f>
        <v>17</v>
      </c>
      <c r="B18" s="64" t="s">
        <v>30</v>
      </c>
      <c r="C18" s="64" t="s">
        <v>31</v>
      </c>
      <c r="D18" s="64" t="s">
        <v>32</v>
      </c>
      <c r="E18" s="64" t="s">
        <v>33</v>
      </c>
      <c r="F18" s="64" t="s">
        <v>89</v>
      </c>
      <c r="G18" s="91" t="s">
        <v>34</v>
      </c>
      <c r="H18" s="92">
        <v>17069</v>
      </c>
      <c r="I18" s="65">
        <v>46114</v>
      </c>
      <c r="J18" s="64">
        <f t="shared" ref="J18" ca="1" si="22">+TODAY()-I18</f>
        <v>70</v>
      </c>
      <c r="K18" s="64">
        <f t="shared" ref="K18" si="23">+U18</f>
        <v>46137</v>
      </c>
      <c r="L18" s="52" t="s">
        <v>519</v>
      </c>
      <c r="M18" s="64">
        <v>18500</v>
      </c>
      <c r="N18" s="64">
        <v>16500</v>
      </c>
      <c r="O18" s="65">
        <v>46114</v>
      </c>
      <c r="P18" s="64">
        <f t="shared" ref="P18" si="24">+M18-N18</f>
        <v>2000</v>
      </c>
      <c r="Q18" s="65">
        <v>46141</v>
      </c>
      <c r="R18" s="64" t="s">
        <v>37</v>
      </c>
      <c r="S18" s="64">
        <v>21500</v>
      </c>
      <c r="T18" s="64" t="s">
        <v>823</v>
      </c>
      <c r="U18" s="65">
        <v>46137</v>
      </c>
      <c r="V18" s="64" t="s">
        <v>28</v>
      </c>
      <c r="W18" s="64">
        <f t="shared" si="3"/>
        <v>3000</v>
      </c>
      <c r="X18" s="64" t="s">
        <v>36</v>
      </c>
      <c r="Y18" s="64" t="s">
        <v>29</v>
      </c>
      <c r="Z18" s="71">
        <f t="shared" si="4"/>
        <v>16.216216216216218</v>
      </c>
      <c r="AA18" s="93"/>
    </row>
    <row r="19" spans="1:27">
      <c r="A19" s="64">
        <f>SUBTOTAL(3,C$2:C19)</f>
        <v>18</v>
      </c>
      <c r="B19" s="64" t="s">
        <v>30</v>
      </c>
      <c r="C19" s="64" t="s">
        <v>31</v>
      </c>
      <c r="D19" s="64" t="s">
        <v>32</v>
      </c>
      <c r="E19" s="64" t="s">
        <v>33</v>
      </c>
      <c r="F19" s="64" t="s">
        <v>93</v>
      </c>
      <c r="G19" s="91" t="s">
        <v>34</v>
      </c>
      <c r="H19" s="64">
        <v>17070</v>
      </c>
      <c r="I19" s="65">
        <v>46114</v>
      </c>
      <c r="J19" s="64">
        <f t="shared" ref="J19" ca="1" si="25">+TODAY()-I19</f>
        <v>70</v>
      </c>
      <c r="K19" s="64" t="str">
        <f t="shared" ref="K19" si="26">+U19</f>
        <v>Pending</v>
      </c>
      <c r="L19" s="64" t="s">
        <v>47</v>
      </c>
      <c r="M19" s="64">
        <v>19000</v>
      </c>
      <c r="N19" s="64">
        <v>17000</v>
      </c>
      <c r="O19" s="65">
        <v>46114</v>
      </c>
      <c r="P19" s="64">
        <f t="shared" ref="P19" si="27">+M19-N19</f>
        <v>2000</v>
      </c>
      <c r="Q19" s="64" t="s">
        <v>33</v>
      </c>
      <c r="R19" s="64" t="s">
        <v>39</v>
      </c>
      <c r="S19" s="64">
        <v>22800</v>
      </c>
      <c r="T19" s="64" t="s">
        <v>33</v>
      </c>
      <c r="U19" s="65" t="s">
        <v>33</v>
      </c>
      <c r="V19" s="64" t="s">
        <v>28</v>
      </c>
      <c r="W19" s="64">
        <f t="shared" si="3"/>
        <v>3800</v>
      </c>
      <c r="X19" s="64" t="s">
        <v>36</v>
      </c>
      <c r="Y19" s="64" t="s">
        <v>29</v>
      </c>
      <c r="Z19" s="71">
        <f t="shared" si="4"/>
        <v>20</v>
      </c>
      <c r="AA19" s="93"/>
    </row>
    <row r="20" spans="1:27">
      <c r="A20" s="64">
        <f>SUBTOTAL(3,C$2:C20)</f>
        <v>19</v>
      </c>
      <c r="B20" s="64" t="s">
        <v>30</v>
      </c>
      <c r="C20" s="64" t="s">
        <v>94</v>
      </c>
      <c r="D20" s="64" t="s">
        <v>32</v>
      </c>
      <c r="E20" s="64" t="s">
        <v>33</v>
      </c>
      <c r="F20" s="64" t="s">
        <v>95</v>
      </c>
      <c r="G20" s="91" t="s">
        <v>67</v>
      </c>
      <c r="H20" s="92">
        <v>17074</v>
      </c>
      <c r="I20" s="65">
        <v>46114</v>
      </c>
      <c r="J20" s="64">
        <f t="shared" ref="J20:J21" ca="1" si="28">+TODAY()-I20</f>
        <v>70</v>
      </c>
      <c r="K20" s="64">
        <f t="shared" ref="K20:K21" si="29">+U20</f>
        <v>46136</v>
      </c>
      <c r="L20" s="64" t="s">
        <v>97</v>
      </c>
      <c r="M20" s="64">
        <f>3000+38500</f>
        <v>41500</v>
      </c>
      <c r="N20" s="64">
        <v>35500</v>
      </c>
      <c r="O20" s="65">
        <v>46114</v>
      </c>
      <c r="P20" s="64">
        <f t="shared" ref="P20:P21" si="30">+M20-N20</f>
        <v>6000</v>
      </c>
      <c r="Q20" s="65">
        <v>46141</v>
      </c>
      <c r="R20" s="64" t="s">
        <v>52</v>
      </c>
      <c r="S20" s="64">
        <f>5000+42000</f>
        <v>47000</v>
      </c>
      <c r="T20" s="64" t="s">
        <v>810</v>
      </c>
      <c r="U20" s="65">
        <v>46136</v>
      </c>
      <c r="V20" s="64" t="s">
        <v>28</v>
      </c>
      <c r="W20" s="64">
        <f t="shared" si="3"/>
        <v>5500</v>
      </c>
      <c r="X20" s="64" t="s">
        <v>36</v>
      </c>
      <c r="Y20" s="64" t="s">
        <v>29</v>
      </c>
      <c r="Z20" s="71">
        <f t="shared" si="4"/>
        <v>13.253012048192771</v>
      </c>
      <c r="AA20" s="93"/>
    </row>
    <row r="21" spans="1:27">
      <c r="A21" s="64">
        <f>SUBTOTAL(3,C$2:C21)</f>
        <v>20</v>
      </c>
      <c r="B21" s="64" t="s">
        <v>30</v>
      </c>
      <c r="C21" s="64" t="s">
        <v>44</v>
      </c>
      <c r="D21" s="64" t="s">
        <v>32</v>
      </c>
      <c r="E21" s="64" t="s">
        <v>33</v>
      </c>
      <c r="F21" s="64" t="s">
        <v>108</v>
      </c>
      <c r="G21" s="91">
        <v>407</v>
      </c>
      <c r="H21" s="92">
        <v>17071</v>
      </c>
      <c r="I21" s="65">
        <v>46113</v>
      </c>
      <c r="J21" s="64">
        <f t="shared" ca="1" si="28"/>
        <v>71</v>
      </c>
      <c r="K21" s="64">
        <f t="shared" si="29"/>
        <v>46148</v>
      </c>
      <c r="L21" s="64" t="s">
        <v>84</v>
      </c>
      <c r="M21" s="64">
        <v>27000</v>
      </c>
      <c r="N21" s="64">
        <v>25000</v>
      </c>
      <c r="O21" s="65">
        <v>46115</v>
      </c>
      <c r="P21" s="64">
        <f t="shared" si="30"/>
        <v>2000</v>
      </c>
      <c r="Q21" s="64" t="s">
        <v>33</v>
      </c>
      <c r="R21" s="64" t="s">
        <v>78</v>
      </c>
      <c r="S21" s="64">
        <v>29800</v>
      </c>
      <c r="T21" s="64" t="s">
        <v>1326</v>
      </c>
      <c r="U21" s="65">
        <v>46148</v>
      </c>
      <c r="V21" s="64" t="s">
        <v>28</v>
      </c>
      <c r="W21" s="64">
        <f t="shared" si="3"/>
        <v>2800</v>
      </c>
      <c r="X21" s="64" t="s">
        <v>36</v>
      </c>
      <c r="Y21" s="64" t="s">
        <v>29</v>
      </c>
      <c r="Z21" s="71">
        <f t="shared" si="4"/>
        <v>10.37037037037037</v>
      </c>
      <c r="AA21" s="93"/>
    </row>
    <row r="22" spans="1:27">
      <c r="A22" s="64">
        <f>SUBTOTAL(3,C$2:C22)</f>
        <v>21</v>
      </c>
      <c r="B22" s="64" t="s">
        <v>30</v>
      </c>
      <c r="C22" s="64" t="s">
        <v>44</v>
      </c>
      <c r="D22" s="64" t="s">
        <v>32</v>
      </c>
      <c r="E22" s="64" t="s">
        <v>33</v>
      </c>
      <c r="F22" s="64" t="s">
        <v>109</v>
      </c>
      <c r="G22" s="91">
        <v>407</v>
      </c>
      <c r="H22" s="92">
        <v>17072</v>
      </c>
      <c r="I22" s="65">
        <v>46113</v>
      </c>
      <c r="J22" s="64">
        <f t="shared" ref="J22:J26" ca="1" si="31">+TODAY()-I22</f>
        <v>71</v>
      </c>
      <c r="K22" s="64" t="str">
        <f t="shared" ref="K22:K26" si="32">+U22</f>
        <v>Pending</v>
      </c>
      <c r="L22" s="64" t="s">
        <v>84</v>
      </c>
      <c r="M22" s="64">
        <v>27000</v>
      </c>
      <c r="N22" s="64">
        <v>25000</v>
      </c>
      <c r="O22" s="65">
        <v>46115</v>
      </c>
      <c r="P22" s="64">
        <f t="shared" ref="P22:P26" si="33">+M22-N22</f>
        <v>2000</v>
      </c>
      <c r="Q22" s="64" t="s">
        <v>33</v>
      </c>
      <c r="R22" s="64" t="s">
        <v>78</v>
      </c>
      <c r="S22" s="64">
        <v>29800</v>
      </c>
      <c r="T22" s="64" t="s">
        <v>33</v>
      </c>
      <c r="U22" s="65" t="s">
        <v>33</v>
      </c>
      <c r="V22" s="64" t="s">
        <v>28</v>
      </c>
      <c r="W22" s="64">
        <f t="shared" si="3"/>
        <v>2800</v>
      </c>
      <c r="X22" s="64" t="s">
        <v>36</v>
      </c>
      <c r="Y22" s="64" t="s">
        <v>29</v>
      </c>
      <c r="Z22" s="71">
        <f t="shared" si="4"/>
        <v>10.37037037037037</v>
      </c>
      <c r="AA22" s="93"/>
    </row>
    <row r="23" spans="1:27">
      <c r="A23" s="64">
        <f>SUBTOTAL(3,C$2:C23)</f>
        <v>22</v>
      </c>
      <c r="B23" s="64" t="s">
        <v>30</v>
      </c>
      <c r="C23" s="64" t="s">
        <v>31</v>
      </c>
      <c r="D23" s="64" t="s">
        <v>32</v>
      </c>
      <c r="E23" s="64" t="s">
        <v>33</v>
      </c>
      <c r="F23" s="64" t="s">
        <v>110</v>
      </c>
      <c r="G23" s="91" t="s">
        <v>34</v>
      </c>
      <c r="H23" s="92">
        <v>17073</v>
      </c>
      <c r="I23" s="65">
        <v>46114</v>
      </c>
      <c r="J23" s="64">
        <f t="shared" ca="1" si="31"/>
        <v>70</v>
      </c>
      <c r="K23" s="64">
        <f t="shared" si="32"/>
        <v>46127</v>
      </c>
      <c r="L23" s="64" t="s">
        <v>111</v>
      </c>
      <c r="M23" s="64">
        <v>11700</v>
      </c>
      <c r="N23" s="64">
        <v>10700</v>
      </c>
      <c r="O23" s="65">
        <v>46115</v>
      </c>
      <c r="P23" s="64">
        <f t="shared" si="33"/>
        <v>1000</v>
      </c>
      <c r="Q23" s="64" t="s">
        <v>33</v>
      </c>
      <c r="R23" s="64" t="s">
        <v>112</v>
      </c>
      <c r="S23" s="64">
        <v>13500</v>
      </c>
      <c r="T23" s="64" t="s">
        <v>827</v>
      </c>
      <c r="U23" s="65">
        <v>46127</v>
      </c>
      <c r="V23" s="64" t="s">
        <v>28</v>
      </c>
      <c r="W23" s="64">
        <f t="shared" si="3"/>
        <v>1800</v>
      </c>
      <c r="X23" s="64" t="s">
        <v>36</v>
      </c>
      <c r="Y23" s="64" t="s">
        <v>29</v>
      </c>
      <c r="Z23" s="71">
        <f t="shared" si="4"/>
        <v>15.384615384615385</v>
      </c>
      <c r="AA23" s="93"/>
    </row>
    <row r="24" spans="1:27">
      <c r="A24" s="64">
        <f>SUBTOTAL(3,C$2:C24)</f>
        <v>23</v>
      </c>
      <c r="B24" s="64" t="s">
        <v>30</v>
      </c>
      <c r="C24" s="64" t="s">
        <v>31</v>
      </c>
      <c r="D24" s="64" t="s">
        <v>32</v>
      </c>
      <c r="E24" s="64" t="s">
        <v>33</v>
      </c>
      <c r="F24" s="64" t="s">
        <v>113</v>
      </c>
      <c r="G24" s="91" t="s">
        <v>34</v>
      </c>
      <c r="H24" s="92">
        <v>17075</v>
      </c>
      <c r="I24" s="65">
        <v>46114</v>
      </c>
      <c r="J24" s="64">
        <f t="shared" ca="1" si="31"/>
        <v>70</v>
      </c>
      <c r="K24" s="64">
        <f t="shared" si="32"/>
        <v>46136</v>
      </c>
      <c r="L24" s="64" t="s">
        <v>47</v>
      </c>
      <c r="M24" s="64">
        <v>19000</v>
      </c>
      <c r="N24" s="64">
        <v>17000</v>
      </c>
      <c r="O24" s="65">
        <v>46115</v>
      </c>
      <c r="P24" s="64">
        <f t="shared" si="33"/>
        <v>2000</v>
      </c>
      <c r="Q24" s="65">
        <v>46141</v>
      </c>
      <c r="R24" s="64" t="s">
        <v>39</v>
      </c>
      <c r="S24" s="64">
        <v>22800</v>
      </c>
      <c r="T24" s="64" t="s">
        <v>807</v>
      </c>
      <c r="U24" s="65">
        <v>46136</v>
      </c>
      <c r="V24" s="64" t="s">
        <v>28</v>
      </c>
      <c r="W24" s="64">
        <f t="shared" si="3"/>
        <v>3800</v>
      </c>
      <c r="X24" s="64" t="s">
        <v>36</v>
      </c>
      <c r="Y24" s="64" t="s">
        <v>29</v>
      </c>
      <c r="Z24" s="71">
        <f t="shared" si="4"/>
        <v>20</v>
      </c>
      <c r="AA24" s="93"/>
    </row>
    <row r="25" spans="1:27">
      <c r="A25" s="64">
        <f>SUBTOTAL(3,C$2:C25)</f>
        <v>24</v>
      </c>
      <c r="B25" s="64" t="s">
        <v>30</v>
      </c>
      <c r="C25" s="64" t="s">
        <v>44</v>
      </c>
      <c r="D25" s="64" t="s">
        <v>32</v>
      </c>
      <c r="E25" s="64" t="s">
        <v>33</v>
      </c>
      <c r="F25" s="64" t="s">
        <v>117</v>
      </c>
      <c r="G25" s="91">
        <v>407</v>
      </c>
      <c r="H25" s="92">
        <v>17076</v>
      </c>
      <c r="I25" s="65">
        <v>46115</v>
      </c>
      <c r="J25" s="64">
        <f t="shared" ca="1" si="31"/>
        <v>69</v>
      </c>
      <c r="K25" s="64">
        <f t="shared" si="32"/>
        <v>46139</v>
      </c>
      <c r="L25" s="64" t="s">
        <v>84</v>
      </c>
      <c r="M25" s="64">
        <v>28500</v>
      </c>
      <c r="N25" s="64">
        <v>25500</v>
      </c>
      <c r="O25" s="65">
        <v>46115</v>
      </c>
      <c r="P25" s="64">
        <f t="shared" si="33"/>
        <v>3000</v>
      </c>
      <c r="Q25" s="65">
        <v>46141</v>
      </c>
      <c r="R25" s="64" t="s">
        <v>118</v>
      </c>
      <c r="S25" s="64">
        <v>30500</v>
      </c>
      <c r="T25" s="64" t="s">
        <v>826</v>
      </c>
      <c r="U25" s="65">
        <v>46139</v>
      </c>
      <c r="V25" s="64" t="s">
        <v>28</v>
      </c>
      <c r="W25" s="64">
        <f t="shared" si="3"/>
        <v>2000</v>
      </c>
      <c r="X25" s="64" t="s">
        <v>36</v>
      </c>
      <c r="Y25" s="64" t="s">
        <v>29</v>
      </c>
      <c r="Z25" s="71">
        <f t="shared" si="4"/>
        <v>7.0175438596491224</v>
      </c>
      <c r="AA25" s="93"/>
    </row>
    <row r="26" spans="1:27" s="67" customFormat="1">
      <c r="A26" s="66">
        <f>SUBTOTAL(3,C$2:C26)</f>
        <v>25</v>
      </c>
      <c r="B26" s="66" t="s">
        <v>30</v>
      </c>
      <c r="C26" s="66" t="s">
        <v>119</v>
      </c>
      <c r="D26" s="66" t="s">
        <v>32</v>
      </c>
      <c r="E26" s="66" t="s">
        <v>33</v>
      </c>
      <c r="F26" s="66" t="s">
        <v>120</v>
      </c>
      <c r="G26" s="94" t="s">
        <v>59</v>
      </c>
      <c r="H26" s="92">
        <v>17077</v>
      </c>
      <c r="I26" s="68">
        <v>46114</v>
      </c>
      <c r="J26" s="66">
        <f t="shared" ca="1" si="31"/>
        <v>70</v>
      </c>
      <c r="K26" s="66">
        <f t="shared" si="32"/>
        <v>46169</v>
      </c>
      <c r="L26" s="66" t="s">
        <v>121</v>
      </c>
      <c r="M26" s="66">
        <v>24000</v>
      </c>
      <c r="N26" s="66">
        <v>24000</v>
      </c>
      <c r="O26" s="68">
        <v>46115</v>
      </c>
      <c r="P26" s="66">
        <f t="shared" si="33"/>
        <v>0</v>
      </c>
      <c r="Q26" s="68">
        <v>46115</v>
      </c>
      <c r="R26" s="66" t="s">
        <v>39</v>
      </c>
      <c r="S26" s="66">
        <v>25200</v>
      </c>
      <c r="T26" s="64" t="s">
        <v>2656</v>
      </c>
      <c r="U26" s="65">
        <v>46169</v>
      </c>
      <c r="V26" s="66" t="s">
        <v>28</v>
      </c>
      <c r="W26" s="66">
        <f t="shared" si="3"/>
        <v>1200</v>
      </c>
      <c r="X26" s="66" t="s">
        <v>36</v>
      </c>
      <c r="Y26" s="66" t="s">
        <v>29</v>
      </c>
      <c r="Z26" s="75">
        <f t="shared" si="4"/>
        <v>5</v>
      </c>
      <c r="AA26" s="93"/>
    </row>
    <row r="27" spans="1:27">
      <c r="A27" s="64">
        <f>SUBTOTAL(3,C$2:C27)</f>
        <v>26</v>
      </c>
      <c r="B27" s="64" t="s">
        <v>30</v>
      </c>
      <c r="C27" s="64" t="s">
        <v>31</v>
      </c>
      <c r="D27" s="64" t="s">
        <v>32</v>
      </c>
      <c r="E27" s="64" t="s">
        <v>33</v>
      </c>
      <c r="F27" s="64" t="s">
        <v>114</v>
      </c>
      <c r="G27" s="91" t="s">
        <v>34</v>
      </c>
      <c r="H27" s="92">
        <v>17078</v>
      </c>
      <c r="I27" s="65">
        <v>46114</v>
      </c>
      <c r="J27" s="64">
        <f t="shared" ref="J27:J31" ca="1" si="34">+TODAY()-I27</f>
        <v>70</v>
      </c>
      <c r="K27" s="64">
        <f t="shared" ref="K27:K31" si="35">+U27</f>
        <v>46136</v>
      </c>
      <c r="L27" s="64" t="s">
        <v>47</v>
      </c>
      <c r="M27" s="64">
        <v>19000</v>
      </c>
      <c r="N27" s="64">
        <v>17000</v>
      </c>
      <c r="O27" s="65">
        <v>46115</v>
      </c>
      <c r="P27" s="64">
        <f t="shared" ref="P27:P31" si="36">+M27-N27</f>
        <v>2000</v>
      </c>
      <c r="Q27" s="65">
        <v>46141</v>
      </c>
      <c r="R27" s="64" t="s">
        <v>39</v>
      </c>
      <c r="S27" s="64">
        <v>22800</v>
      </c>
      <c r="T27" s="64" t="s">
        <v>807</v>
      </c>
      <c r="U27" s="65">
        <v>46136</v>
      </c>
      <c r="V27" s="64" t="s">
        <v>28</v>
      </c>
      <c r="W27" s="64">
        <f t="shared" si="3"/>
        <v>3800</v>
      </c>
      <c r="X27" s="64" t="s">
        <v>36</v>
      </c>
      <c r="Y27" s="64" t="s">
        <v>29</v>
      </c>
      <c r="Z27" s="71">
        <f t="shared" si="4"/>
        <v>20</v>
      </c>
      <c r="AA27" s="93"/>
    </row>
    <row r="28" spans="1:27">
      <c r="A28" s="64">
        <f>SUBTOTAL(3,C$2:C28)</f>
        <v>27</v>
      </c>
      <c r="B28" s="64" t="s">
        <v>30</v>
      </c>
      <c r="C28" s="64" t="s">
        <v>124</v>
      </c>
      <c r="D28" s="64" t="s">
        <v>32</v>
      </c>
      <c r="E28" s="64" t="s">
        <v>33</v>
      </c>
      <c r="F28" s="64" t="s">
        <v>122</v>
      </c>
      <c r="G28" s="91" t="s">
        <v>67</v>
      </c>
      <c r="H28" s="92">
        <v>17079</v>
      </c>
      <c r="I28" s="65">
        <v>46114</v>
      </c>
      <c r="J28" s="64">
        <f t="shared" ca="1" si="34"/>
        <v>70</v>
      </c>
      <c r="K28" s="64">
        <f t="shared" si="35"/>
        <v>46136</v>
      </c>
      <c r="L28" s="64" t="s">
        <v>97</v>
      </c>
      <c r="M28" s="64">
        <f>3000+38500</f>
        <v>41500</v>
      </c>
      <c r="N28" s="64">
        <v>35500</v>
      </c>
      <c r="O28" s="65">
        <v>46115</v>
      </c>
      <c r="P28" s="64">
        <f t="shared" si="36"/>
        <v>6000</v>
      </c>
      <c r="Q28" s="65">
        <v>46141</v>
      </c>
      <c r="R28" s="64" t="s">
        <v>52</v>
      </c>
      <c r="S28" s="64">
        <f>5000+42000</f>
        <v>47000</v>
      </c>
      <c r="T28" s="64" t="s">
        <v>810</v>
      </c>
      <c r="U28" s="65">
        <v>46136</v>
      </c>
      <c r="V28" s="64" t="s">
        <v>28</v>
      </c>
      <c r="W28" s="64">
        <f t="shared" si="3"/>
        <v>5500</v>
      </c>
      <c r="X28" s="64" t="s">
        <v>36</v>
      </c>
      <c r="Y28" s="64" t="s">
        <v>29</v>
      </c>
      <c r="Z28" s="71">
        <f t="shared" si="4"/>
        <v>13.253012048192771</v>
      </c>
      <c r="AA28" s="93"/>
    </row>
    <row r="29" spans="1:27">
      <c r="A29" s="64">
        <f>SUBTOTAL(3,C$2:C29)</f>
        <v>28</v>
      </c>
      <c r="B29" s="64" t="s">
        <v>30</v>
      </c>
      <c r="C29" s="64" t="s">
        <v>31</v>
      </c>
      <c r="D29" s="64" t="s">
        <v>32</v>
      </c>
      <c r="E29" s="64" t="s">
        <v>33</v>
      </c>
      <c r="F29" s="64" t="s">
        <v>132</v>
      </c>
      <c r="G29" s="91" t="s">
        <v>34</v>
      </c>
      <c r="H29" s="92">
        <v>17080</v>
      </c>
      <c r="I29" s="65">
        <v>46115</v>
      </c>
      <c r="J29" s="64">
        <f t="shared" ca="1" si="34"/>
        <v>69</v>
      </c>
      <c r="K29" s="64">
        <f t="shared" si="35"/>
        <v>46137</v>
      </c>
      <c r="L29" s="64" t="s">
        <v>88</v>
      </c>
      <c r="M29" s="64">
        <v>23500</v>
      </c>
      <c r="N29" s="64">
        <v>21500</v>
      </c>
      <c r="O29" s="65">
        <v>46115</v>
      </c>
      <c r="P29" s="64">
        <f t="shared" si="36"/>
        <v>2000</v>
      </c>
      <c r="Q29" s="65">
        <v>46141</v>
      </c>
      <c r="R29" s="64" t="s">
        <v>37</v>
      </c>
      <c r="S29" s="64">
        <v>26000</v>
      </c>
      <c r="T29" s="64" t="s">
        <v>822</v>
      </c>
      <c r="U29" s="65">
        <v>46137</v>
      </c>
      <c r="V29" s="64" t="s">
        <v>28</v>
      </c>
      <c r="W29" s="64">
        <f t="shared" si="3"/>
        <v>2500</v>
      </c>
      <c r="X29" s="64" t="s">
        <v>36</v>
      </c>
      <c r="Y29" s="64" t="s">
        <v>29</v>
      </c>
      <c r="Z29" s="71">
        <f t="shared" si="4"/>
        <v>10.638297872340425</v>
      </c>
      <c r="AA29" s="93"/>
    </row>
    <row r="30" spans="1:27">
      <c r="A30" s="64">
        <f>SUBTOTAL(3,C$2:C30)</f>
        <v>29</v>
      </c>
      <c r="B30" s="64" t="s">
        <v>30</v>
      </c>
      <c r="C30" s="64" t="s">
        <v>31</v>
      </c>
      <c r="D30" s="64" t="s">
        <v>32</v>
      </c>
      <c r="E30" s="64" t="s">
        <v>33</v>
      </c>
      <c r="F30" s="64" t="s">
        <v>125</v>
      </c>
      <c r="G30" s="91" t="s">
        <v>34</v>
      </c>
      <c r="H30" s="92">
        <v>17081</v>
      </c>
      <c r="I30" s="65">
        <v>46115</v>
      </c>
      <c r="J30" s="64">
        <f t="shared" ca="1" si="34"/>
        <v>69</v>
      </c>
      <c r="K30" s="64">
        <f t="shared" si="35"/>
        <v>46136</v>
      </c>
      <c r="L30" s="64" t="s">
        <v>47</v>
      </c>
      <c r="M30" s="64">
        <v>19000</v>
      </c>
      <c r="N30" s="64">
        <v>17000</v>
      </c>
      <c r="O30" s="65">
        <v>46115</v>
      </c>
      <c r="P30" s="64">
        <f t="shared" si="36"/>
        <v>2000</v>
      </c>
      <c r="Q30" s="65">
        <v>46141</v>
      </c>
      <c r="R30" s="64" t="s">
        <v>39</v>
      </c>
      <c r="S30" s="64">
        <v>22800</v>
      </c>
      <c r="T30" s="64" t="s">
        <v>807</v>
      </c>
      <c r="U30" s="65">
        <v>46136</v>
      </c>
      <c r="V30" s="64" t="s">
        <v>28</v>
      </c>
      <c r="W30" s="64">
        <f t="shared" si="3"/>
        <v>3800</v>
      </c>
      <c r="X30" s="64" t="s">
        <v>36</v>
      </c>
      <c r="Y30" s="64" t="s">
        <v>29</v>
      </c>
      <c r="Z30" s="71">
        <f t="shared" si="4"/>
        <v>20</v>
      </c>
      <c r="AA30" s="93"/>
    </row>
    <row r="31" spans="1:27">
      <c r="A31" s="64">
        <f>SUBTOTAL(3,C$2:C31)</f>
        <v>30</v>
      </c>
      <c r="B31" s="64" t="s">
        <v>30</v>
      </c>
      <c r="C31" s="64" t="s">
        <v>44</v>
      </c>
      <c r="D31" s="64" t="s">
        <v>32</v>
      </c>
      <c r="E31" s="64" t="s">
        <v>33</v>
      </c>
      <c r="F31" s="64" t="s">
        <v>126</v>
      </c>
      <c r="G31" s="91" t="s">
        <v>59</v>
      </c>
      <c r="H31" s="92">
        <v>17082</v>
      </c>
      <c r="I31" s="65">
        <v>46114</v>
      </c>
      <c r="J31" s="64">
        <f t="shared" ca="1" si="34"/>
        <v>70</v>
      </c>
      <c r="K31" s="64">
        <f t="shared" si="35"/>
        <v>46136</v>
      </c>
      <c r="L31" s="64" t="s">
        <v>127</v>
      </c>
      <c r="M31" s="64">
        <v>35000</v>
      </c>
      <c r="N31" s="64">
        <v>32000</v>
      </c>
      <c r="O31" s="65">
        <v>46115</v>
      </c>
      <c r="P31" s="64">
        <f t="shared" si="36"/>
        <v>3000</v>
      </c>
      <c r="Q31" s="65">
        <v>46141</v>
      </c>
      <c r="R31" s="64" t="s">
        <v>37</v>
      </c>
      <c r="S31" s="64">
        <v>38000</v>
      </c>
      <c r="T31" s="64" t="s">
        <v>817</v>
      </c>
      <c r="U31" s="65">
        <v>46136</v>
      </c>
      <c r="V31" s="64" t="s">
        <v>28</v>
      </c>
      <c r="W31" s="64">
        <f t="shared" ref="W31:W62" si="37">+S31-M31</f>
        <v>3000</v>
      </c>
      <c r="X31" s="64" t="s">
        <v>36</v>
      </c>
      <c r="Y31" s="64" t="s">
        <v>29</v>
      </c>
      <c r="Z31" s="71">
        <f t="shared" ref="Z31:Z62" si="38">+W31*100/M31</f>
        <v>8.5714285714285712</v>
      </c>
      <c r="AA31" s="93"/>
    </row>
    <row r="32" spans="1:27">
      <c r="A32" s="64">
        <f>SUBTOTAL(3,C$2:C32)</f>
        <v>31</v>
      </c>
      <c r="B32" s="64" t="s">
        <v>30</v>
      </c>
      <c r="C32" s="64" t="s">
        <v>31</v>
      </c>
      <c r="D32" s="64" t="s">
        <v>32</v>
      </c>
      <c r="E32" s="64" t="s">
        <v>33</v>
      </c>
      <c r="F32" s="64" t="s">
        <v>115</v>
      </c>
      <c r="G32" s="91" t="s">
        <v>34</v>
      </c>
      <c r="H32" s="92">
        <v>17083</v>
      </c>
      <c r="I32" s="65">
        <v>46115</v>
      </c>
      <c r="J32" s="64">
        <f t="shared" ref="J32:J36" ca="1" si="39">+TODAY()-I32</f>
        <v>69</v>
      </c>
      <c r="K32" s="64">
        <f t="shared" ref="K32:K36" si="40">+U32</f>
        <v>46136</v>
      </c>
      <c r="L32" s="64" t="s">
        <v>47</v>
      </c>
      <c r="M32" s="64">
        <v>19000</v>
      </c>
      <c r="N32" s="64">
        <v>17000</v>
      </c>
      <c r="O32" s="65">
        <v>46115</v>
      </c>
      <c r="P32" s="64">
        <f t="shared" ref="P32:P36" si="41">+M32-N32</f>
        <v>2000</v>
      </c>
      <c r="Q32" s="65">
        <v>46141</v>
      </c>
      <c r="R32" s="64" t="s">
        <v>39</v>
      </c>
      <c r="S32" s="64">
        <v>22800</v>
      </c>
      <c r="T32" s="64" t="s">
        <v>807</v>
      </c>
      <c r="U32" s="65">
        <v>46136</v>
      </c>
      <c r="V32" s="64" t="s">
        <v>28</v>
      </c>
      <c r="W32" s="64">
        <f t="shared" si="37"/>
        <v>3800</v>
      </c>
      <c r="X32" s="64" t="s">
        <v>36</v>
      </c>
      <c r="Y32" s="64" t="s">
        <v>29</v>
      </c>
      <c r="Z32" s="71">
        <f t="shared" si="38"/>
        <v>20</v>
      </c>
      <c r="AA32" s="93"/>
    </row>
    <row r="33" spans="1:27">
      <c r="A33" s="64">
        <f>SUBTOTAL(3,C$2:C33)</f>
        <v>32</v>
      </c>
      <c r="B33" s="64" t="s">
        <v>30</v>
      </c>
      <c r="C33" s="64" t="s">
        <v>31</v>
      </c>
      <c r="D33" s="64" t="s">
        <v>32</v>
      </c>
      <c r="E33" s="64" t="s">
        <v>33</v>
      </c>
      <c r="F33" s="64" t="s">
        <v>133</v>
      </c>
      <c r="G33" s="91" t="s">
        <v>34</v>
      </c>
      <c r="H33" s="92">
        <v>17084</v>
      </c>
      <c r="I33" s="65">
        <v>46115</v>
      </c>
      <c r="J33" s="64">
        <f t="shared" ca="1" si="39"/>
        <v>69</v>
      </c>
      <c r="K33" s="64">
        <f t="shared" si="40"/>
        <v>46137</v>
      </c>
      <c r="L33" s="64" t="s">
        <v>88</v>
      </c>
      <c r="M33" s="64">
        <v>23500</v>
      </c>
      <c r="N33" s="64">
        <v>21500</v>
      </c>
      <c r="O33" s="65">
        <v>46115</v>
      </c>
      <c r="P33" s="64">
        <f t="shared" si="41"/>
        <v>2000</v>
      </c>
      <c r="Q33" s="65">
        <v>46141</v>
      </c>
      <c r="R33" s="64" t="s">
        <v>37</v>
      </c>
      <c r="S33" s="64">
        <v>26000</v>
      </c>
      <c r="T33" s="64" t="s">
        <v>822</v>
      </c>
      <c r="U33" s="65">
        <v>46137</v>
      </c>
      <c r="V33" s="64" t="s">
        <v>28</v>
      </c>
      <c r="W33" s="64">
        <f t="shared" si="37"/>
        <v>2500</v>
      </c>
      <c r="X33" s="64" t="s">
        <v>36</v>
      </c>
      <c r="Y33" s="64" t="s">
        <v>29</v>
      </c>
      <c r="Z33" s="71">
        <f t="shared" si="38"/>
        <v>10.638297872340425</v>
      </c>
      <c r="AA33" s="93"/>
    </row>
    <row r="34" spans="1:27">
      <c r="A34" s="64">
        <f>SUBTOTAL(3,C$2:C34)</f>
        <v>33</v>
      </c>
      <c r="B34" s="64" t="s">
        <v>30</v>
      </c>
      <c r="C34" s="64" t="s">
        <v>31</v>
      </c>
      <c r="D34" s="64" t="s">
        <v>32</v>
      </c>
      <c r="E34" s="64" t="s">
        <v>33</v>
      </c>
      <c r="F34" s="64" t="s">
        <v>128</v>
      </c>
      <c r="G34" s="91" t="s">
        <v>34</v>
      </c>
      <c r="H34" s="92">
        <v>17085</v>
      </c>
      <c r="I34" s="65">
        <v>46115</v>
      </c>
      <c r="J34" s="64">
        <f t="shared" ca="1" si="39"/>
        <v>69</v>
      </c>
      <c r="K34" s="64">
        <f t="shared" si="40"/>
        <v>46163</v>
      </c>
      <c r="L34" s="64" t="s">
        <v>273</v>
      </c>
      <c r="M34" s="64">
        <v>18000</v>
      </c>
      <c r="N34" s="64">
        <v>16000</v>
      </c>
      <c r="O34" s="65">
        <v>46115</v>
      </c>
      <c r="P34" s="64">
        <f t="shared" si="41"/>
        <v>2000</v>
      </c>
      <c r="Q34" s="64" t="s">
        <v>33</v>
      </c>
      <c r="R34" s="64" t="s">
        <v>56</v>
      </c>
      <c r="S34" s="64">
        <v>20500</v>
      </c>
      <c r="T34" s="64" t="s">
        <v>2186</v>
      </c>
      <c r="U34" s="65">
        <v>46163</v>
      </c>
      <c r="V34" s="64" t="s">
        <v>28</v>
      </c>
      <c r="W34" s="64">
        <f t="shared" si="37"/>
        <v>2500</v>
      </c>
      <c r="X34" s="64" t="s">
        <v>36</v>
      </c>
      <c r="Y34" s="64" t="s">
        <v>29</v>
      </c>
      <c r="Z34" s="71">
        <f t="shared" si="38"/>
        <v>13.888888888888889</v>
      </c>
      <c r="AA34" s="93"/>
    </row>
    <row r="35" spans="1:27">
      <c r="A35" s="64">
        <f>SUBTOTAL(3,C$2:C35)</f>
        <v>34</v>
      </c>
      <c r="B35" s="64" t="s">
        <v>30</v>
      </c>
      <c r="C35" s="64" t="s">
        <v>44</v>
      </c>
      <c r="D35" s="64" t="s">
        <v>32</v>
      </c>
      <c r="E35" s="64" t="s">
        <v>33</v>
      </c>
      <c r="F35" s="64" t="s">
        <v>130</v>
      </c>
      <c r="G35" s="91">
        <v>407</v>
      </c>
      <c r="H35" s="92">
        <v>17086</v>
      </c>
      <c r="I35" s="65">
        <v>46115</v>
      </c>
      <c r="J35" s="64">
        <f t="shared" ca="1" si="39"/>
        <v>69</v>
      </c>
      <c r="K35" s="64">
        <f t="shared" si="40"/>
        <v>46163</v>
      </c>
      <c r="L35" s="64" t="s">
        <v>84</v>
      </c>
      <c r="M35" s="64">
        <v>27000</v>
      </c>
      <c r="N35" s="64">
        <v>25000</v>
      </c>
      <c r="O35" s="65">
        <v>46115</v>
      </c>
      <c r="P35" s="64">
        <f t="shared" si="41"/>
        <v>2000</v>
      </c>
      <c r="Q35" s="64" t="s">
        <v>33</v>
      </c>
      <c r="R35" s="64" t="s">
        <v>56</v>
      </c>
      <c r="S35" s="64">
        <v>29800</v>
      </c>
      <c r="T35" s="64" t="s">
        <v>2185</v>
      </c>
      <c r="U35" s="65">
        <v>46163</v>
      </c>
      <c r="V35" s="64" t="s">
        <v>28</v>
      </c>
      <c r="W35" s="64">
        <f t="shared" si="37"/>
        <v>2800</v>
      </c>
      <c r="X35" s="64" t="s">
        <v>36</v>
      </c>
      <c r="Y35" s="64" t="s">
        <v>29</v>
      </c>
      <c r="Z35" s="71">
        <f t="shared" si="38"/>
        <v>10.37037037037037</v>
      </c>
      <c r="AA35" s="93"/>
    </row>
    <row r="36" spans="1:27">
      <c r="A36" s="64">
        <f>SUBTOTAL(3,C$2:C36)</f>
        <v>35</v>
      </c>
      <c r="B36" s="64" t="s">
        <v>30</v>
      </c>
      <c r="C36" s="64" t="s">
        <v>31</v>
      </c>
      <c r="D36" s="64" t="s">
        <v>32</v>
      </c>
      <c r="E36" s="64" t="s">
        <v>33</v>
      </c>
      <c r="F36" s="64" t="s">
        <v>134</v>
      </c>
      <c r="G36" s="91" t="s">
        <v>34</v>
      </c>
      <c r="H36" s="92">
        <v>17087</v>
      </c>
      <c r="I36" s="65">
        <v>46115</v>
      </c>
      <c r="J36" s="64">
        <f t="shared" ca="1" si="39"/>
        <v>69</v>
      </c>
      <c r="K36" s="64" t="str">
        <f t="shared" si="40"/>
        <v>Pending</v>
      </c>
      <c r="L36" s="64" t="s">
        <v>88</v>
      </c>
      <c r="M36" s="64">
        <v>23500</v>
      </c>
      <c r="N36" s="64">
        <v>21500</v>
      </c>
      <c r="O36" s="65">
        <v>46115</v>
      </c>
      <c r="P36" s="64">
        <f t="shared" si="41"/>
        <v>2000</v>
      </c>
      <c r="Q36" s="64" t="s">
        <v>33</v>
      </c>
      <c r="R36" s="64" t="s">
        <v>37</v>
      </c>
      <c r="S36" s="64">
        <v>26000</v>
      </c>
      <c r="T36" s="64" t="s">
        <v>33</v>
      </c>
      <c r="U36" s="65" t="s">
        <v>33</v>
      </c>
      <c r="V36" s="64" t="s">
        <v>28</v>
      </c>
      <c r="W36" s="64">
        <f t="shared" si="37"/>
        <v>2500</v>
      </c>
      <c r="X36" s="64" t="s">
        <v>36</v>
      </c>
      <c r="Y36" s="64" t="s">
        <v>29</v>
      </c>
      <c r="Z36" s="71">
        <f t="shared" si="38"/>
        <v>10.638297872340425</v>
      </c>
      <c r="AA36" s="93"/>
    </row>
    <row r="37" spans="1:27">
      <c r="A37" s="64">
        <f>SUBTOTAL(3,C$2:C37)</f>
        <v>36</v>
      </c>
      <c r="B37" s="64" t="s">
        <v>30</v>
      </c>
      <c r="C37" s="64" t="s">
        <v>31</v>
      </c>
      <c r="D37" s="64" t="s">
        <v>32</v>
      </c>
      <c r="E37" s="64" t="s">
        <v>33</v>
      </c>
      <c r="F37" s="64" t="s">
        <v>116</v>
      </c>
      <c r="G37" s="91" t="s">
        <v>34</v>
      </c>
      <c r="H37" s="92">
        <v>17088</v>
      </c>
      <c r="I37" s="65">
        <v>46115</v>
      </c>
      <c r="J37" s="64">
        <f t="shared" ref="J37" ca="1" si="42">+TODAY()-I37</f>
        <v>69</v>
      </c>
      <c r="K37" s="64">
        <f t="shared" ref="K37" si="43">+U37</f>
        <v>46136</v>
      </c>
      <c r="L37" s="64" t="s">
        <v>47</v>
      </c>
      <c r="M37" s="64">
        <v>19000</v>
      </c>
      <c r="N37" s="64">
        <v>17000</v>
      </c>
      <c r="O37" s="65">
        <v>46115</v>
      </c>
      <c r="P37" s="64">
        <f t="shared" ref="P37" si="44">+M37-N37</f>
        <v>2000</v>
      </c>
      <c r="Q37" s="65">
        <v>46141</v>
      </c>
      <c r="R37" s="64" t="s">
        <v>39</v>
      </c>
      <c r="S37" s="64">
        <v>22800</v>
      </c>
      <c r="T37" s="64" t="s">
        <v>807</v>
      </c>
      <c r="U37" s="65">
        <v>46136</v>
      </c>
      <c r="V37" s="64" t="s">
        <v>28</v>
      </c>
      <c r="W37" s="64">
        <f t="shared" si="37"/>
        <v>3800</v>
      </c>
      <c r="X37" s="64" t="s">
        <v>36</v>
      </c>
      <c r="Y37" s="64" t="s">
        <v>29</v>
      </c>
      <c r="Z37" s="71">
        <f t="shared" si="38"/>
        <v>20</v>
      </c>
      <c r="AA37" s="93"/>
    </row>
    <row r="38" spans="1:27">
      <c r="A38" s="64">
        <f>SUBTOTAL(3,C$2:C38)</f>
        <v>37</v>
      </c>
      <c r="B38" s="64" t="s">
        <v>30</v>
      </c>
      <c r="C38" s="64" t="s">
        <v>31</v>
      </c>
      <c r="D38" s="64" t="s">
        <v>32</v>
      </c>
      <c r="E38" s="64" t="s">
        <v>33</v>
      </c>
      <c r="F38" s="64" t="s">
        <v>135</v>
      </c>
      <c r="G38" s="91" t="s">
        <v>34</v>
      </c>
      <c r="H38" s="92">
        <v>17089</v>
      </c>
      <c r="I38" s="65">
        <v>46115</v>
      </c>
      <c r="J38" s="64">
        <f t="shared" ref="J38" ca="1" si="45">+TODAY()-I38</f>
        <v>69</v>
      </c>
      <c r="K38" s="64">
        <f t="shared" ref="K38" si="46">+U38</f>
        <v>46137</v>
      </c>
      <c r="L38" s="64" t="s">
        <v>88</v>
      </c>
      <c r="M38" s="64">
        <v>23500</v>
      </c>
      <c r="N38" s="64">
        <v>21500</v>
      </c>
      <c r="O38" s="65">
        <v>46115</v>
      </c>
      <c r="P38" s="64">
        <f t="shared" ref="P38" si="47">+M38-N38</f>
        <v>2000</v>
      </c>
      <c r="Q38" s="65">
        <v>46141</v>
      </c>
      <c r="R38" s="64" t="s">
        <v>37</v>
      </c>
      <c r="S38" s="64">
        <v>26000</v>
      </c>
      <c r="T38" s="64" t="s">
        <v>822</v>
      </c>
      <c r="U38" s="65">
        <v>46137</v>
      </c>
      <c r="V38" s="64" t="s">
        <v>28</v>
      </c>
      <c r="W38" s="64">
        <f t="shared" si="37"/>
        <v>2500</v>
      </c>
      <c r="X38" s="64" t="s">
        <v>36</v>
      </c>
      <c r="Y38" s="64" t="s">
        <v>29</v>
      </c>
      <c r="Z38" s="71">
        <f t="shared" si="38"/>
        <v>10.638297872340425</v>
      </c>
      <c r="AA38" s="93"/>
    </row>
    <row r="39" spans="1:27">
      <c r="A39" s="64">
        <f>SUBTOTAL(3,C$2:C39)</f>
        <v>38</v>
      </c>
      <c r="B39" s="64" t="s">
        <v>30</v>
      </c>
      <c r="C39" s="64" t="s">
        <v>31</v>
      </c>
      <c r="D39" s="64" t="s">
        <v>32</v>
      </c>
      <c r="E39" s="64" t="s">
        <v>33</v>
      </c>
      <c r="F39" s="64" t="s">
        <v>136</v>
      </c>
      <c r="G39" s="91" t="s">
        <v>34</v>
      </c>
      <c r="H39" s="92">
        <v>17090</v>
      </c>
      <c r="I39" s="65">
        <v>46115</v>
      </c>
      <c r="J39" s="64">
        <f t="shared" ref="J39" ca="1" si="48">+TODAY()-I39</f>
        <v>69</v>
      </c>
      <c r="K39" s="64">
        <f t="shared" ref="K39" si="49">+U39</f>
        <v>46137</v>
      </c>
      <c r="L39" s="52" t="s">
        <v>639</v>
      </c>
      <c r="M39" s="64">
        <v>18500</v>
      </c>
      <c r="N39" s="64">
        <v>16500</v>
      </c>
      <c r="O39" s="65">
        <v>46115</v>
      </c>
      <c r="P39" s="64">
        <f t="shared" ref="P39" si="50">+M39-N39</f>
        <v>2000</v>
      </c>
      <c r="Q39" s="65">
        <v>46141</v>
      </c>
      <c r="R39" s="64" t="s">
        <v>37</v>
      </c>
      <c r="S39" s="64">
        <v>21500</v>
      </c>
      <c r="T39" s="64" t="s">
        <v>823</v>
      </c>
      <c r="U39" s="65">
        <v>46137</v>
      </c>
      <c r="V39" s="64" t="s">
        <v>28</v>
      </c>
      <c r="W39" s="64">
        <f t="shared" si="37"/>
        <v>3000</v>
      </c>
      <c r="X39" s="64" t="s">
        <v>36</v>
      </c>
      <c r="Y39" s="64" t="s">
        <v>29</v>
      </c>
      <c r="Z39" s="71">
        <f t="shared" si="38"/>
        <v>16.216216216216218</v>
      </c>
      <c r="AA39" s="93"/>
    </row>
    <row r="40" spans="1:27">
      <c r="A40" s="64">
        <f>SUBTOTAL(3,C$2:C40)</f>
        <v>39</v>
      </c>
      <c r="B40" s="64" t="s">
        <v>30</v>
      </c>
      <c r="C40" s="64" t="s">
        <v>137</v>
      </c>
      <c r="D40" s="64" t="s">
        <v>32</v>
      </c>
      <c r="E40" s="64" t="s">
        <v>33</v>
      </c>
      <c r="F40" s="64" t="s">
        <v>138</v>
      </c>
      <c r="G40" s="91" t="s">
        <v>34</v>
      </c>
      <c r="H40" s="92">
        <v>17091</v>
      </c>
      <c r="I40" s="65">
        <v>46115</v>
      </c>
      <c r="J40" s="64">
        <f t="shared" ref="J40:J45" ca="1" si="51">+TODAY()-I40</f>
        <v>69</v>
      </c>
      <c r="K40" s="64">
        <f t="shared" ref="K40:K45" si="52">+U40</f>
        <v>46136</v>
      </c>
      <c r="L40" s="64" t="s">
        <v>97</v>
      </c>
      <c r="M40" s="64">
        <f>3000+44000</f>
        <v>47000</v>
      </c>
      <c r="N40" s="64">
        <v>40000</v>
      </c>
      <c r="O40" s="65">
        <v>46115</v>
      </c>
      <c r="P40" s="64">
        <f t="shared" ref="P40:P45" si="53">+M40-N40</f>
        <v>7000</v>
      </c>
      <c r="Q40" s="65">
        <v>46141</v>
      </c>
      <c r="R40" s="64" t="s">
        <v>52</v>
      </c>
      <c r="S40" s="64">
        <f>5000+48000</f>
        <v>53000</v>
      </c>
      <c r="T40" s="64" t="s">
        <v>814</v>
      </c>
      <c r="U40" s="65">
        <v>46136</v>
      </c>
      <c r="V40" s="64" t="s">
        <v>28</v>
      </c>
      <c r="W40" s="64">
        <f t="shared" si="37"/>
        <v>6000</v>
      </c>
      <c r="X40" s="64" t="s">
        <v>36</v>
      </c>
      <c r="Y40" s="64" t="s">
        <v>29</v>
      </c>
      <c r="Z40" s="71">
        <f t="shared" si="38"/>
        <v>12.76595744680851</v>
      </c>
      <c r="AA40" s="93"/>
    </row>
    <row r="41" spans="1:27">
      <c r="A41" s="64">
        <f>SUBTOTAL(3,C$2:C41)</f>
        <v>40</v>
      </c>
      <c r="B41" s="64" t="s">
        <v>30</v>
      </c>
      <c r="C41" s="64" t="s">
        <v>119</v>
      </c>
      <c r="D41" s="64" t="s">
        <v>32</v>
      </c>
      <c r="E41" s="64" t="s">
        <v>33</v>
      </c>
      <c r="F41" s="64" t="s">
        <v>142</v>
      </c>
      <c r="G41" s="91" t="s">
        <v>143</v>
      </c>
      <c r="H41" s="92">
        <v>17092</v>
      </c>
      <c r="I41" s="65">
        <v>46115</v>
      </c>
      <c r="J41" s="64">
        <f t="shared" ca="1" si="51"/>
        <v>69</v>
      </c>
      <c r="K41" s="64">
        <f t="shared" si="52"/>
        <v>46136</v>
      </c>
      <c r="L41" s="64" t="s">
        <v>2783</v>
      </c>
      <c r="M41" s="64">
        <v>31500</v>
      </c>
      <c r="N41" s="64">
        <v>28500</v>
      </c>
      <c r="O41" s="65">
        <v>46116</v>
      </c>
      <c r="P41" s="64">
        <f t="shared" si="53"/>
        <v>3000</v>
      </c>
      <c r="Q41" s="65">
        <v>46141</v>
      </c>
      <c r="R41" s="64" t="s">
        <v>39</v>
      </c>
      <c r="S41" s="64">
        <v>35000</v>
      </c>
      <c r="T41" s="64" t="s">
        <v>805</v>
      </c>
      <c r="U41" s="65">
        <v>46136</v>
      </c>
      <c r="V41" s="64" t="s">
        <v>28</v>
      </c>
      <c r="W41" s="64">
        <f t="shared" si="37"/>
        <v>3500</v>
      </c>
      <c r="X41" s="64" t="s">
        <v>36</v>
      </c>
      <c r="Y41" s="64" t="s">
        <v>29</v>
      </c>
      <c r="Z41" s="71">
        <f t="shared" si="38"/>
        <v>11.111111111111111</v>
      </c>
      <c r="AA41" s="93"/>
    </row>
    <row r="42" spans="1:27">
      <c r="A42" s="64">
        <f>SUBTOTAL(3,C$2:C42)</f>
        <v>41</v>
      </c>
      <c r="B42" s="64" t="s">
        <v>30</v>
      </c>
      <c r="C42" s="64" t="s">
        <v>31</v>
      </c>
      <c r="D42" s="64" t="s">
        <v>32</v>
      </c>
      <c r="E42" s="64" t="s">
        <v>33</v>
      </c>
      <c r="F42" s="64" t="s">
        <v>146</v>
      </c>
      <c r="G42" s="91" t="s">
        <v>34</v>
      </c>
      <c r="H42" s="92">
        <v>17093</v>
      </c>
      <c r="I42" s="65">
        <v>46115</v>
      </c>
      <c r="J42" s="64">
        <f t="shared" ca="1" si="51"/>
        <v>69</v>
      </c>
      <c r="K42" s="64">
        <f t="shared" si="52"/>
        <v>46136</v>
      </c>
      <c r="L42" s="64" t="s">
        <v>273</v>
      </c>
      <c r="M42" s="64">
        <v>19000</v>
      </c>
      <c r="N42" s="64">
        <v>16000</v>
      </c>
      <c r="O42" s="65">
        <v>46116</v>
      </c>
      <c r="P42" s="64">
        <f t="shared" si="53"/>
        <v>3000</v>
      </c>
      <c r="Q42" s="65">
        <v>46141</v>
      </c>
      <c r="R42" s="64" t="s">
        <v>39</v>
      </c>
      <c r="S42" s="64">
        <v>21800</v>
      </c>
      <c r="T42" s="64" t="s">
        <v>807</v>
      </c>
      <c r="U42" s="65">
        <v>46136</v>
      </c>
      <c r="V42" s="64" t="s">
        <v>28</v>
      </c>
      <c r="W42" s="64">
        <f t="shared" si="37"/>
        <v>2800</v>
      </c>
      <c r="X42" s="64" t="s">
        <v>36</v>
      </c>
      <c r="Y42" s="64" t="s">
        <v>29</v>
      </c>
      <c r="Z42" s="71">
        <f t="shared" si="38"/>
        <v>14.736842105263158</v>
      </c>
      <c r="AA42" s="93"/>
    </row>
    <row r="43" spans="1:27">
      <c r="A43" s="64">
        <f>SUBTOTAL(3,C$2:C43)</f>
        <v>42</v>
      </c>
      <c r="B43" s="64" t="s">
        <v>30</v>
      </c>
      <c r="C43" s="64" t="s">
        <v>31</v>
      </c>
      <c r="D43" s="64" t="s">
        <v>32</v>
      </c>
      <c r="E43" s="64" t="s">
        <v>33</v>
      </c>
      <c r="F43" s="64" t="s">
        <v>151</v>
      </c>
      <c r="G43" s="91" t="s">
        <v>34</v>
      </c>
      <c r="H43" s="92">
        <v>17094</v>
      </c>
      <c r="I43" s="65">
        <v>46115</v>
      </c>
      <c r="J43" s="64">
        <f t="shared" ca="1" si="51"/>
        <v>69</v>
      </c>
      <c r="K43" s="64">
        <f t="shared" si="52"/>
        <v>46127</v>
      </c>
      <c r="L43" s="64" t="s">
        <v>111</v>
      </c>
      <c r="M43" s="64">
        <v>11700</v>
      </c>
      <c r="N43" s="64">
        <v>10700</v>
      </c>
      <c r="O43" s="65">
        <v>46116</v>
      </c>
      <c r="P43" s="64">
        <f t="shared" si="53"/>
        <v>1000</v>
      </c>
      <c r="Q43" s="64" t="s">
        <v>33</v>
      </c>
      <c r="R43" s="64" t="s">
        <v>112</v>
      </c>
      <c r="S43" s="64">
        <v>13500</v>
      </c>
      <c r="T43" s="64" t="s">
        <v>827</v>
      </c>
      <c r="U43" s="65">
        <v>46127</v>
      </c>
      <c r="V43" s="64" t="s">
        <v>28</v>
      </c>
      <c r="W43" s="64">
        <f t="shared" si="37"/>
        <v>1800</v>
      </c>
      <c r="X43" s="64" t="s">
        <v>36</v>
      </c>
      <c r="Y43" s="64" t="s">
        <v>29</v>
      </c>
      <c r="Z43" s="71">
        <f t="shared" si="38"/>
        <v>15.384615384615385</v>
      </c>
      <c r="AA43" s="93"/>
    </row>
    <row r="44" spans="1:27">
      <c r="A44" s="64">
        <f>SUBTOTAL(3,C$2:C44)</f>
        <v>43</v>
      </c>
      <c r="B44" s="64" t="s">
        <v>30</v>
      </c>
      <c r="C44" s="64" t="s">
        <v>31</v>
      </c>
      <c r="D44" s="64" t="s">
        <v>32</v>
      </c>
      <c r="E44" s="64" t="s">
        <v>33</v>
      </c>
      <c r="F44" s="64" t="s">
        <v>146</v>
      </c>
      <c r="G44" s="91" t="s">
        <v>34</v>
      </c>
      <c r="H44" s="92">
        <v>17095</v>
      </c>
      <c r="I44" s="65">
        <v>46115</v>
      </c>
      <c r="J44" s="64">
        <f t="shared" ca="1" si="51"/>
        <v>69</v>
      </c>
      <c r="K44" s="64">
        <f t="shared" si="52"/>
        <v>46136</v>
      </c>
      <c r="L44" s="64" t="s">
        <v>273</v>
      </c>
      <c r="M44" s="64">
        <v>19000</v>
      </c>
      <c r="N44" s="64">
        <v>16000</v>
      </c>
      <c r="O44" s="65">
        <v>46116</v>
      </c>
      <c r="P44" s="64">
        <f t="shared" si="53"/>
        <v>3000</v>
      </c>
      <c r="Q44" s="65">
        <v>46141</v>
      </c>
      <c r="R44" s="64" t="s">
        <v>39</v>
      </c>
      <c r="S44" s="64">
        <v>21800</v>
      </c>
      <c r="T44" s="64" t="s">
        <v>807</v>
      </c>
      <c r="U44" s="65">
        <v>46136</v>
      </c>
      <c r="V44" s="64" t="s">
        <v>28</v>
      </c>
      <c r="W44" s="64">
        <f t="shared" si="37"/>
        <v>2800</v>
      </c>
      <c r="X44" s="64" t="s">
        <v>36</v>
      </c>
      <c r="Y44" s="64" t="s">
        <v>29</v>
      </c>
      <c r="Z44" s="71">
        <f t="shared" si="38"/>
        <v>14.736842105263158</v>
      </c>
      <c r="AA44" s="93"/>
    </row>
    <row r="45" spans="1:27">
      <c r="A45" s="64">
        <f>SUBTOTAL(3,C$2:C45)</f>
        <v>44</v>
      </c>
      <c r="B45" s="64" t="s">
        <v>30</v>
      </c>
      <c r="C45" s="64" t="s">
        <v>31</v>
      </c>
      <c r="D45" s="64" t="s">
        <v>32</v>
      </c>
      <c r="E45" s="64" t="s">
        <v>33</v>
      </c>
      <c r="F45" s="64" t="s">
        <v>147</v>
      </c>
      <c r="G45" s="91" t="s">
        <v>34</v>
      </c>
      <c r="H45" s="92">
        <v>17096</v>
      </c>
      <c r="I45" s="65">
        <v>46116</v>
      </c>
      <c r="J45" s="64">
        <f t="shared" ca="1" si="51"/>
        <v>68</v>
      </c>
      <c r="K45" s="64">
        <f t="shared" si="52"/>
        <v>46136</v>
      </c>
      <c r="L45" s="64" t="s">
        <v>273</v>
      </c>
      <c r="M45" s="64">
        <v>19000</v>
      </c>
      <c r="N45" s="64">
        <v>16000</v>
      </c>
      <c r="O45" s="65">
        <v>46116</v>
      </c>
      <c r="P45" s="64">
        <f t="shared" si="53"/>
        <v>3000</v>
      </c>
      <c r="Q45" s="65">
        <v>46141</v>
      </c>
      <c r="R45" s="64" t="s">
        <v>39</v>
      </c>
      <c r="S45" s="64">
        <v>21800</v>
      </c>
      <c r="T45" s="64" t="s">
        <v>807</v>
      </c>
      <c r="U45" s="65">
        <v>46136</v>
      </c>
      <c r="V45" s="64" t="s">
        <v>28</v>
      </c>
      <c r="W45" s="64">
        <f t="shared" si="37"/>
        <v>2800</v>
      </c>
      <c r="X45" s="64" t="s">
        <v>36</v>
      </c>
      <c r="Y45" s="64" t="s">
        <v>29</v>
      </c>
      <c r="Z45" s="71">
        <f t="shared" si="38"/>
        <v>14.736842105263158</v>
      </c>
      <c r="AA45" s="93"/>
    </row>
    <row r="46" spans="1:27">
      <c r="A46" s="64">
        <f>SUBTOTAL(3,C$2:C46)</f>
        <v>45</v>
      </c>
      <c r="B46" s="64" t="s">
        <v>30</v>
      </c>
      <c r="C46" s="64" t="s">
        <v>119</v>
      </c>
      <c r="D46" s="64" t="s">
        <v>32</v>
      </c>
      <c r="E46" s="64" t="s">
        <v>33</v>
      </c>
      <c r="F46" s="64" t="s">
        <v>145</v>
      </c>
      <c r="G46" s="91" t="s">
        <v>143</v>
      </c>
      <c r="H46" s="92">
        <v>17097</v>
      </c>
      <c r="I46" s="65">
        <v>46116</v>
      </c>
      <c r="J46" s="64">
        <f t="shared" ref="J46:J49" ca="1" si="54">+TODAY()-I46</f>
        <v>68</v>
      </c>
      <c r="K46" s="64">
        <f t="shared" ref="K46:K49" si="55">+U46</f>
        <v>46136</v>
      </c>
      <c r="L46" s="64" t="s">
        <v>47</v>
      </c>
      <c r="M46" s="64">
        <v>19000</v>
      </c>
      <c r="N46" s="64">
        <v>17000</v>
      </c>
      <c r="O46" s="65">
        <v>46116</v>
      </c>
      <c r="P46" s="64">
        <f t="shared" ref="P46:P49" si="56">+M46-N46</f>
        <v>2000</v>
      </c>
      <c r="Q46" s="65">
        <v>46141</v>
      </c>
      <c r="R46" s="64" t="s">
        <v>39</v>
      </c>
      <c r="S46" s="64">
        <v>22800</v>
      </c>
      <c r="T46" s="64" t="s">
        <v>807</v>
      </c>
      <c r="U46" s="65">
        <v>46136</v>
      </c>
      <c r="V46" s="64" t="s">
        <v>28</v>
      </c>
      <c r="W46" s="64">
        <f t="shared" si="37"/>
        <v>3800</v>
      </c>
      <c r="X46" s="64" t="s">
        <v>36</v>
      </c>
      <c r="Y46" s="64" t="s">
        <v>29</v>
      </c>
      <c r="Z46" s="71">
        <f t="shared" si="38"/>
        <v>20</v>
      </c>
      <c r="AA46" s="93"/>
    </row>
    <row r="47" spans="1:27">
      <c r="A47" s="64">
        <f>SUBTOTAL(3,C$2:C47)</f>
        <v>46</v>
      </c>
      <c r="B47" s="64" t="s">
        <v>30</v>
      </c>
      <c r="C47" s="64" t="s">
        <v>31</v>
      </c>
      <c r="D47" s="64" t="s">
        <v>32</v>
      </c>
      <c r="E47" s="64" t="s">
        <v>33</v>
      </c>
      <c r="F47" s="64" t="s">
        <v>153</v>
      </c>
      <c r="G47" s="91" t="s">
        <v>34</v>
      </c>
      <c r="H47" s="92">
        <v>17098</v>
      </c>
      <c r="I47" s="65">
        <v>46116</v>
      </c>
      <c r="J47" s="64">
        <f t="shared" ca="1" si="54"/>
        <v>68</v>
      </c>
      <c r="K47" s="64">
        <f t="shared" si="55"/>
        <v>46137</v>
      </c>
      <c r="L47" s="52" t="s">
        <v>639</v>
      </c>
      <c r="M47" s="64">
        <v>18500</v>
      </c>
      <c r="N47" s="64">
        <v>16500</v>
      </c>
      <c r="O47" s="65">
        <v>46116</v>
      </c>
      <c r="P47" s="64">
        <f t="shared" si="56"/>
        <v>2000</v>
      </c>
      <c r="Q47" s="65">
        <v>46141</v>
      </c>
      <c r="R47" s="64" t="s">
        <v>37</v>
      </c>
      <c r="S47" s="64">
        <v>21500</v>
      </c>
      <c r="T47" s="64" t="s">
        <v>823</v>
      </c>
      <c r="U47" s="65">
        <v>46137</v>
      </c>
      <c r="V47" s="64" t="s">
        <v>28</v>
      </c>
      <c r="W47" s="64">
        <f t="shared" si="37"/>
        <v>3000</v>
      </c>
      <c r="X47" s="64" t="s">
        <v>36</v>
      </c>
      <c r="Y47" s="64" t="s">
        <v>29</v>
      </c>
      <c r="Z47" s="71">
        <f t="shared" si="38"/>
        <v>16.216216216216218</v>
      </c>
      <c r="AA47" s="93"/>
    </row>
    <row r="48" spans="1:27">
      <c r="A48" s="64">
        <f>SUBTOTAL(3,C$2:C48)</f>
        <v>47</v>
      </c>
      <c r="B48" s="64" t="s">
        <v>30</v>
      </c>
      <c r="C48" s="64" t="s">
        <v>80</v>
      </c>
      <c r="D48" s="64" t="s">
        <v>32</v>
      </c>
      <c r="E48" s="64" t="s">
        <v>33</v>
      </c>
      <c r="F48" s="64" t="s">
        <v>154</v>
      </c>
      <c r="G48" s="91" t="s">
        <v>59</v>
      </c>
      <c r="H48" s="92">
        <v>17099</v>
      </c>
      <c r="I48" s="65">
        <v>46116</v>
      </c>
      <c r="J48" s="64">
        <f t="shared" ca="1" si="54"/>
        <v>68</v>
      </c>
      <c r="K48" s="64">
        <f t="shared" si="55"/>
        <v>46136</v>
      </c>
      <c r="L48" s="64" t="s">
        <v>155</v>
      </c>
      <c r="M48" s="64">
        <v>35000</v>
      </c>
      <c r="N48" s="64">
        <v>32000</v>
      </c>
      <c r="O48" s="65">
        <v>46116</v>
      </c>
      <c r="P48" s="64">
        <f t="shared" si="56"/>
        <v>3000</v>
      </c>
      <c r="Q48" s="65">
        <v>46141</v>
      </c>
      <c r="R48" s="64" t="s">
        <v>39</v>
      </c>
      <c r="S48" s="64">
        <v>38000</v>
      </c>
      <c r="T48" s="64" t="s">
        <v>817</v>
      </c>
      <c r="U48" s="65">
        <v>46136</v>
      </c>
      <c r="V48" s="64" t="s">
        <v>28</v>
      </c>
      <c r="W48" s="64">
        <f t="shared" si="37"/>
        <v>3000</v>
      </c>
      <c r="X48" s="64" t="s">
        <v>36</v>
      </c>
      <c r="Y48" s="64" t="s">
        <v>29</v>
      </c>
      <c r="Z48" s="71">
        <f t="shared" si="38"/>
        <v>8.5714285714285712</v>
      </c>
      <c r="AA48" s="93"/>
    </row>
    <row r="49" spans="1:27">
      <c r="A49" s="64">
        <f>SUBTOTAL(3,C$2:C49)</f>
        <v>48</v>
      </c>
      <c r="B49" s="64" t="s">
        <v>30</v>
      </c>
      <c r="C49" s="64" t="s">
        <v>156</v>
      </c>
      <c r="D49" s="64" t="s">
        <v>32</v>
      </c>
      <c r="E49" s="64" t="s">
        <v>33</v>
      </c>
      <c r="F49" s="64" t="s">
        <v>157</v>
      </c>
      <c r="G49" s="91" t="s">
        <v>67</v>
      </c>
      <c r="H49" s="92">
        <v>17100</v>
      </c>
      <c r="I49" s="65">
        <v>46116</v>
      </c>
      <c r="J49" s="64">
        <f t="shared" ca="1" si="54"/>
        <v>68</v>
      </c>
      <c r="K49" s="64">
        <f t="shared" si="55"/>
        <v>46136</v>
      </c>
      <c r="L49" s="64" t="s">
        <v>97</v>
      </c>
      <c r="M49" s="64">
        <f>3000+38500</f>
        <v>41500</v>
      </c>
      <c r="N49" s="64">
        <v>35500</v>
      </c>
      <c r="O49" s="65">
        <v>46116</v>
      </c>
      <c r="P49" s="64">
        <f t="shared" si="56"/>
        <v>6000</v>
      </c>
      <c r="Q49" s="65">
        <v>46141</v>
      </c>
      <c r="R49" s="64" t="s">
        <v>52</v>
      </c>
      <c r="S49" s="64">
        <f>5000+42000</f>
        <v>47000</v>
      </c>
      <c r="T49" s="64" t="s">
        <v>812</v>
      </c>
      <c r="U49" s="65">
        <v>46136</v>
      </c>
      <c r="V49" s="64" t="s">
        <v>28</v>
      </c>
      <c r="W49" s="64">
        <f t="shared" si="37"/>
        <v>5500</v>
      </c>
      <c r="X49" s="64" t="s">
        <v>36</v>
      </c>
      <c r="Y49" s="64" t="s">
        <v>29</v>
      </c>
      <c r="Z49" s="71">
        <f t="shared" si="38"/>
        <v>13.253012048192771</v>
      </c>
      <c r="AA49" s="93"/>
    </row>
    <row r="50" spans="1:27">
      <c r="A50" s="64">
        <f>SUBTOTAL(3,C$2:C50)</f>
        <v>49</v>
      </c>
      <c r="B50" s="64" t="s">
        <v>30</v>
      </c>
      <c r="C50" s="64" t="s">
        <v>31</v>
      </c>
      <c r="D50" s="64" t="s">
        <v>32</v>
      </c>
      <c r="E50" s="64" t="s">
        <v>33</v>
      </c>
      <c r="F50" s="64" t="s">
        <v>148</v>
      </c>
      <c r="G50" s="91" t="s">
        <v>34</v>
      </c>
      <c r="H50" s="92">
        <v>17151</v>
      </c>
      <c r="I50" s="65">
        <v>46116</v>
      </c>
      <c r="J50" s="64">
        <f t="shared" ref="J50:J51" ca="1" si="57">+TODAY()-I50</f>
        <v>68</v>
      </c>
      <c r="K50" s="64">
        <f t="shared" ref="K50:K51" si="58">+U50</f>
        <v>46136</v>
      </c>
      <c r="L50" s="64" t="s">
        <v>273</v>
      </c>
      <c r="M50" s="64">
        <v>18000</v>
      </c>
      <c r="N50" s="64">
        <v>16000</v>
      </c>
      <c r="O50" s="65">
        <v>46116</v>
      </c>
      <c r="P50" s="64">
        <f t="shared" ref="P50:P51" si="59">+M50-N50</f>
        <v>2000</v>
      </c>
      <c r="Q50" s="65">
        <v>46141</v>
      </c>
      <c r="R50" s="64" t="s">
        <v>39</v>
      </c>
      <c r="S50" s="64">
        <v>21800</v>
      </c>
      <c r="T50" s="64" t="s">
        <v>809</v>
      </c>
      <c r="U50" s="65">
        <v>46136</v>
      </c>
      <c r="V50" s="64" t="s">
        <v>28</v>
      </c>
      <c r="W50" s="64">
        <f t="shared" si="37"/>
        <v>3800</v>
      </c>
      <c r="X50" s="64" t="s">
        <v>36</v>
      </c>
      <c r="Y50" s="64" t="s">
        <v>29</v>
      </c>
      <c r="Z50" s="71">
        <f t="shared" si="38"/>
        <v>21.111111111111111</v>
      </c>
      <c r="AA50" s="93"/>
    </row>
    <row r="51" spans="1:27">
      <c r="A51" s="64">
        <f>SUBTOTAL(3,C$2:C51)</f>
        <v>50</v>
      </c>
      <c r="B51" s="64" t="s">
        <v>30</v>
      </c>
      <c r="C51" s="64" t="s">
        <v>31</v>
      </c>
      <c r="D51" s="64" t="s">
        <v>32</v>
      </c>
      <c r="E51" s="64" t="s">
        <v>33</v>
      </c>
      <c r="F51" s="64" t="s">
        <v>85</v>
      </c>
      <c r="G51" s="91" t="s">
        <v>34</v>
      </c>
      <c r="H51" s="92">
        <v>17152</v>
      </c>
      <c r="I51" s="65">
        <v>46115</v>
      </c>
      <c r="J51" s="64">
        <f t="shared" ca="1" si="57"/>
        <v>69</v>
      </c>
      <c r="K51" s="64">
        <f t="shared" si="58"/>
        <v>46163</v>
      </c>
      <c r="L51" s="64" t="s">
        <v>273</v>
      </c>
      <c r="M51" s="64">
        <v>18000</v>
      </c>
      <c r="N51" s="64">
        <v>16000</v>
      </c>
      <c r="O51" s="65">
        <v>46116</v>
      </c>
      <c r="P51" s="64">
        <f t="shared" si="59"/>
        <v>2000</v>
      </c>
      <c r="Q51" s="64" t="s">
        <v>33</v>
      </c>
      <c r="R51" s="64" t="s">
        <v>56</v>
      </c>
      <c r="S51" s="64">
        <v>20500</v>
      </c>
      <c r="T51" s="64" t="s">
        <v>2186</v>
      </c>
      <c r="U51" s="65">
        <v>46163</v>
      </c>
      <c r="V51" s="64" t="s">
        <v>28</v>
      </c>
      <c r="W51" s="64">
        <f t="shared" si="37"/>
        <v>2500</v>
      </c>
      <c r="X51" s="64" t="s">
        <v>36</v>
      </c>
      <c r="Y51" s="64" t="s">
        <v>29</v>
      </c>
      <c r="Z51" s="71">
        <f t="shared" si="38"/>
        <v>13.888888888888889</v>
      </c>
      <c r="AA51" s="93"/>
    </row>
    <row r="52" spans="1:27">
      <c r="A52" s="64">
        <f>SUBTOTAL(3,C$2:C52)</f>
        <v>51</v>
      </c>
      <c r="B52" s="64" t="s">
        <v>30</v>
      </c>
      <c r="C52" s="64" t="s">
        <v>31</v>
      </c>
      <c r="D52" s="64" t="s">
        <v>32</v>
      </c>
      <c r="E52" s="64" t="s">
        <v>33</v>
      </c>
      <c r="F52" s="64" t="s">
        <v>149</v>
      </c>
      <c r="G52" s="91" t="s">
        <v>34</v>
      </c>
      <c r="H52" s="92">
        <v>17153</v>
      </c>
      <c r="I52" s="65">
        <v>46116</v>
      </c>
      <c r="J52" s="64">
        <f t="shared" ref="J52:J54" ca="1" si="60">+TODAY()-I52</f>
        <v>68</v>
      </c>
      <c r="K52" s="64">
        <f t="shared" ref="K52:K54" si="61">+U52</f>
        <v>46136</v>
      </c>
      <c r="L52" s="64" t="s">
        <v>273</v>
      </c>
      <c r="M52" s="64">
        <v>19000</v>
      </c>
      <c r="N52" s="64">
        <v>16000</v>
      </c>
      <c r="O52" s="65">
        <v>46116</v>
      </c>
      <c r="P52" s="64">
        <f t="shared" ref="P52:P54" si="62">+M52-N52</f>
        <v>3000</v>
      </c>
      <c r="Q52" s="65">
        <v>46141</v>
      </c>
      <c r="R52" s="64" t="s">
        <v>39</v>
      </c>
      <c r="S52" s="64">
        <v>20500</v>
      </c>
      <c r="T52" s="64" t="s">
        <v>809</v>
      </c>
      <c r="U52" s="65">
        <v>46136</v>
      </c>
      <c r="V52" s="64" t="s">
        <v>28</v>
      </c>
      <c r="W52" s="64">
        <f t="shared" si="37"/>
        <v>1500</v>
      </c>
      <c r="X52" s="64" t="s">
        <v>36</v>
      </c>
      <c r="Y52" s="64" t="s">
        <v>29</v>
      </c>
      <c r="Z52" s="71">
        <f t="shared" si="38"/>
        <v>7.8947368421052628</v>
      </c>
      <c r="AA52" s="93"/>
    </row>
    <row r="53" spans="1:27">
      <c r="A53" s="64">
        <f>SUBTOTAL(3,C$2:C53)</f>
        <v>52</v>
      </c>
      <c r="B53" s="64" t="s">
        <v>30</v>
      </c>
      <c r="C53" s="64" t="s">
        <v>44</v>
      </c>
      <c r="D53" s="64" t="s">
        <v>32</v>
      </c>
      <c r="E53" s="64" t="s">
        <v>33</v>
      </c>
      <c r="F53" s="64" t="s">
        <v>150</v>
      </c>
      <c r="G53" s="91">
        <v>407</v>
      </c>
      <c r="H53" s="92">
        <v>17154</v>
      </c>
      <c r="I53" s="65">
        <v>46116</v>
      </c>
      <c r="J53" s="64">
        <f t="shared" ca="1" si="60"/>
        <v>68</v>
      </c>
      <c r="K53" s="64">
        <f t="shared" si="61"/>
        <v>46163</v>
      </c>
      <c r="L53" s="64" t="s">
        <v>84</v>
      </c>
      <c r="M53" s="64">
        <v>27000</v>
      </c>
      <c r="N53" s="64">
        <v>25000</v>
      </c>
      <c r="O53" s="65">
        <v>46116</v>
      </c>
      <c r="P53" s="64">
        <f t="shared" si="62"/>
        <v>2000</v>
      </c>
      <c r="Q53" s="64" t="s">
        <v>33</v>
      </c>
      <c r="R53" s="64" t="s">
        <v>56</v>
      </c>
      <c r="S53" s="64">
        <v>29800</v>
      </c>
      <c r="T53" s="64" t="s">
        <v>2185</v>
      </c>
      <c r="U53" s="65">
        <v>46163</v>
      </c>
      <c r="V53" s="64" t="s">
        <v>28</v>
      </c>
      <c r="W53" s="64">
        <f t="shared" si="37"/>
        <v>2800</v>
      </c>
      <c r="X53" s="64" t="s">
        <v>36</v>
      </c>
      <c r="Y53" s="64" t="s">
        <v>29</v>
      </c>
      <c r="Z53" s="71">
        <f t="shared" si="38"/>
        <v>10.37037037037037</v>
      </c>
      <c r="AA53" s="93"/>
    </row>
    <row r="54" spans="1:27">
      <c r="A54" s="64">
        <f>SUBTOTAL(3,C$2:C54)</f>
        <v>53</v>
      </c>
      <c r="B54" s="64" t="s">
        <v>30</v>
      </c>
      <c r="C54" s="64" t="s">
        <v>94</v>
      </c>
      <c r="D54" s="64" t="s">
        <v>32</v>
      </c>
      <c r="E54" s="64" t="s">
        <v>33</v>
      </c>
      <c r="F54" s="64" t="s">
        <v>95</v>
      </c>
      <c r="G54" s="91" t="s">
        <v>67</v>
      </c>
      <c r="H54" s="92">
        <v>17157</v>
      </c>
      <c r="I54" s="65">
        <v>46115</v>
      </c>
      <c r="J54" s="64">
        <f t="shared" ca="1" si="60"/>
        <v>69</v>
      </c>
      <c r="K54" s="64">
        <f t="shared" si="61"/>
        <v>46139</v>
      </c>
      <c r="L54" s="64" t="s">
        <v>97</v>
      </c>
      <c r="M54" s="64">
        <v>21500</v>
      </c>
      <c r="N54" s="64">
        <v>21500</v>
      </c>
      <c r="O54" s="65">
        <v>46116</v>
      </c>
      <c r="P54" s="64">
        <f t="shared" si="62"/>
        <v>0</v>
      </c>
      <c r="Q54" s="64" t="s">
        <v>33</v>
      </c>
      <c r="R54" s="64" t="s">
        <v>78</v>
      </c>
      <c r="S54" s="64">
        <v>25500</v>
      </c>
      <c r="T54" s="64" t="s">
        <v>825</v>
      </c>
      <c r="U54" s="65">
        <v>46139</v>
      </c>
      <c r="V54" s="64" t="s">
        <v>28</v>
      </c>
      <c r="W54" s="64">
        <f t="shared" si="37"/>
        <v>4000</v>
      </c>
      <c r="X54" s="64" t="s">
        <v>36</v>
      </c>
      <c r="Y54" s="64" t="s">
        <v>29</v>
      </c>
      <c r="Z54" s="71">
        <f t="shared" si="38"/>
        <v>18.604651162790699</v>
      </c>
      <c r="AA54" s="93"/>
    </row>
    <row r="55" spans="1:27">
      <c r="A55" s="64">
        <f>SUBTOTAL(3,C$2:C55)</f>
        <v>54</v>
      </c>
      <c r="B55" s="64" t="s">
        <v>30</v>
      </c>
      <c r="C55" s="64" t="s">
        <v>124</v>
      </c>
      <c r="D55" s="64" t="s">
        <v>32</v>
      </c>
      <c r="E55" s="64" t="s">
        <v>33</v>
      </c>
      <c r="F55" s="64" t="s">
        <v>122</v>
      </c>
      <c r="G55" s="91" t="s">
        <v>67</v>
      </c>
      <c r="H55" s="92">
        <v>17158</v>
      </c>
      <c r="I55" s="65">
        <v>46116</v>
      </c>
      <c r="J55" s="64">
        <f t="shared" ref="J55:J60" ca="1" si="63">+TODAY()-I55</f>
        <v>68</v>
      </c>
      <c r="K55" s="64">
        <f t="shared" ref="K55:K60" si="64">+U55</f>
        <v>46137</v>
      </c>
      <c r="L55" s="64" t="s">
        <v>97</v>
      </c>
      <c r="M55" s="64">
        <v>21500</v>
      </c>
      <c r="N55" s="64">
        <v>21500</v>
      </c>
      <c r="O55" s="65">
        <v>46116</v>
      </c>
      <c r="P55" s="64">
        <f t="shared" ref="P55:P60" si="65">+M55-N55</f>
        <v>0</v>
      </c>
      <c r="Q55" s="64" t="s">
        <v>33</v>
      </c>
      <c r="R55" s="64" t="s">
        <v>52</v>
      </c>
      <c r="S55" s="64">
        <v>25200</v>
      </c>
      <c r="T55" s="64" t="s">
        <v>819</v>
      </c>
      <c r="U55" s="65">
        <v>46137</v>
      </c>
      <c r="V55" s="64" t="s">
        <v>28</v>
      </c>
      <c r="W55" s="64">
        <f t="shared" si="37"/>
        <v>3700</v>
      </c>
      <c r="X55" s="64" t="s">
        <v>36</v>
      </c>
      <c r="Y55" s="64" t="s">
        <v>29</v>
      </c>
      <c r="Z55" s="71">
        <f t="shared" si="38"/>
        <v>17.209302325581394</v>
      </c>
      <c r="AA55" s="93"/>
    </row>
    <row r="56" spans="1:27">
      <c r="A56" s="64">
        <f>SUBTOTAL(3,C$2:C56)</f>
        <v>55</v>
      </c>
      <c r="B56" s="64" t="s">
        <v>30</v>
      </c>
      <c r="C56" s="64" t="s">
        <v>76</v>
      </c>
      <c r="D56" s="64" t="s">
        <v>32</v>
      </c>
      <c r="E56" s="64" t="s">
        <v>33</v>
      </c>
      <c r="F56" s="64" t="s">
        <v>169</v>
      </c>
      <c r="G56" s="91" t="s">
        <v>67</v>
      </c>
      <c r="H56" s="92">
        <v>17161</v>
      </c>
      <c r="I56" s="65">
        <v>46116</v>
      </c>
      <c r="J56" s="64">
        <f t="shared" ca="1" si="63"/>
        <v>68</v>
      </c>
      <c r="K56" s="64">
        <f t="shared" si="64"/>
        <v>46136</v>
      </c>
      <c r="L56" s="64" t="s">
        <v>97</v>
      </c>
      <c r="M56" s="64">
        <f>3000+38500</f>
        <v>41500</v>
      </c>
      <c r="N56" s="64">
        <v>35500</v>
      </c>
      <c r="O56" s="65">
        <v>46116</v>
      </c>
      <c r="P56" s="64">
        <f t="shared" si="65"/>
        <v>6000</v>
      </c>
      <c r="Q56" s="65">
        <v>46141</v>
      </c>
      <c r="R56" s="64" t="s">
        <v>52</v>
      </c>
      <c r="S56" s="64">
        <f>5000+42000</f>
        <v>47000</v>
      </c>
      <c r="T56" s="64" t="s">
        <v>810</v>
      </c>
      <c r="U56" s="65">
        <v>46136</v>
      </c>
      <c r="V56" s="64" t="s">
        <v>28</v>
      </c>
      <c r="W56" s="64">
        <f t="shared" si="37"/>
        <v>5500</v>
      </c>
      <c r="X56" s="64" t="s">
        <v>36</v>
      </c>
      <c r="Y56" s="64" t="s">
        <v>29</v>
      </c>
      <c r="Z56" s="71">
        <f t="shared" si="38"/>
        <v>13.253012048192771</v>
      </c>
      <c r="AA56" s="93"/>
    </row>
    <row r="57" spans="1:27">
      <c r="A57" s="64">
        <f>SUBTOTAL(3,C$2:C57)</f>
        <v>56</v>
      </c>
      <c r="B57" s="64" t="s">
        <v>30</v>
      </c>
      <c r="C57" s="64" t="s">
        <v>31</v>
      </c>
      <c r="D57" s="64" t="s">
        <v>32</v>
      </c>
      <c r="E57" s="64" t="s">
        <v>33</v>
      </c>
      <c r="F57" s="64" t="s">
        <v>173</v>
      </c>
      <c r="G57" s="91" t="s">
        <v>34</v>
      </c>
      <c r="H57" s="92">
        <v>17155</v>
      </c>
      <c r="I57" s="65">
        <v>46118</v>
      </c>
      <c r="J57" s="64">
        <f t="shared" ref="J57" ca="1" si="66">+TODAY()-I57</f>
        <v>66</v>
      </c>
      <c r="K57" s="64">
        <f t="shared" ref="K57" si="67">+U57</f>
        <v>46136</v>
      </c>
      <c r="L57" s="64" t="s">
        <v>273</v>
      </c>
      <c r="M57" s="64">
        <v>19000</v>
      </c>
      <c r="N57" s="64">
        <v>17000</v>
      </c>
      <c r="O57" s="65">
        <v>46118</v>
      </c>
      <c r="P57" s="64">
        <f t="shared" ref="P57" si="68">+M57-N57</f>
        <v>2000</v>
      </c>
      <c r="Q57" s="65">
        <v>46141</v>
      </c>
      <c r="R57" s="64" t="s">
        <v>39</v>
      </c>
      <c r="S57" s="64">
        <v>21800</v>
      </c>
      <c r="T57" s="64" t="s">
        <v>809</v>
      </c>
      <c r="U57" s="65">
        <v>46136</v>
      </c>
      <c r="V57" s="64" t="s">
        <v>28</v>
      </c>
      <c r="W57" s="64">
        <f t="shared" si="37"/>
        <v>2800</v>
      </c>
      <c r="X57" s="64" t="s">
        <v>36</v>
      </c>
      <c r="Y57" s="64" t="s">
        <v>29</v>
      </c>
      <c r="Z57" s="71">
        <f t="shared" si="38"/>
        <v>14.736842105263158</v>
      </c>
      <c r="AA57" s="93"/>
    </row>
    <row r="58" spans="1:27">
      <c r="A58" s="64">
        <f>SUBTOTAL(3,C$2:C58)</f>
        <v>57</v>
      </c>
      <c r="B58" s="64" t="s">
        <v>30</v>
      </c>
      <c r="C58" s="64" t="s">
        <v>44</v>
      </c>
      <c r="D58" s="64" t="s">
        <v>32</v>
      </c>
      <c r="E58" s="64" t="s">
        <v>33</v>
      </c>
      <c r="F58" s="64" t="s">
        <v>172</v>
      </c>
      <c r="G58" s="91">
        <v>407</v>
      </c>
      <c r="H58" s="92">
        <v>17156</v>
      </c>
      <c r="I58" s="65">
        <v>46116</v>
      </c>
      <c r="J58" s="64">
        <f t="shared" ca="1" si="63"/>
        <v>68</v>
      </c>
      <c r="K58" s="64">
        <f t="shared" si="64"/>
        <v>46148</v>
      </c>
      <c r="L58" s="64" t="s">
        <v>84</v>
      </c>
      <c r="M58" s="64">
        <v>27000</v>
      </c>
      <c r="N58" s="64">
        <v>25000</v>
      </c>
      <c r="O58" s="65">
        <v>46118</v>
      </c>
      <c r="P58" s="64">
        <f t="shared" si="65"/>
        <v>2000</v>
      </c>
      <c r="Q58" s="64" t="s">
        <v>33</v>
      </c>
      <c r="R58" s="64" t="s">
        <v>78</v>
      </c>
      <c r="S58" s="64">
        <v>29800</v>
      </c>
      <c r="T58" s="64" t="s">
        <v>1327</v>
      </c>
      <c r="U58" s="65">
        <v>46148</v>
      </c>
      <c r="V58" s="64" t="s">
        <v>28</v>
      </c>
      <c r="W58" s="64">
        <f t="shared" si="37"/>
        <v>2800</v>
      </c>
      <c r="X58" s="64" t="s">
        <v>36</v>
      </c>
      <c r="Y58" s="64" t="s">
        <v>29</v>
      </c>
      <c r="Z58" s="71">
        <f t="shared" si="38"/>
        <v>10.37037037037037</v>
      </c>
      <c r="AA58" s="93"/>
    </row>
    <row r="59" spans="1:27">
      <c r="A59" s="64">
        <f>SUBTOTAL(3,C$2:C59)</f>
        <v>58</v>
      </c>
      <c r="B59" s="64" t="s">
        <v>30</v>
      </c>
      <c r="C59" s="64" t="s">
        <v>31</v>
      </c>
      <c r="D59" s="64" t="s">
        <v>32</v>
      </c>
      <c r="E59" s="64" t="s">
        <v>33</v>
      </c>
      <c r="F59" s="64" t="s">
        <v>191</v>
      </c>
      <c r="G59" s="91" t="s">
        <v>34</v>
      </c>
      <c r="H59" s="92">
        <v>17159</v>
      </c>
      <c r="I59" s="65">
        <v>46116</v>
      </c>
      <c r="J59" s="64">
        <f t="shared" ca="1" si="63"/>
        <v>68</v>
      </c>
      <c r="K59" s="64">
        <f t="shared" si="64"/>
        <v>46136</v>
      </c>
      <c r="L59" s="64" t="s">
        <v>47</v>
      </c>
      <c r="M59" s="64">
        <v>19000</v>
      </c>
      <c r="N59" s="64">
        <v>17000</v>
      </c>
      <c r="O59" s="65">
        <v>46118</v>
      </c>
      <c r="P59" s="64">
        <f t="shared" si="65"/>
        <v>2000</v>
      </c>
      <c r="Q59" s="65">
        <v>46141</v>
      </c>
      <c r="R59" s="64" t="s">
        <v>39</v>
      </c>
      <c r="S59" s="64">
        <v>21800</v>
      </c>
      <c r="T59" s="64" t="s">
        <v>809</v>
      </c>
      <c r="U59" s="65">
        <v>46136</v>
      </c>
      <c r="V59" s="64" t="s">
        <v>28</v>
      </c>
      <c r="W59" s="64">
        <f t="shared" si="37"/>
        <v>2800</v>
      </c>
      <c r="X59" s="64" t="s">
        <v>36</v>
      </c>
      <c r="Y59" s="64" t="s">
        <v>29</v>
      </c>
      <c r="Z59" s="71">
        <f t="shared" si="38"/>
        <v>14.736842105263158</v>
      </c>
      <c r="AA59" s="93"/>
    </row>
    <row r="60" spans="1:27">
      <c r="A60" s="64">
        <f>SUBTOTAL(3,C$2:C60)</f>
        <v>59</v>
      </c>
      <c r="B60" s="64" t="s">
        <v>30</v>
      </c>
      <c r="C60" s="64" t="s">
        <v>31</v>
      </c>
      <c r="D60" s="64" t="s">
        <v>32</v>
      </c>
      <c r="E60" s="64" t="s">
        <v>33</v>
      </c>
      <c r="F60" s="64" t="s">
        <v>201</v>
      </c>
      <c r="G60" s="91" t="s">
        <v>34</v>
      </c>
      <c r="H60" s="92">
        <v>17160</v>
      </c>
      <c r="I60" s="65">
        <v>46116</v>
      </c>
      <c r="J60" s="64">
        <f t="shared" ca="1" si="63"/>
        <v>68</v>
      </c>
      <c r="K60" s="64">
        <f t="shared" si="64"/>
        <v>46137</v>
      </c>
      <c r="L60" s="64" t="s">
        <v>88</v>
      </c>
      <c r="M60" s="64">
        <v>23300</v>
      </c>
      <c r="N60" s="64">
        <v>21500</v>
      </c>
      <c r="O60" s="65">
        <v>46118</v>
      </c>
      <c r="P60" s="64">
        <f t="shared" si="65"/>
        <v>1800</v>
      </c>
      <c r="Q60" s="65">
        <v>46141</v>
      </c>
      <c r="R60" s="64" t="s">
        <v>37</v>
      </c>
      <c r="S60" s="64">
        <v>26000</v>
      </c>
      <c r="T60" s="64" t="s">
        <v>822</v>
      </c>
      <c r="U60" s="65">
        <v>46137</v>
      </c>
      <c r="V60" s="64" t="s">
        <v>28</v>
      </c>
      <c r="W60" s="64">
        <f t="shared" si="37"/>
        <v>2700</v>
      </c>
      <c r="X60" s="64" t="s">
        <v>36</v>
      </c>
      <c r="Y60" s="64" t="s">
        <v>29</v>
      </c>
      <c r="Z60" s="71">
        <f t="shared" si="38"/>
        <v>11.587982832618026</v>
      </c>
      <c r="AA60" s="93"/>
    </row>
    <row r="61" spans="1:27">
      <c r="A61" s="64">
        <f>SUBTOTAL(3,C$2:C61)</f>
        <v>60</v>
      </c>
      <c r="B61" s="64" t="s">
        <v>30</v>
      </c>
      <c r="C61" s="64" t="s">
        <v>76</v>
      </c>
      <c r="D61" s="64" t="s">
        <v>32</v>
      </c>
      <c r="E61" s="64" t="s">
        <v>33</v>
      </c>
      <c r="F61" s="64" t="s">
        <v>77</v>
      </c>
      <c r="G61" s="91" t="s">
        <v>67</v>
      </c>
      <c r="H61" s="92">
        <v>17162</v>
      </c>
      <c r="I61" s="65">
        <v>46116</v>
      </c>
      <c r="J61" s="64">
        <f t="shared" ref="J61:J72" ca="1" si="69">+TODAY()-I61</f>
        <v>68</v>
      </c>
      <c r="K61" s="64">
        <f t="shared" ref="K61:K72" si="70">+U61</f>
        <v>46137</v>
      </c>
      <c r="L61" s="64" t="s">
        <v>97</v>
      </c>
      <c r="M61" s="64">
        <v>38500</v>
      </c>
      <c r="N61" s="64">
        <v>35500</v>
      </c>
      <c r="O61" s="65">
        <v>46118</v>
      </c>
      <c r="P61" s="64">
        <f t="shared" ref="P61:P72" si="71">+M61-N61</f>
        <v>3000</v>
      </c>
      <c r="Q61" s="65">
        <v>46141</v>
      </c>
      <c r="R61" s="64" t="s">
        <v>174</v>
      </c>
      <c r="S61" s="64">
        <v>42000</v>
      </c>
      <c r="T61" s="64" t="s">
        <v>820</v>
      </c>
      <c r="U61" s="65">
        <v>46137</v>
      </c>
      <c r="V61" s="64" t="s">
        <v>28</v>
      </c>
      <c r="W61" s="64">
        <f t="shared" si="37"/>
        <v>3500</v>
      </c>
      <c r="X61" s="64" t="s">
        <v>36</v>
      </c>
      <c r="Y61" s="64" t="s">
        <v>29</v>
      </c>
      <c r="Z61" s="71">
        <f t="shared" si="38"/>
        <v>9.0909090909090917</v>
      </c>
      <c r="AA61" s="93"/>
    </row>
    <row r="62" spans="1:27">
      <c r="A62" s="64">
        <f>SUBTOTAL(3,C$2:C62)</f>
        <v>61</v>
      </c>
      <c r="B62" s="64" t="s">
        <v>30</v>
      </c>
      <c r="C62" s="64" t="s">
        <v>31</v>
      </c>
      <c r="D62" s="64" t="s">
        <v>32</v>
      </c>
      <c r="E62" s="64" t="s">
        <v>33</v>
      </c>
      <c r="F62" s="64" t="s">
        <v>192</v>
      </c>
      <c r="G62" s="91" t="s">
        <v>34</v>
      </c>
      <c r="H62" s="92">
        <v>17163</v>
      </c>
      <c r="I62" s="65">
        <v>46116</v>
      </c>
      <c r="J62" s="64">
        <f t="shared" ca="1" si="69"/>
        <v>68</v>
      </c>
      <c r="K62" s="64">
        <f t="shared" si="70"/>
        <v>46136</v>
      </c>
      <c r="L62" s="64" t="s">
        <v>47</v>
      </c>
      <c r="M62" s="64">
        <v>19000</v>
      </c>
      <c r="N62" s="64">
        <v>17000</v>
      </c>
      <c r="O62" s="65">
        <v>46118</v>
      </c>
      <c r="P62" s="64">
        <f t="shared" si="71"/>
        <v>2000</v>
      </c>
      <c r="Q62" s="65">
        <v>46141</v>
      </c>
      <c r="R62" s="64" t="s">
        <v>39</v>
      </c>
      <c r="S62" s="64">
        <v>21800</v>
      </c>
      <c r="T62" s="64" t="s">
        <v>809</v>
      </c>
      <c r="U62" s="65">
        <v>46136</v>
      </c>
      <c r="V62" s="64" t="s">
        <v>28</v>
      </c>
      <c r="W62" s="64">
        <f t="shared" si="37"/>
        <v>2800</v>
      </c>
      <c r="X62" s="64" t="s">
        <v>36</v>
      </c>
      <c r="Y62" s="64" t="s">
        <v>29</v>
      </c>
      <c r="Z62" s="71">
        <f t="shared" si="38"/>
        <v>14.736842105263158</v>
      </c>
      <c r="AA62" s="93"/>
    </row>
    <row r="63" spans="1:27">
      <c r="A63" s="64">
        <f>SUBTOTAL(3,C$2:C63)</f>
        <v>62</v>
      </c>
      <c r="B63" s="64" t="s">
        <v>30</v>
      </c>
      <c r="C63" s="64" t="s">
        <v>31</v>
      </c>
      <c r="D63" s="64" t="s">
        <v>32</v>
      </c>
      <c r="E63" s="64" t="s">
        <v>33</v>
      </c>
      <c r="F63" s="64" t="s">
        <v>193</v>
      </c>
      <c r="G63" s="91" t="s">
        <v>34</v>
      </c>
      <c r="H63" s="92">
        <v>17164</v>
      </c>
      <c r="I63" s="65">
        <v>46116</v>
      </c>
      <c r="J63" s="64">
        <f t="shared" ca="1" si="69"/>
        <v>68</v>
      </c>
      <c r="K63" s="64">
        <f t="shared" si="70"/>
        <v>46136</v>
      </c>
      <c r="L63" s="64" t="s">
        <v>47</v>
      </c>
      <c r="M63" s="64">
        <v>19000</v>
      </c>
      <c r="N63" s="64">
        <v>17000</v>
      </c>
      <c r="O63" s="65">
        <v>46118</v>
      </c>
      <c r="P63" s="64">
        <f t="shared" si="71"/>
        <v>2000</v>
      </c>
      <c r="Q63" s="65">
        <v>46141</v>
      </c>
      <c r="R63" s="64" t="s">
        <v>39</v>
      </c>
      <c r="S63" s="64">
        <v>21800</v>
      </c>
      <c r="T63" s="64" t="s">
        <v>809</v>
      </c>
      <c r="U63" s="65">
        <v>46136</v>
      </c>
      <c r="V63" s="64" t="s">
        <v>28</v>
      </c>
      <c r="W63" s="64">
        <f t="shared" ref="W63:W94" si="72">+S63-M63</f>
        <v>2800</v>
      </c>
      <c r="X63" s="64" t="s">
        <v>36</v>
      </c>
      <c r="Y63" s="64" t="s">
        <v>29</v>
      </c>
      <c r="Z63" s="71">
        <f t="shared" ref="Z63:Z94" si="73">+W63*100/M63</f>
        <v>14.736842105263158</v>
      </c>
      <c r="AA63" s="93"/>
    </row>
    <row r="64" spans="1:27">
      <c r="A64" s="64">
        <f>SUBTOTAL(3,C$2:C64)</f>
        <v>63</v>
      </c>
      <c r="B64" s="64" t="s">
        <v>30</v>
      </c>
      <c r="C64" s="64" t="s">
        <v>119</v>
      </c>
      <c r="D64" s="64" t="s">
        <v>32</v>
      </c>
      <c r="E64" s="64" t="s">
        <v>33</v>
      </c>
      <c r="F64" s="64" t="s">
        <v>175</v>
      </c>
      <c r="G64" s="91" t="s">
        <v>143</v>
      </c>
      <c r="H64" s="64">
        <v>17165</v>
      </c>
      <c r="I64" s="65">
        <v>46116</v>
      </c>
      <c r="J64" s="64">
        <f t="shared" ca="1" si="69"/>
        <v>68</v>
      </c>
      <c r="K64" s="64" t="str">
        <f t="shared" si="70"/>
        <v>Pending</v>
      </c>
      <c r="L64" s="64" t="s">
        <v>176</v>
      </c>
      <c r="M64" s="64">
        <v>35000</v>
      </c>
      <c r="N64" s="64">
        <v>30000</v>
      </c>
      <c r="O64" s="65">
        <v>46118</v>
      </c>
      <c r="P64" s="64">
        <f t="shared" si="71"/>
        <v>5000</v>
      </c>
      <c r="Q64" s="64" t="s">
        <v>33</v>
      </c>
      <c r="R64" s="64" t="s">
        <v>37</v>
      </c>
      <c r="S64" s="64">
        <v>38000</v>
      </c>
      <c r="T64" s="64" t="s">
        <v>33</v>
      </c>
      <c r="U64" s="65" t="s">
        <v>33</v>
      </c>
      <c r="V64" s="64" t="s">
        <v>28</v>
      </c>
      <c r="W64" s="64">
        <f t="shared" si="72"/>
        <v>3000</v>
      </c>
      <c r="X64" s="64" t="s">
        <v>36</v>
      </c>
      <c r="Y64" s="64" t="s">
        <v>29</v>
      </c>
      <c r="Z64" s="71">
        <f t="shared" si="73"/>
        <v>8.5714285714285712</v>
      </c>
      <c r="AA64" s="93"/>
    </row>
    <row r="65" spans="1:27">
      <c r="A65" s="64">
        <f>SUBTOTAL(3,C$2:C65)</f>
        <v>64</v>
      </c>
      <c r="B65" s="64" t="s">
        <v>30</v>
      </c>
      <c r="C65" s="64" t="s">
        <v>31</v>
      </c>
      <c r="D65" s="64" t="s">
        <v>32</v>
      </c>
      <c r="E65" s="64" t="s">
        <v>33</v>
      </c>
      <c r="F65" s="64" t="s">
        <v>194</v>
      </c>
      <c r="G65" s="91" t="s">
        <v>34</v>
      </c>
      <c r="H65" s="92">
        <v>17166</v>
      </c>
      <c r="I65" s="65">
        <v>46118</v>
      </c>
      <c r="J65" s="64">
        <f t="shared" ca="1" si="69"/>
        <v>66</v>
      </c>
      <c r="K65" s="64">
        <f t="shared" si="70"/>
        <v>46136</v>
      </c>
      <c r="L65" s="64" t="s">
        <v>47</v>
      </c>
      <c r="M65" s="64">
        <v>19000</v>
      </c>
      <c r="N65" s="64">
        <v>17000</v>
      </c>
      <c r="O65" s="65">
        <v>46118</v>
      </c>
      <c r="P65" s="64">
        <f t="shared" si="71"/>
        <v>2000</v>
      </c>
      <c r="Q65" s="65">
        <v>46141</v>
      </c>
      <c r="R65" s="64" t="s">
        <v>39</v>
      </c>
      <c r="S65" s="64">
        <v>21800</v>
      </c>
      <c r="T65" s="64" t="s">
        <v>809</v>
      </c>
      <c r="U65" s="65">
        <v>46136</v>
      </c>
      <c r="V65" s="64" t="s">
        <v>28</v>
      </c>
      <c r="W65" s="64">
        <f t="shared" si="72"/>
        <v>2800</v>
      </c>
      <c r="X65" s="64" t="s">
        <v>36</v>
      </c>
      <c r="Y65" s="64" t="s">
        <v>29</v>
      </c>
      <c r="Z65" s="71">
        <f t="shared" si="73"/>
        <v>14.736842105263158</v>
      </c>
      <c r="AA65" s="93"/>
    </row>
    <row r="66" spans="1:27">
      <c r="A66" s="64">
        <f>SUBTOTAL(3,C$2:C66)</f>
        <v>65</v>
      </c>
      <c r="B66" s="64" t="s">
        <v>30</v>
      </c>
      <c r="C66" s="64" t="s">
        <v>31</v>
      </c>
      <c r="D66" s="64" t="s">
        <v>32</v>
      </c>
      <c r="E66" s="64" t="s">
        <v>33</v>
      </c>
      <c r="F66" s="64" t="s">
        <v>177</v>
      </c>
      <c r="G66" s="91" t="s">
        <v>34</v>
      </c>
      <c r="H66" s="92">
        <v>17167</v>
      </c>
      <c r="I66" s="65">
        <v>46118</v>
      </c>
      <c r="J66" s="64">
        <f t="shared" ca="1" si="69"/>
        <v>66</v>
      </c>
      <c r="K66" s="64">
        <f t="shared" si="70"/>
        <v>46127</v>
      </c>
      <c r="L66" s="64" t="s">
        <v>111</v>
      </c>
      <c r="M66" s="64">
        <v>11700</v>
      </c>
      <c r="N66" s="64">
        <v>10700</v>
      </c>
      <c r="O66" s="65">
        <v>46118</v>
      </c>
      <c r="P66" s="64">
        <f t="shared" si="71"/>
        <v>1000</v>
      </c>
      <c r="Q66" s="64" t="s">
        <v>33</v>
      </c>
      <c r="R66" s="64" t="s">
        <v>112</v>
      </c>
      <c r="S66" s="64">
        <v>13500</v>
      </c>
      <c r="T66" s="64" t="s">
        <v>827</v>
      </c>
      <c r="U66" s="65">
        <v>46127</v>
      </c>
      <c r="V66" s="64" t="s">
        <v>28</v>
      </c>
      <c r="W66" s="64">
        <f t="shared" si="72"/>
        <v>1800</v>
      </c>
      <c r="X66" s="64" t="s">
        <v>36</v>
      </c>
      <c r="Y66" s="64" t="s">
        <v>29</v>
      </c>
      <c r="Z66" s="71">
        <f t="shared" si="73"/>
        <v>15.384615384615385</v>
      </c>
      <c r="AA66" s="93"/>
    </row>
    <row r="67" spans="1:27">
      <c r="A67" s="64">
        <f>SUBTOTAL(3,C$2:C67)</f>
        <v>66</v>
      </c>
      <c r="B67" s="64" t="s">
        <v>30</v>
      </c>
      <c r="C67" s="64" t="s">
        <v>31</v>
      </c>
      <c r="D67" s="64" t="s">
        <v>32</v>
      </c>
      <c r="E67" s="64" t="s">
        <v>33</v>
      </c>
      <c r="F67" s="64" t="s">
        <v>195</v>
      </c>
      <c r="G67" s="91" t="s">
        <v>34</v>
      </c>
      <c r="H67" s="92">
        <v>17168</v>
      </c>
      <c r="I67" s="65">
        <v>46116</v>
      </c>
      <c r="J67" s="64">
        <f t="shared" ca="1" si="69"/>
        <v>68</v>
      </c>
      <c r="K67" s="64">
        <f t="shared" si="70"/>
        <v>46170</v>
      </c>
      <c r="L67" s="64" t="s">
        <v>47</v>
      </c>
      <c r="M67" s="64">
        <v>19000</v>
      </c>
      <c r="N67" s="64">
        <v>17000</v>
      </c>
      <c r="O67" s="65">
        <v>46118</v>
      </c>
      <c r="P67" s="64">
        <f t="shared" si="71"/>
        <v>2000</v>
      </c>
      <c r="Q67" s="64" t="s">
        <v>33</v>
      </c>
      <c r="R67" s="64" t="s">
        <v>196</v>
      </c>
      <c r="S67" s="64">
        <v>21800</v>
      </c>
      <c r="T67" s="64" t="s">
        <v>2657</v>
      </c>
      <c r="U67" s="65">
        <v>46170</v>
      </c>
      <c r="V67" s="64" t="s">
        <v>28</v>
      </c>
      <c r="W67" s="64">
        <f t="shared" si="72"/>
        <v>2800</v>
      </c>
      <c r="X67" s="64" t="s">
        <v>36</v>
      </c>
      <c r="Y67" s="64" t="s">
        <v>29</v>
      </c>
      <c r="Z67" s="71">
        <f t="shared" si="73"/>
        <v>14.736842105263158</v>
      </c>
      <c r="AA67" s="93"/>
    </row>
    <row r="68" spans="1:27">
      <c r="A68" s="64">
        <f>SUBTOTAL(3,C$2:C68)</f>
        <v>67</v>
      </c>
      <c r="B68" s="64" t="s">
        <v>30</v>
      </c>
      <c r="C68" s="64" t="s">
        <v>31</v>
      </c>
      <c r="D68" s="64" t="s">
        <v>32</v>
      </c>
      <c r="E68" s="64" t="s">
        <v>33</v>
      </c>
      <c r="F68" s="64" t="s">
        <v>197</v>
      </c>
      <c r="G68" s="91" t="s">
        <v>34</v>
      </c>
      <c r="H68" s="92">
        <v>17169</v>
      </c>
      <c r="I68" s="65">
        <v>46117</v>
      </c>
      <c r="J68" s="64">
        <f t="shared" ca="1" si="69"/>
        <v>67</v>
      </c>
      <c r="K68" s="64">
        <f t="shared" si="70"/>
        <v>46169</v>
      </c>
      <c r="L68" s="64" t="s">
        <v>47</v>
      </c>
      <c r="M68" s="64">
        <v>19000</v>
      </c>
      <c r="N68" s="64">
        <v>17000</v>
      </c>
      <c r="O68" s="65">
        <v>46118</v>
      </c>
      <c r="P68" s="64">
        <f t="shared" si="71"/>
        <v>2000</v>
      </c>
      <c r="Q68" s="64" t="s">
        <v>33</v>
      </c>
      <c r="R68" s="64" t="s">
        <v>39</v>
      </c>
      <c r="S68" s="64">
        <v>21800</v>
      </c>
      <c r="T68" s="64" t="s">
        <v>2658</v>
      </c>
      <c r="U68" s="65">
        <v>46169</v>
      </c>
      <c r="V68" s="64" t="s">
        <v>28</v>
      </c>
      <c r="W68" s="64">
        <f t="shared" si="72"/>
        <v>2800</v>
      </c>
      <c r="X68" s="64" t="s">
        <v>36</v>
      </c>
      <c r="Y68" s="64" t="s">
        <v>29</v>
      </c>
      <c r="Z68" s="71">
        <f t="shared" si="73"/>
        <v>14.736842105263158</v>
      </c>
      <c r="AA68" s="93"/>
    </row>
    <row r="69" spans="1:27">
      <c r="A69" s="64">
        <f>SUBTOTAL(3,C$2:C69)</f>
        <v>68</v>
      </c>
      <c r="B69" s="64" t="s">
        <v>30</v>
      </c>
      <c r="C69" s="64" t="s">
        <v>31</v>
      </c>
      <c r="D69" s="64" t="s">
        <v>32</v>
      </c>
      <c r="E69" s="64" t="s">
        <v>33</v>
      </c>
      <c r="F69" s="64" t="s">
        <v>198</v>
      </c>
      <c r="G69" s="91" t="s">
        <v>34</v>
      </c>
      <c r="H69" s="92">
        <v>17170</v>
      </c>
      <c r="I69" s="65">
        <v>46117</v>
      </c>
      <c r="J69" s="64">
        <f t="shared" ca="1" si="69"/>
        <v>67</v>
      </c>
      <c r="K69" s="64">
        <f t="shared" si="70"/>
        <v>46136</v>
      </c>
      <c r="L69" s="64" t="s">
        <v>47</v>
      </c>
      <c r="M69" s="64">
        <v>19000</v>
      </c>
      <c r="N69" s="64">
        <v>17000</v>
      </c>
      <c r="O69" s="65">
        <v>46118</v>
      </c>
      <c r="P69" s="64">
        <f t="shared" si="71"/>
        <v>2000</v>
      </c>
      <c r="Q69" s="65">
        <v>46141</v>
      </c>
      <c r="R69" s="64" t="s">
        <v>39</v>
      </c>
      <c r="S69" s="64">
        <v>21800</v>
      </c>
      <c r="T69" s="64" t="s">
        <v>809</v>
      </c>
      <c r="U69" s="65">
        <v>46136</v>
      </c>
      <c r="V69" s="64" t="s">
        <v>28</v>
      </c>
      <c r="W69" s="64">
        <f t="shared" si="72"/>
        <v>2800</v>
      </c>
      <c r="X69" s="64" t="s">
        <v>36</v>
      </c>
      <c r="Y69" s="64" t="s">
        <v>29</v>
      </c>
      <c r="Z69" s="71">
        <f t="shared" si="73"/>
        <v>14.736842105263158</v>
      </c>
      <c r="AA69" s="93"/>
    </row>
    <row r="70" spans="1:27">
      <c r="A70" s="64">
        <f>SUBTOTAL(3,C$2:C70)</f>
        <v>69</v>
      </c>
      <c r="B70" s="64" t="s">
        <v>30</v>
      </c>
      <c r="C70" s="64" t="s">
        <v>31</v>
      </c>
      <c r="D70" s="64" t="s">
        <v>32</v>
      </c>
      <c r="E70" s="64" t="s">
        <v>33</v>
      </c>
      <c r="F70" s="64" t="s">
        <v>203</v>
      </c>
      <c r="G70" s="91" t="s">
        <v>34</v>
      </c>
      <c r="H70" s="92">
        <v>17171</v>
      </c>
      <c r="I70" s="65">
        <v>46117</v>
      </c>
      <c r="J70" s="64">
        <f t="shared" ca="1" si="69"/>
        <v>67</v>
      </c>
      <c r="K70" s="64">
        <f t="shared" si="70"/>
        <v>46148</v>
      </c>
      <c r="L70" s="64" t="s">
        <v>273</v>
      </c>
      <c r="M70" s="64">
        <v>18000</v>
      </c>
      <c r="N70" s="64">
        <v>16000</v>
      </c>
      <c r="O70" s="65">
        <v>46118</v>
      </c>
      <c r="P70" s="64">
        <f t="shared" si="71"/>
        <v>2000</v>
      </c>
      <c r="Q70" s="64" t="s">
        <v>33</v>
      </c>
      <c r="R70" s="64" t="s">
        <v>56</v>
      </c>
      <c r="S70" s="64">
        <v>20500</v>
      </c>
      <c r="T70" s="64" t="s">
        <v>1342</v>
      </c>
      <c r="U70" s="65">
        <v>46148</v>
      </c>
      <c r="V70" s="64" t="s">
        <v>28</v>
      </c>
      <c r="W70" s="64">
        <f t="shared" si="72"/>
        <v>2500</v>
      </c>
      <c r="X70" s="64" t="s">
        <v>36</v>
      </c>
      <c r="Y70" s="64" t="s">
        <v>29</v>
      </c>
      <c r="Z70" s="71">
        <f t="shared" si="73"/>
        <v>13.888888888888889</v>
      </c>
      <c r="AA70" s="93"/>
    </row>
    <row r="71" spans="1:27">
      <c r="A71" s="64">
        <f>SUBTOTAL(3,C$2:C71)</f>
        <v>70</v>
      </c>
      <c r="B71" s="64" t="s">
        <v>30</v>
      </c>
      <c r="C71" s="64" t="s">
        <v>44</v>
      </c>
      <c r="D71" s="64" t="s">
        <v>32</v>
      </c>
      <c r="E71" s="64" t="s">
        <v>33</v>
      </c>
      <c r="F71" s="64" t="s">
        <v>204</v>
      </c>
      <c r="G71" s="91" t="s">
        <v>34</v>
      </c>
      <c r="H71" s="92">
        <v>17172</v>
      </c>
      <c r="I71" s="65">
        <v>46116</v>
      </c>
      <c r="J71" s="64">
        <f t="shared" ca="1" si="69"/>
        <v>68</v>
      </c>
      <c r="K71" s="64">
        <f t="shared" si="70"/>
        <v>46163</v>
      </c>
      <c r="L71" s="64" t="s">
        <v>273</v>
      </c>
      <c r="M71" s="64">
        <v>27000</v>
      </c>
      <c r="N71" s="64">
        <v>25000</v>
      </c>
      <c r="O71" s="65">
        <v>46118</v>
      </c>
      <c r="P71" s="64">
        <f t="shared" si="71"/>
        <v>2000</v>
      </c>
      <c r="Q71" s="64" t="s">
        <v>33</v>
      </c>
      <c r="R71" s="64" t="s">
        <v>56</v>
      </c>
      <c r="S71" s="64">
        <v>29800</v>
      </c>
      <c r="T71" s="64" t="s">
        <v>2185</v>
      </c>
      <c r="U71" s="65">
        <v>46163</v>
      </c>
      <c r="V71" s="64" t="s">
        <v>28</v>
      </c>
      <c r="W71" s="64">
        <f t="shared" si="72"/>
        <v>2800</v>
      </c>
      <c r="X71" s="64" t="s">
        <v>36</v>
      </c>
      <c r="Y71" s="64" t="s">
        <v>29</v>
      </c>
      <c r="Z71" s="71">
        <f t="shared" si="73"/>
        <v>10.37037037037037</v>
      </c>
      <c r="AA71" s="93"/>
    </row>
    <row r="72" spans="1:27">
      <c r="A72" s="64">
        <f>SUBTOTAL(3,C$2:C72)</f>
        <v>71</v>
      </c>
      <c r="B72" s="64" t="s">
        <v>30</v>
      </c>
      <c r="C72" s="64" t="s">
        <v>44</v>
      </c>
      <c r="D72" s="64" t="s">
        <v>32</v>
      </c>
      <c r="E72" s="64" t="s">
        <v>33</v>
      </c>
      <c r="F72" s="64" t="s">
        <v>178</v>
      </c>
      <c r="G72" s="91">
        <v>407</v>
      </c>
      <c r="H72" s="64">
        <v>17173</v>
      </c>
      <c r="I72" s="65">
        <v>46116</v>
      </c>
      <c r="J72" s="64">
        <f t="shared" ca="1" si="69"/>
        <v>68</v>
      </c>
      <c r="K72" s="64" t="str">
        <f t="shared" si="70"/>
        <v>Pending</v>
      </c>
      <c r="L72" s="64" t="s">
        <v>179</v>
      </c>
      <c r="M72" s="64">
        <v>12500</v>
      </c>
      <c r="N72" s="64">
        <v>11500</v>
      </c>
      <c r="O72" s="65">
        <v>46118</v>
      </c>
      <c r="P72" s="64">
        <f t="shared" si="71"/>
        <v>1000</v>
      </c>
      <c r="Q72" s="64" t="s">
        <v>33</v>
      </c>
      <c r="R72" s="64" t="s">
        <v>112</v>
      </c>
      <c r="S72" s="64">
        <v>14500</v>
      </c>
      <c r="T72" s="64" t="s">
        <v>33</v>
      </c>
      <c r="U72" s="65" t="s">
        <v>33</v>
      </c>
      <c r="V72" s="64" t="s">
        <v>28</v>
      </c>
      <c r="W72" s="64">
        <f t="shared" si="72"/>
        <v>2000</v>
      </c>
      <c r="X72" s="64" t="s">
        <v>36</v>
      </c>
      <c r="Y72" s="64" t="s">
        <v>29</v>
      </c>
      <c r="Z72" s="71">
        <f t="shared" si="73"/>
        <v>16</v>
      </c>
      <c r="AA72" s="93"/>
    </row>
    <row r="73" spans="1:27">
      <c r="A73" s="64">
        <f>SUBTOTAL(3,C$2:C73)</f>
        <v>72</v>
      </c>
      <c r="B73" s="64" t="s">
        <v>30</v>
      </c>
      <c r="C73" s="64" t="s">
        <v>44</v>
      </c>
      <c r="D73" s="64" t="s">
        <v>32</v>
      </c>
      <c r="E73" s="64" t="s">
        <v>33</v>
      </c>
      <c r="F73" s="64" t="s">
        <v>180</v>
      </c>
      <c r="G73" s="91" t="s">
        <v>46</v>
      </c>
      <c r="H73" s="64">
        <v>17174</v>
      </c>
      <c r="I73" s="65">
        <v>46110</v>
      </c>
      <c r="J73" s="64">
        <f t="shared" ref="J73:J74" ca="1" si="74">+TODAY()-I73</f>
        <v>74</v>
      </c>
      <c r="K73" s="64" t="str">
        <f t="shared" ref="K73:K74" si="75">+U73</f>
        <v>Pending</v>
      </c>
      <c r="L73" s="64" t="s">
        <v>181</v>
      </c>
      <c r="M73" s="64">
        <v>6500</v>
      </c>
      <c r="N73" s="64">
        <v>6500</v>
      </c>
      <c r="O73" s="65">
        <v>46118</v>
      </c>
      <c r="P73" s="64">
        <f t="shared" ref="P73:P74" si="76">+M73-N73</f>
        <v>0</v>
      </c>
      <c r="Q73" s="64" t="s">
        <v>33</v>
      </c>
      <c r="R73" s="64" t="s">
        <v>112</v>
      </c>
      <c r="S73" s="64">
        <v>8000</v>
      </c>
      <c r="T73" s="64" t="s">
        <v>33</v>
      </c>
      <c r="U73" s="65" t="s">
        <v>33</v>
      </c>
      <c r="V73" s="64" t="s">
        <v>28</v>
      </c>
      <c r="W73" s="64">
        <f t="shared" si="72"/>
        <v>1500</v>
      </c>
      <c r="X73" s="64" t="s">
        <v>36</v>
      </c>
      <c r="Y73" s="64" t="s">
        <v>29</v>
      </c>
      <c r="Z73" s="71">
        <f t="shared" si="73"/>
        <v>23.076923076923077</v>
      </c>
      <c r="AA73" s="93"/>
    </row>
    <row r="74" spans="1:27">
      <c r="A74" s="64">
        <f>SUBTOTAL(3,C$2:C74)</f>
        <v>73</v>
      </c>
      <c r="B74" s="64" t="s">
        <v>30</v>
      </c>
      <c r="C74" s="64" t="s">
        <v>31</v>
      </c>
      <c r="D74" s="64" t="s">
        <v>32</v>
      </c>
      <c r="E74" s="64" t="s">
        <v>33</v>
      </c>
      <c r="F74" s="64" t="s">
        <v>182</v>
      </c>
      <c r="G74" s="91" t="s">
        <v>34</v>
      </c>
      <c r="H74" s="92">
        <v>17175</v>
      </c>
      <c r="I74" s="65">
        <v>46116</v>
      </c>
      <c r="J74" s="64">
        <f t="shared" ca="1" si="74"/>
        <v>68</v>
      </c>
      <c r="K74" s="64">
        <f t="shared" si="75"/>
        <v>46163</v>
      </c>
      <c r="L74" s="64" t="s">
        <v>273</v>
      </c>
      <c r="M74" s="64">
        <v>18000</v>
      </c>
      <c r="N74" s="64">
        <v>16000</v>
      </c>
      <c r="O74" s="65">
        <v>46118</v>
      </c>
      <c r="P74" s="64">
        <f t="shared" si="76"/>
        <v>2000</v>
      </c>
      <c r="Q74" s="64" t="s">
        <v>33</v>
      </c>
      <c r="R74" s="64" t="s">
        <v>56</v>
      </c>
      <c r="S74" s="64">
        <v>20500</v>
      </c>
      <c r="T74" s="64" t="s">
        <v>2186</v>
      </c>
      <c r="U74" s="65">
        <v>46163</v>
      </c>
      <c r="V74" s="64" t="s">
        <v>28</v>
      </c>
      <c r="W74" s="64">
        <f t="shared" si="72"/>
        <v>2500</v>
      </c>
      <c r="X74" s="64" t="s">
        <v>36</v>
      </c>
      <c r="Y74" s="64" t="s">
        <v>29</v>
      </c>
      <c r="Z74" s="71">
        <f t="shared" si="73"/>
        <v>13.888888888888889</v>
      </c>
      <c r="AA74" s="93"/>
    </row>
    <row r="75" spans="1:27">
      <c r="A75" s="64">
        <f>SUBTOTAL(3,C$2:C75)</f>
        <v>74</v>
      </c>
      <c r="B75" s="64" t="s">
        <v>30</v>
      </c>
      <c r="C75" s="64" t="s">
        <v>185</v>
      </c>
      <c r="D75" s="64" t="s">
        <v>32</v>
      </c>
      <c r="E75" s="64" t="s">
        <v>33</v>
      </c>
      <c r="F75" s="64" t="s">
        <v>183</v>
      </c>
      <c r="G75" s="91" t="s">
        <v>50</v>
      </c>
      <c r="H75" s="92">
        <v>17176</v>
      </c>
      <c r="I75" s="65">
        <v>46118</v>
      </c>
      <c r="J75" s="64">
        <f t="shared" ref="J75:J77" ca="1" si="77">+TODAY()-I75</f>
        <v>66</v>
      </c>
      <c r="K75" s="64">
        <f t="shared" ref="K75:K77" si="78">+U75</f>
        <v>46136</v>
      </c>
      <c r="L75" s="64" t="s">
        <v>184</v>
      </c>
      <c r="M75" s="64">
        <f>3000+44000</f>
        <v>47000</v>
      </c>
      <c r="N75" s="64">
        <v>40000</v>
      </c>
      <c r="O75" s="65">
        <v>46118</v>
      </c>
      <c r="P75" s="64">
        <f t="shared" ref="P75:P77" si="79">+M75-N75</f>
        <v>7000</v>
      </c>
      <c r="Q75" s="65">
        <v>46141</v>
      </c>
      <c r="R75" s="64" t="s">
        <v>52</v>
      </c>
      <c r="S75" s="64">
        <f>5000+48000</f>
        <v>53000</v>
      </c>
      <c r="T75" s="64" t="s">
        <v>814</v>
      </c>
      <c r="U75" s="65">
        <v>46136</v>
      </c>
      <c r="V75" s="64" t="s">
        <v>28</v>
      </c>
      <c r="W75" s="64">
        <f t="shared" si="72"/>
        <v>6000</v>
      </c>
      <c r="X75" s="64" t="s">
        <v>36</v>
      </c>
      <c r="Y75" s="64" t="s">
        <v>29</v>
      </c>
      <c r="Z75" s="71">
        <f t="shared" si="73"/>
        <v>12.76595744680851</v>
      </c>
      <c r="AA75" s="93"/>
    </row>
    <row r="76" spans="1:27">
      <c r="A76" s="64">
        <f>SUBTOTAL(3,C$2:C76)</f>
        <v>75</v>
      </c>
      <c r="B76" s="64" t="s">
        <v>30</v>
      </c>
      <c r="C76" s="64" t="s">
        <v>44</v>
      </c>
      <c r="D76" s="64" t="s">
        <v>32</v>
      </c>
      <c r="E76" s="64" t="s">
        <v>33</v>
      </c>
      <c r="F76" s="64" t="s">
        <v>186</v>
      </c>
      <c r="G76" s="91" t="s">
        <v>67</v>
      </c>
      <c r="H76" s="92">
        <v>17177</v>
      </c>
      <c r="I76" s="65">
        <v>46117</v>
      </c>
      <c r="J76" s="64">
        <f t="shared" ca="1" si="77"/>
        <v>67</v>
      </c>
      <c r="K76" s="64">
        <f t="shared" si="78"/>
        <v>46139</v>
      </c>
      <c r="L76" s="64" t="s">
        <v>97</v>
      </c>
      <c r="M76" s="64">
        <v>21500</v>
      </c>
      <c r="N76" s="64">
        <v>21500</v>
      </c>
      <c r="O76" s="65">
        <v>46118</v>
      </c>
      <c r="P76" s="64">
        <f t="shared" si="79"/>
        <v>0</v>
      </c>
      <c r="Q76" s="64" t="s">
        <v>33</v>
      </c>
      <c r="R76" s="64" t="s">
        <v>78</v>
      </c>
      <c r="S76" s="64">
        <v>25500</v>
      </c>
      <c r="T76" s="64" t="s">
        <v>825</v>
      </c>
      <c r="U76" s="65">
        <v>46139</v>
      </c>
      <c r="V76" s="64" t="s">
        <v>28</v>
      </c>
      <c r="W76" s="64">
        <f t="shared" si="72"/>
        <v>4000</v>
      </c>
      <c r="X76" s="64" t="s">
        <v>36</v>
      </c>
      <c r="Y76" s="64" t="s">
        <v>29</v>
      </c>
      <c r="Z76" s="71">
        <f t="shared" si="73"/>
        <v>18.604651162790699</v>
      </c>
      <c r="AA76" s="93"/>
    </row>
    <row r="77" spans="1:27">
      <c r="A77" s="64">
        <f>SUBTOTAL(3,C$2:C77)</f>
        <v>76</v>
      </c>
      <c r="B77" s="64" t="s">
        <v>30</v>
      </c>
      <c r="C77" s="64" t="s">
        <v>94</v>
      </c>
      <c r="D77" s="64" t="s">
        <v>32</v>
      </c>
      <c r="E77" s="64" t="s">
        <v>33</v>
      </c>
      <c r="F77" s="64" t="s">
        <v>95</v>
      </c>
      <c r="G77" s="91" t="s">
        <v>67</v>
      </c>
      <c r="H77" s="92">
        <v>17178</v>
      </c>
      <c r="I77" s="65">
        <v>46117</v>
      </c>
      <c r="J77" s="64">
        <f t="shared" ca="1" si="77"/>
        <v>67</v>
      </c>
      <c r="K77" s="64">
        <f t="shared" si="78"/>
        <v>46137</v>
      </c>
      <c r="L77" s="64" t="s">
        <v>97</v>
      </c>
      <c r="M77" s="64">
        <v>38500</v>
      </c>
      <c r="N77" s="64">
        <v>35500</v>
      </c>
      <c r="O77" s="65">
        <v>46118</v>
      </c>
      <c r="P77" s="64">
        <f t="shared" si="79"/>
        <v>3000</v>
      </c>
      <c r="Q77" s="65">
        <v>46141</v>
      </c>
      <c r="R77" s="64" t="s">
        <v>174</v>
      </c>
      <c r="S77" s="64">
        <v>42000</v>
      </c>
      <c r="T77" s="64" t="s">
        <v>820</v>
      </c>
      <c r="U77" s="65">
        <v>46137</v>
      </c>
      <c r="V77" s="64" t="s">
        <v>28</v>
      </c>
      <c r="W77" s="64">
        <f t="shared" si="72"/>
        <v>3500</v>
      </c>
      <c r="X77" s="64" t="s">
        <v>36</v>
      </c>
      <c r="Y77" s="64" t="s">
        <v>29</v>
      </c>
      <c r="Z77" s="71">
        <f t="shared" si="73"/>
        <v>9.0909090909090917</v>
      </c>
      <c r="AA77" s="93"/>
    </row>
    <row r="78" spans="1:27">
      <c r="A78" s="64">
        <f>SUBTOTAL(3,C$2:C78)</f>
        <v>77</v>
      </c>
      <c r="B78" s="64" t="s">
        <v>30</v>
      </c>
      <c r="C78" s="64" t="s">
        <v>44</v>
      </c>
      <c r="D78" s="64" t="s">
        <v>32</v>
      </c>
      <c r="E78" s="64" t="s">
        <v>33</v>
      </c>
      <c r="F78" s="64" t="s">
        <v>189</v>
      </c>
      <c r="G78" s="91" t="s">
        <v>59</v>
      </c>
      <c r="H78" s="92">
        <v>17179</v>
      </c>
      <c r="I78" s="65">
        <v>46117</v>
      </c>
      <c r="J78" s="64">
        <f t="shared" ref="J78" ca="1" si="80">+TODAY()-I78</f>
        <v>67</v>
      </c>
      <c r="K78" s="64">
        <f t="shared" ref="K78" si="81">+U78</f>
        <v>46148</v>
      </c>
      <c r="L78" s="64" t="s">
        <v>190</v>
      </c>
      <c r="M78" s="64">
        <v>35000</v>
      </c>
      <c r="N78" s="64">
        <v>32000</v>
      </c>
      <c r="O78" s="65">
        <v>46118</v>
      </c>
      <c r="P78" s="64">
        <f t="shared" ref="P78" si="82">+M78-N78</f>
        <v>3000</v>
      </c>
      <c r="Q78" s="64" t="s">
        <v>33</v>
      </c>
      <c r="R78" s="64" t="s">
        <v>37</v>
      </c>
      <c r="S78" s="64">
        <v>38000</v>
      </c>
      <c r="T78" s="64" t="s">
        <v>1335</v>
      </c>
      <c r="U78" s="65">
        <v>46148</v>
      </c>
      <c r="V78" s="64" t="s">
        <v>28</v>
      </c>
      <c r="W78" s="64">
        <f t="shared" si="72"/>
        <v>3000</v>
      </c>
      <c r="X78" s="64" t="s">
        <v>36</v>
      </c>
      <c r="Y78" s="64" t="s">
        <v>29</v>
      </c>
      <c r="Z78" s="71">
        <f t="shared" si="73"/>
        <v>8.5714285714285712</v>
      </c>
      <c r="AA78" s="93"/>
    </row>
    <row r="79" spans="1:27">
      <c r="A79" s="64">
        <f>SUBTOTAL(3,C$2:C79)</f>
        <v>78</v>
      </c>
      <c r="B79" s="64" t="s">
        <v>30</v>
      </c>
      <c r="C79" s="64" t="s">
        <v>31</v>
      </c>
      <c r="D79" s="64" t="s">
        <v>32</v>
      </c>
      <c r="E79" s="64" t="s">
        <v>33</v>
      </c>
      <c r="F79" s="64" t="s">
        <v>199</v>
      </c>
      <c r="G79" s="91" t="s">
        <v>34</v>
      </c>
      <c r="H79" s="92">
        <v>17180</v>
      </c>
      <c r="I79" s="65">
        <v>46118</v>
      </c>
      <c r="J79" s="64">
        <f t="shared" ref="J79" ca="1" si="83">+TODAY()-I79</f>
        <v>66</v>
      </c>
      <c r="K79" s="64">
        <f t="shared" ref="K79" si="84">+U79</f>
        <v>46136</v>
      </c>
      <c r="L79" s="64" t="s">
        <v>47</v>
      </c>
      <c r="M79" s="64">
        <v>19000</v>
      </c>
      <c r="N79" s="64">
        <v>17000</v>
      </c>
      <c r="O79" s="65">
        <v>46118</v>
      </c>
      <c r="P79" s="64">
        <f t="shared" ref="P79" si="85">+M79-N79</f>
        <v>2000</v>
      </c>
      <c r="Q79" s="65">
        <v>46141</v>
      </c>
      <c r="R79" s="64" t="s">
        <v>39</v>
      </c>
      <c r="S79" s="64">
        <v>21800</v>
      </c>
      <c r="T79" s="64" t="s">
        <v>809</v>
      </c>
      <c r="U79" s="65">
        <v>46136</v>
      </c>
      <c r="V79" s="64" t="s">
        <v>28</v>
      </c>
      <c r="W79" s="64">
        <f t="shared" si="72"/>
        <v>2800</v>
      </c>
      <c r="X79" s="64" t="s">
        <v>36</v>
      </c>
      <c r="Y79" s="64" t="s">
        <v>29</v>
      </c>
      <c r="Z79" s="71">
        <f t="shared" si="73"/>
        <v>14.736842105263158</v>
      </c>
      <c r="AA79" s="93"/>
    </row>
    <row r="80" spans="1:27">
      <c r="A80" s="64">
        <f>SUBTOTAL(3,C$2:C80)</f>
        <v>79</v>
      </c>
      <c r="B80" s="64" t="s">
        <v>30</v>
      </c>
      <c r="C80" s="64" t="s">
        <v>31</v>
      </c>
      <c r="D80" s="64" t="s">
        <v>32</v>
      </c>
      <c r="E80" s="64" t="s">
        <v>33</v>
      </c>
      <c r="F80" s="64" t="s">
        <v>200</v>
      </c>
      <c r="G80" s="91" t="s">
        <v>34</v>
      </c>
      <c r="H80" s="92">
        <v>17181</v>
      </c>
      <c r="I80" s="65">
        <v>46118</v>
      </c>
      <c r="J80" s="64">
        <f t="shared" ref="J80:J81" ca="1" si="86">+TODAY()-I80</f>
        <v>66</v>
      </c>
      <c r="K80" s="64">
        <f t="shared" ref="K80:K81" si="87">+U80</f>
        <v>46136</v>
      </c>
      <c r="L80" s="64" t="s">
        <v>47</v>
      </c>
      <c r="M80" s="64">
        <v>19000</v>
      </c>
      <c r="N80" s="64">
        <v>17000</v>
      </c>
      <c r="O80" s="65">
        <v>46118</v>
      </c>
      <c r="P80" s="64">
        <f t="shared" ref="P80:P81" si="88">+M80-N80</f>
        <v>2000</v>
      </c>
      <c r="Q80" s="65">
        <v>46141</v>
      </c>
      <c r="R80" s="64" t="s">
        <v>39</v>
      </c>
      <c r="S80" s="64">
        <v>21800</v>
      </c>
      <c r="T80" s="64" t="s">
        <v>809</v>
      </c>
      <c r="U80" s="65">
        <v>46136</v>
      </c>
      <c r="V80" s="64" t="s">
        <v>28</v>
      </c>
      <c r="W80" s="64">
        <f t="shared" si="72"/>
        <v>2800</v>
      </c>
      <c r="X80" s="64" t="s">
        <v>36</v>
      </c>
      <c r="Y80" s="64" t="s">
        <v>29</v>
      </c>
      <c r="Z80" s="71">
        <f t="shared" si="73"/>
        <v>14.736842105263158</v>
      </c>
      <c r="AA80" s="93"/>
    </row>
    <row r="81" spans="1:27">
      <c r="A81" s="64">
        <f>SUBTOTAL(3,C$2:C81)</f>
        <v>80</v>
      </c>
      <c r="B81" s="64" t="s">
        <v>30</v>
      </c>
      <c r="C81" s="64" t="s">
        <v>31</v>
      </c>
      <c r="D81" s="64" t="s">
        <v>32</v>
      </c>
      <c r="E81" s="64" t="s">
        <v>33</v>
      </c>
      <c r="F81" s="64" t="s">
        <v>202</v>
      </c>
      <c r="G81" s="91" t="s">
        <v>34</v>
      </c>
      <c r="H81" s="92">
        <v>17182</v>
      </c>
      <c r="I81" s="65">
        <v>46118</v>
      </c>
      <c r="J81" s="64">
        <f t="shared" ca="1" si="86"/>
        <v>66</v>
      </c>
      <c r="K81" s="64">
        <f t="shared" si="87"/>
        <v>46137</v>
      </c>
      <c r="L81" s="52" t="s">
        <v>519</v>
      </c>
      <c r="M81" s="64">
        <v>18300</v>
      </c>
      <c r="N81" s="64">
        <v>16500</v>
      </c>
      <c r="O81" s="65">
        <v>46118</v>
      </c>
      <c r="P81" s="64">
        <f t="shared" si="88"/>
        <v>1800</v>
      </c>
      <c r="Q81" s="65">
        <v>46141</v>
      </c>
      <c r="R81" s="64" t="s">
        <v>37</v>
      </c>
      <c r="S81" s="64">
        <v>21500</v>
      </c>
      <c r="T81" s="64" t="s">
        <v>823</v>
      </c>
      <c r="U81" s="65">
        <v>46137</v>
      </c>
      <c r="V81" s="64" t="s">
        <v>28</v>
      </c>
      <c r="W81" s="64">
        <f t="shared" si="72"/>
        <v>3200</v>
      </c>
      <c r="X81" s="64" t="s">
        <v>36</v>
      </c>
      <c r="Y81" s="64" t="s">
        <v>29</v>
      </c>
      <c r="Z81" s="71">
        <f t="shared" si="73"/>
        <v>17.486338797814209</v>
      </c>
      <c r="AA81" s="93"/>
    </row>
    <row r="82" spans="1:27">
      <c r="A82" s="64">
        <f>SUBTOTAL(3,C$2:C82)</f>
        <v>81</v>
      </c>
      <c r="B82" s="64" t="s">
        <v>30</v>
      </c>
      <c r="C82" s="64" t="s">
        <v>31</v>
      </c>
      <c r="D82" s="64" t="s">
        <v>32</v>
      </c>
      <c r="E82" s="64" t="s">
        <v>33</v>
      </c>
      <c r="F82" s="64" t="s">
        <v>198</v>
      </c>
      <c r="G82" s="91" t="s">
        <v>34</v>
      </c>
      <c r="H82" s="92">
        <v>17183</v>
      </c>
      <c r="I82" s="65">
        <v>46118</v>
      </c>
      <c r="J82" s="64">
        <f t="shared" ref="J82" ca="1" si="89">+TODAY()-I82</f>
        <v>66</v>
      </c>
      <c r="K82" s="64">
        <f t="shared" ref="K82" si="90">+U82</f>
        <v>46136</v>
      </c>
      <c r="L82" s="64" t="s">
        <v>47</v>
      </c>
      <c r="M82" s="64">
        <v>19000</v>
      </c>
      <c r="N82" s="64">
        <v>17000</v>
      </c>
      <c r="O82" s="65">
        <v>46118</v>
      </c>
      <c r="P82" s="64">
        <f t="shared" ref="P82" si="91">+M82-N82</f>
        <v>2000</v>
      </c>
      <c r="Q82" s="65">
        <v>46141</v>
      </c>
      <c r="R82" s="64" t="s">
        <v>39</v>
      </c>
      <c r="S82" s="64">
        <v>21800</v>
      </c>
      <c r="T82" s="64" t="s">
        <v>809</v>
      </c>
      <c r="U82" s="65">
        <v>46136</v>
      </c>
      <c r="V82" s="64" t="s">
        <v>28</v>
      </c>
      <c r="W82" s="64">
        <f t="shared" si="72"/>
        <v>2800</v>
      </c>
      <c r="X82" s="64" t="s">
        <v>36</v>
      </c>
      <c r="Y82" s="64" t="s">
        <v>29</v>
      </c>
      <c r="Z82" s="71">
        <f t="shared" si="73"/>
        <v>14.736842105263158</v>
      </c>
      <c r="AA82" s="93"/>
    </row>
    <row r="83" spans="1:27">
      <c r="A83" s="64">
        <f>SUBTOTAL(3,C$2:C83)</f>
        <v>82</v>
      </c>
      <c r="B83" s="64" t="s">
        <v>30</v>
      </c>
      <c r="C83" s="64" t="s">
        <v>44</v>
      </c>
      <c r="D83" s="64" t="s">
        <v>32</v>
      </c>
      <c r="E83" s="64" t="s">
        <v>33</v>
      </c>
      <c r="F83" s="64" t="s">
        <v>210</v>
      </c>
      <c r="G83" s="91">
        <v>407</v>
      </c>
      <c r="H83" s="92">
        <v>17184</v>
      </c>
      <c r="I83" s="65">
        <v>46115</v>
      </c>
      <c r="J83" s="64">
        <f t="shared" ref="J83" ca="1" si="92">+TODAY()-I83</f>
        <v>69</v>
      </c>
      <c r="K83" s="64">
        <f t="shared" ref="K83" si="93">+U83</f>
        <v>46148</v>
      </c>
      <c r="L83" s="64" t="s">
        <v>84</v>
      </c>
      <c r="M83" s="64">
        <v>27500</v>
      </c>
      <c r="N83" s="64">
        <v>25500</v>
      </c>
      <c r="O83" s="65">
        <v>46119</v>
      </c>
      <c r="P83" s="64">
        <f t="shared" ref="P83" si="94">+M83-N83</f>
        <v>2000</v>
      </c>
      <c r="Q83" s="64" t="s">
        <v>33</v>
      </c>
      <c r="R83" s="64" t="s">
        <v>78</v>
      </c>
      <c r="S83" s="64">
        <v>29800</v>
      </c>
      <c r="T83" s="64" t="s">
        <v>1327</v>
      </c>
      <c r="U83" s="65">
        <v>46148</v>
      </c>
      <c r="V83" s="64" t="s">
        <v>28</v>
      </c>
      <c r="W83" s="64">
        <f t="shared" si="72"/>
        <v>2300</v>
      </c>
      <c r="X83" s="64" t="s">
        <v>36</v>
      </c>
      <c r="Y83" s="64" t="s">
        <v>29</v>
      </c>
      <c r="Z83" s="71">
        <f t="shared" si="73"/>
        <v>8.3636363636363633</v>
      </c>
      <c r="AA83" s="93"/>
    </row>
    <row r="84" spans="1:27">
      <c r="A84" s="64">
        <f>SUBTOTAL(3,C$2:C84)</f>
        <v>83</v>
      </c>
      <c r="B84" s="64" t="s">
        <v>30</v>
      </c>
      <c r="C84" s="64" t="s">
        <v>44</v>
      </c>
      <c r="D84" s="64" t="s">
        <v>32</v>
      </c>
      <c r="E84" s="64" t="s">
        <v>33</v>
      </c>
      <c r="F84" s="64" t="s">
        <v>211</v>
      </c>
      <c r="G84" s="91">
        <v>407</v>
      </c>
      <c r="H84" s="92">
        <v>17185</v>
      </c>
      <c r="I84" s="65">
        <v>46117</v>
      </c>
      <c r="J84" s="64">
        <f t="shared" ref="J84" ca="1" si="95">+TODAY()-I84</f>
        <v>67</v>
      </c>
      <c r="K84" s="64">
        <f t="shared" ref="K84" si="96">+U84</f>
        <v>46148</v>
      </c>
      <c r="L84" s="64" t="s">
        <v>84</v>
      </c>
      <c r="M84" s="64">
        <v>27500</v>
      </c>
      <c r="N84" s="64">
        <v>25500</v>
      </c>
      <c r="O84" s="65">
        <v>46119</v>
      </c>
      <c r="P84" s="64">
        <f t="shared" ref="P84" si="97">+M84-N84</f>
        <v>2000</v>
      </c>
      <c r="Q84" s="64" t="s">
        <v>33</v>
      </c>
      <c r="R84" s="64" t="s">
        <v>78</v>
      </c>
      <c r="S84" s="64">
        <v>29800</v>
      </c>
      <c r="T84" s="64" t="s">
        <v>1326</v>
      </c>
      <c r="U84" s="65">
        <v>46148</v>
      </c>
      <c r="V84" s="64" t="s">
        <v>28</v>
      </c>
      <c r="W84" s="64">
        <f t="shared" si="72"/>
        <v>2300</v>
      </c>
      <c r="X84" s="64" t="s">
        <v>36</v>
      </c>
      <c r="Y84" s="64" t="s">
        <v>29</v>
      </c>
      <c r="Z84" s="71">
        <f t="shared" si="73"/>
        <v>8.3636363636363633</v>
      </c>
      <c r="AA84" s="93"/>
    </row>
    <row r="85" spans="1:27">
      <c r="A85" s="64">
        <f>SUBTOTAL(3,C$2:C85)</f>
        <v>84</v>
      </c>
      <c r="B85" s="64" t="s">
        <v>30</v>
      </c>
      <c r="C85" s="64" t="s">
        <v>44</v>
      </c>
      <c r="D85" s="64" t="s">
        <v>32</v>
      </c>
      <c r="E85" s="64" t="s">
        <v>33</v>
      </c>
      <c r="F85" s="64" t="s">
        <v>212</v>
      </c>
      <c r="G85" s="91">
        <v>407</v>
      </c>
      <c r="H85" s="92">
        <v>17186</v>
      </c>
      <c r="I85" s="65">
        <v>46118</v>
      </c>
      <c r="J85" s="64">
        <f t="shared" ref="J85:J86" ca="1" si="98">+TODAY()-I85</f>
        <v>66</v>
      </c>
      <c r="K85" s="64">
        <f t="shared" ref="K85:K86" si="99">+U85</f>
        <v>46148</v>
      </c>
      <c r="L85" s="64" t="s">
        <v>84</v>
      </c>
      <c r="M85" s="64">
        <v>27500</v>
      </c>
      <c r="N85" s="64">
        <v>25500</v>
      </c>
      <c r="O85" s="65">
        <v>46119</v>
      </c>
      <c r="P85" s="64">
        <f t="shared" ref="P85:P86" si="100">+M85-N85</f>
        <v>2000</v>
      </c>
      <c r="Q85" s="64" t="s">
        <v>33</v>
      </c>
      <c r="R85" s="64" t="s">
        <v>78</v>
      </c>
      <c r="S85" s="64">
        <v>29800</v>
      </c>
      <c r="T85" s="64" t="s">
        <v>1327</v>
      </c>
      <c r="U85" s="65">
        <v>46148</v>
      </c>
      <c r="V85" s="64" t="s">
        <v>28</v>
      </c>
      <c r="W85" s="64">
        <f t="shared" si="72"/>
        <v>2300</v>
      </c>
      <c r="X85" s="64" t="s">
        <v>36</v>
      </c>
      <c r="Y85" s="64" t="s">
        <v>29</v>
      </c>
      <c r="Z85" s="71">
        <f t="shared" si="73"/>
        <v>8.3636363636363633</v>
      </c>
      <c r="AA85" s="93"/>
    </row>
    <row r="86" spans="1:27">
      <c r="A86" s="64">
        <f>SUBTOTAL(3,C$2:C86)</f>
        <v>85</v>
      </c>
      <c r="B86" s="64" t="s">
        <v>30</v>
      </c>
      <c r="C86" s="64" t="s">
        <v>31</v>
      </c>
      <c r="D86" s="64" t="s">
        <v>32</v>
      </c>
      <c r="E86" s="64" t="s">
        <v>33</v>
      </c>
      <c r="F86" s="64" t="s">
        <v>213</v>
      </c>
      <c r="G86" s="91" t="s">
        <v>34</v>
      </c>
      <c r="H86" s="92">
        <v>17187</v>
      </c>
      <c r="I86" s="65">
        <v>46118</v>
      </c>
      <c r="J86" s="64">
        <f t="shared" ca="1" si="98"/>
        <v>66</v>
      </c>
      <c r="K86" s="64">
        <f t="shared" si="99"/>
        <v>46136</v>
      </c>
      <c r="L86" s="64" t="s">
        <v>47</v>
      </c>
      <c r="M86" s="64">
        <v>19000</v>
      </c>
      <c r="N86" s="64">
        <v>17000</v>
      </c>
      <c r="O86" s="65">
        <v>46119</v>
      </c>
      <c r="P86" s="64">
        <f t="shared" si="100"/>
        <v>2000</v>
      </c>
      <c r="Q86" s="65">
        <v>46141</v>
      </c>
      <c r="R86" s="64" t="s">
        <v>39</v>
      </c>
      <c r="S86" s="64">
        <v>21800</v>
      </c>
      <c r="T86" s="64" t="s">
        <v>809</v>
      </c>
      <c r="U86" s="65">
        <v>46136</v>
      </c>
      <c r="V86" s="64" t="s">
        <v>28</v>
      </c>
      <c r="W86" s="64">
        <f t="shared" si="72"/>
        <v>2800</v>
      </c>
      <c r="X86" s="64" t="s">
        <v>36</v>
      </c>
      <c r="Y86" s="64" t="s">
        <v>29</v>
      </c>
      <c r="Z86" s="71">
        <f t="shared" si="73"/>
        <v>14.736842105263158</v>
      </c>
      <c r="AA86" s="93"/>
    </row>
    <row r="87" spans="1:27">
      <c r="A87" s="64">
        <f>SUBTOTAL(3,C$2:C87)</f>
        <v>86</v>
      </c>
      <c r="B87" s="64" t="s">
        <v>30</v>
      </c>
      <c r="C87" s="64" t="s">
        <v>31</v>
      </c>
      <c r="D87" s="64" t="s">
        <v>32</v>
      </c>
      <c r="E87" s="64" t="s">
        <v>33</v>
      </c>
      <c r="F87" s="64" t="s">
        <v>214</v>
      </c>
      <c r="G87" s="91" t="s">
        <v>34</v>
      </c>
      <c r="H87" s="64">
        <v>17188</v>
      </c>
      <c r="I87" s="65">
        <v>46118</v>
      </c>
      <c r="J87" s="64">
        <f t="shared" ref="J87" ca="1" si="101">+TODAY()-I87</f>
        <v>66</v>
      </c>
      <c r="K87" s="64" t="str">
        <f t="shared" ref="K87" si="102">+U87</f>
        <v>Pending</v>
      </c>
      <c r="L87" s="64" t="s">
        <v>111</v>
      </c>
      <c r="M87" s="64">
        <v>11700</v>
      </c>
      <c r="N87" s="64">
        <v>10700</v>
      </c>
      <c r="O87" s="65">
        <v>46119</v>
      </c>
      <c r="P87" s="64">
        <f t="shared" ref="P87" si="103">+M87-N87</f>
        <v>1000</v>
      </c>
      <c r="Q87" s="64" t="s">
        <v>33</v>
      </c>
      <c r="R87" s="64" t="s">
        <v>112</v>
      </c>
      <c r="S87" s="64">
        <v>13500</v>
      </c>
      <c r="T87" s="64" t="s">
        <v>33</v>
      </c>
      <c r="U87" s="65" t="s">
        <v>33</v>
      </c>
      <c r="V87" s="64" t="s">
        <v>28</v>
      </c>
      <c r="W87" s="64">
        <f t="shared" si="72"/>
        <v>1800</v>
      </c>
      <c r="X87" s="64" t="s">
        <v>36</v>
      </c>
      <c r="Y87" s="64" t="s">
        <v>29</v>
      </c>
      <c r="Z87" s="71">
        <f t="shared" si="73"/>
        <v>15.384615384615385</v>
      </c>
      <c r="AA87" s="93"/>
    </row>
    <row r="88" spans="1:27">
      <c r="A88" s="64">
        <f>SUBTOTAL(3,C$2:C88)</f>
        <v>87</v>
      </c>
      <c r="B88" s="64" t="s">
        <v>30</v>
      </c>
      <c r="C88" s="64" t="s">
        <v>216</v>
      </c>
      <c r="D88" s="64" t="s">
        <v>32</v>
      </c>
      <c r="E88" s="64" t="s">
        <v>33</v>
      </c>
      <c r="F88" s="64" t="s">
        <v>215</v>
      </c>
      <c r="G88" s="91" t="s">
        <v>67</v>
      </c>
      <c r="H88" s="92">
        <v>17189</v>
      </c>
      <c r="I88" s="65">
        <v>46118</v>
      </c>
      <c r="J88" s="64">
        <f t="shared" ref="J88" ca="1" si="104">+TODAY()-I88</f>
        <v>66</v>
      </c>
      <c r="K88" s="64">
        <f t="shared" ref="K88" si="105">+U88</f>
        <v>46136</v>
      </c>
      <c r="L88" s="64" t="s">
        <v>97</v>
      </c>
      <c r="M88" s="64">
        <f>3000+38500</f>
        <v>41500</v>
      </c>
      <c r="N88" s="64">
        <v>35500</v>
      </c>
      <c r="O88" s="65">
        <v>46119</v>
      </c>
      <c r="P88" s="64">
        <f t="shared" ref="P88" si="106">+M88-N88</f>
        <v>6000</v>
      </c>
      <c r="Q88" s="65">
        <v>46141</v>
      </c>
      <c r="R88" s="64" t="s">
        <v>52</v>
      </c>
      <c r="S88" s="64">
        <f>5000+42000</f>
        <v>47000</v>
      </c>
      <c r="T88" s="64" t="s">
        <v>810</v>
      </c>
      <c r="U88" s="65">
        <v>46136</v>
      </c>
      <c r="V88" s="64" t="s">
        <v>28</v>
      </c>
      <c r="W88" s="64">
        <f t="shared" si="72"/>
        <v>5500</v>
      </c>
      <c r="X88" s="64" t="s">
        <v>36</v>
      </c>
      <c r="Y88" s="64" t="s">
        <v>29</v>
      </c>
      <c r="Z88" s="71">
        <f t="shared" si="73"/>
        <v>13.253012048192771</v>
      </c>
      <c r="AA88" s="93"/>
    </row>
    <row r="89" spans="1:27">
      <c r="A89" s="64">
        <f>SUBTOTAL(3,C$2:C89)</f>
        <v>88</v>
      </c>
      <c r="B89" s="64" t="s">
        <v>30</v>
      </c>
      <c r="C89" s="64" t="s">
        <v>216</v>
      </c>
      <c r="D89" s="64" t="s">
        <v>32</v>
      </c>
      <c r="E89" s="64" t="s">
        <v>33</v>
      </c>
      <c r="F89" s="64" t="s">
        <v>218</v>
      </c>
      <c r="G89" s="91" t="s">
        <v>50</v>
      </c>
      <c r="H89" s="92">
        <v>17190</v>
      </c>
      <c r="I89" s="65">
        <v>46118</v>
      </c>
      <c r="J89" s="64">
        <f t="shared" ref="J89:J91" ca="1" si="107">+TODAY()-I89</f>
        <v>66</v>
      </c>
      <c r="K89" s="64">
        <f t="shared" ref="K89:K91" si="108">+U89</f>
        <v>46136</v>
      </c>
      <c r="L89" s="64" t="s">
        <v>219</v>
      </c>
      <c r="M89" s="64">
        <f>3000+44000</f>
        <v>47000</v>
      </c>
      <c r="N89" s="64">
        <v>40000</v>
      </c>
      <c r="O89" s="65">
        <v>46119</v>
      </c>
      <c r="P89" s="64">
        <f t="shared" ref="P89:P91" si="109">+M89-N89</f>
        <v>7000</v>
      </c>
      <c r="Q89" s="65">
        <v>46141</v>
      </c>
      <c r="R89" s="64" t="s">
        <v>52</v>
      </c>
      <c r="S89" s="64">
        <f>5000+48000</f>
        <v>53000</v>
      </c>
      <c r="T89" s="64" t="s">
        <v>814</v>
      </c>
      <c r="U89" s="65">
        <v>46136</v>
      </c>
      <c r="V89" s="64" t="s">
        <v>28</v>
      </c>
      <c r="W89" s="64">
        <f t="shared" si="72"/>
        <v>6000</v>
      </c>
      <c r="X89" s="64" t="s">
        <v>36</v>
      </c>
      <c r="Y89" s="64" t="s">
        <v>29</v>
      </c>
      <c r="Z89" s="71">
        <f t="shared" si="73"/>
        <v>12.76595744680851</v>
      </c>
      <c r="AA89" s="93"/>
    </row>
    <row r="90" spans="1:27">
      <c r="A90" s="64">
        <f>SUBTOTAL(3,C$2:C90)</f>
        <v>89</v>
      </c>
      <c r="B90" s="64" t="s">
        <v>30</v>
      </c>
      <c r="C90" s="64" t="s">
        <v>44</v>
      </c>
      <c r="D90" s="64" t="s">
        <v>32</v>
      </c>
      <c r="E90" s="64" t="s">
        <v>33</v>
      </c>
      <c r="F90" s="64" t="s">
        <v>128</v>
      </c>
      <c r="G90" s="91" t="s">
        <v>46</v>
      </c>
      <c r="H90" s="92">
        <v>17191</v>
      </c>
      <c r="I90" s="65">
        <v>46116</v>
      </c>
      <c r="J90" s="64">
        <f t="shared" ca="1" si="107"/>
        <v>68</v>
      </c>
      <c r="K90" s="64">
        <f t="shared" si="108"/>
        <v>46163</v>
      </c>
      <c r="L90" s="64" t="s">
        <v>220</v>
      </c>
      <c r="M90" s="64">
        <v>14500</v>
      </c>
      <c r="N90" s="64">
        <v>13000</v>
      </c>
      <c r="O90" s="65">
        <v>46119</v>
      </c>
      <c r="P90" s="64">
        <f t="shared" si="109"/>
        <v>1500</v>
      </c>
      <c r="Q90" s="64" t="s">
        <v>33</v>
      </c>
      <c r="R90" s="64" t="s">
        <v>56</v>
      </c>
      <c r="S90" s="64">
        <v>17500</v>
      </c>
      <c r="T90" s="64" t="s">
        <v>2180</v>
      </c>
      <c r="U90" s="65">
        <v>46163</v>
      </c>
      <c r="V90" s="64" t="s">
        <v>28</v>
      </c>
      <c r="W90" s="64">
        <f t="shared" si="72"/>
        <v>3000</v>
      </c>
      <c r="X90" s="64" t="s">
        <v>36</v>
      </c>
      <c r="Y90" s="64" t="s">
        <v>29</v>
      </c>
      <c r="Z90" s="71">
        <f t="shared" si="73"/>
        <v>20.689655172413794</v>
      </c>
      <c r="AA90" s="93"/>
    </row>
    <row r="91" spans="1:27">
      <c r="A91" s="64">
        <f>SUBTOTAL(3,C$2:C91)</f>
        <v>90</v>
      </c>
      <c r="B91" s="64" t="s">
        <v>30</v>
      </c>
      <c r="C91" s="64" t="s">
        <v>31</v>
      </c>
      <c r="D91" s="64" t="s">
        <v>32</v>
      </c>
      <c r="E91" s="64" t="s">
        <v>33</v>
      </c>
      <c r="F91" s="64" t="s">
        <v>221</v>
      </c>
      <c r="G91" s="91" t="s">
        <v>34</v>
      </c>
      <c r="H91" s="92">
        <v>17192</v>
      </c>
      <c r="I91" s="65">
        <v>46118</v>
      </c>
      <c r="J91" s="64">
        <f t="shared" ca="1" si="107"/>
        <v>66</v>
      </c>
      <c r="K91" s="64">
        <f t="shared" si="108"/>
        <v>46163</v>
      </c>
      <c r="L91" s="64" t="s">
        <v>273</v>
      </c>
      <c r="M91" s="64">
        <v>18000</v>
      </c>
      <c r="N91" s="64">
        <v>16000</v>
      </c>
      <c r="O91" s="65">
        <v>46119</v>
      </c>
      <c r="P91" s="64">
        <f t="shared" si="109"/>
        <v>2000</v>
      </c>
      <c r="Q91" s="64" t="s">
        <v>33</v>
      </c>
      <c r="R91" s="64" t="s">
        <v>56</v>
      </c>
      <c r="S91" s="64">
        <v>20500</v>
      </c>
      <c r="T91" s="64" t="s">
        <v>2186</v>
      </c>
      <c r="U91" s="65">
        <v>46163</v>
      </c>
      <c r="V91" s="64" t="s">
        <v>28</v>
      </c>
      <c r="W91" s="64">
        <f t="shared" si="72"/>
        <v>2500</v>
      </c>
      <c r="X91" s="64" t="s">
        <v>36</v>
      </c>
      <c r="Y91" s="64" t="s">
        <v>29</v>
      </c>
      <c r="Z91" s="71">
        <f t="shared" si="73"/>
        <v>13.888888888888889</v>
      </c>
      <c r="AA91" s="93"/>
    </row>
    <row r="92" spans="1:27">
      <c r="A92" s="64">
        <f>SUBTOTAL(3,C$2:C92)</f>
        <v>91</v>
      </c>
      <c r="B92" s="64" t="s">
        <v>30</v>
      </c>
      <c r="C92" s="64" t="s">
        <v>227</v>
      </c>
      <c r="D92" s="64" t="s">
        <v>32</v>
      </c>
      <c r="E92" s="64" t="s">
        <v>33</v>
      </c>
      <c r="F92" s="64" t="s">
        <v>228</v>
      </c>
      <c r="G92" s="91" t="s">
        <v>34</v>
      </c>
      <c r="H92" s="92" t="s">
        <v>1420</v>
      </c>
      <c r="I92" s="65">
        <v>46118</v>
      </c>
      <c r="J92" s="64">
        <f t="shared" ref="J92:J94" ca="1" si="110">+TODAY()-I92</f>
        <v>66</v>
      </c>
      <c r="K92" s="64">
        <f t="shared" ref="K92:K94" si="111">+U92</f>
        <v>46153</v>
      </c>
      <c r="L92" s="64" t="s">
        <v>229</v>
      </c>
      <c r="M92" s="64">
        <v>17800</v>
      </c>
      <c r="N92" s="64">
        <v>15800</v>
      </c>
      <c r="O92" s="65">
        <v>46119</v>
      </c>
      <c r="P92" s="64">
        <f t="shared" ref="P92:P94" si="112">+M92-N92</f>
        <v>2000</v>
      </c>
      <c r="Q92" s="64" t="s">
        <v>33</v>
      </c>
      <c r="R92" s="64" t="s">
        <v>112</v>
      </c>
      <c r="S92" s="64">
        <v>20050</v>
      </c>
      <c r="T92" s="64" t="s">
        <v>1482</v>
      </c>
      <c r="U92" s="65">
        <v>46153</v>
      </c>
      <c r="V92" s="64" t="s">
        <v>28</v>
      </c>
      <c r="W92" s="64">
        <f t="shared" si="72"/>
        <v>2250</v>
      </c>
      <c r="X92" s="64" t="s">
        <v>36</v>
      </c>
      <c r="Y92" s="64" t="s">
        <v>29</v>
      </c>
      <c r="Z92" s="71">
        <f t="shared" si="73"/>
        <v>12.640449438202246</v>
      </c>
      <c r="AA92" s="93"/>
    </row>
    <row r="93" spans="1:27">
      <c r="A93" s="64">
        <f>SUBTOTAL(3,C$2:C93)</f>
        <v>92</v>
      </c>
      <c r="B93" s="64" t="s">
        <v>30</v>
      </c>
      <c r="C93" s="64" t="s">
        <v>31</v>
      </c>
      <c r="D93" s="64" t="s">
        <v>32</v>
      </c>
      <c r="E93" s="64" t="s">
        <v>33</v>
      </c>
      <c r="F93" s="64" t="s">
        <v>230</v>
      </c>
      <c r="G93" s="91" t="s">
        <v>34</v>
      </c>
      <c r="H93" s="64">
        <v>17195</v>
      </c>
      <c r="I93" s="65">
        <v>46118</v>
      </c>
      <c r="J93" s="64">
        <f t="shared" ca="1" si="110"/>
        <v>66</v>
      </c>
      <c r="K93" s="64" t="str">
        <f t="shared" si="111"/>
        <v>Pending</v>
      </c>
      <c r="L93" s="64" t="s">
        <v>47</v>
      </c>
      <c r="M93" s="64">
        <v>19000</v>
      </c>
      <c r="N93" s="64">
        <v>17000</v>
      </c>
      <c r="O93" s="65">
        <v>46119</v>
      </c>
      <c r="P93" s="64">
        <f t="shared" si="112"/>
        <v>2000</v>
      </c>
      <c r="Q93" s="64" t="s">
        <v>33</v>
      </c>
      <c r="R93" s="64" t="s">
        <v>39</v>
      </c>
      <c r="S93" s="64">
        <v>21800</v>
      </c>
      <c r="T93" s="64" t="s">
        <v>33</v>
      </c>
      <c r="U93" s="65" t="s">
        <v>33</v>
      </c>
      <c r="V93" s="64" t="s">
        <v>28</v>
      </c>
      <c r="W93" s="64">
        <f t="shared" si="72"/>
        <v>2800</v>
      </c>
      <c r="X93" s="64" t="s">
        <v>36</v>
      </c>
      <c r="Y93" s="64" t="s">
        <v>29</v>
      </c>
      <c r="Z93" s="71">
        <f t="shared" si="73"/>
        <v>14.736842105263158</v>
      </c>
      <c r="AA93" s="93"/>
    </row>
    <row r="94" spans="1:27">
      <c r="A94" s="64">
        <f>SUBTOTAL(3,C$2:C94)</f>
        <v>93</v>
      </c>
      <c r="B94" s="64" t="s">
        <v>30</v>
      </c>
      <c r="C94" s="64" t="s">
        <v>44</v>
      </c>
      <c r="D94" s="64" t="s">
        <v>32</v>
      </c>
      <c r="E94" s="64" t="s">
        <v>33</v>
      </c>
      <c r="F94" s="64" t="s">
        <v>237</v>
      </c>
      <c r="G94" s="91" t="s">
        <v>59</v>
      </c>
      <c r="H94" s="92">
        <v>17196</v>
      </c>
      <c r="I94" s="65">
        <v>46119</v>
      </c>
      <c r="J94" s="64">
        <f t="shared" ca="1" si="110"/>
        <v>65</v>
      </c>
      <c r="K94" s="64">
        <f t="shared" si="111"/>
        <v>46136</v>
      </c>
      <c r="L94" s="64" t="s">
        <v>127</v>
      </c>
      <c r="M94" s="64">
        <v>35000</v>
      </c>
      <c r="N94" s="64">
        <v>32000</v>
      </c>
      <c r="O94" s="65">
        <v>46119</v>
      </c>
      <c r="P94" s="64">
        <f t="shared" si="112"/>
        <v>3000</v>
      </c>
      <c r="Q94" s="65">
        <v>46141</v>
      </c>
      <c r="R94" s="64" t="s">
        <v>37</v>
      </c>
      <c r="S94" s="64">
        <v>38000</v>
      </c>
      <c r="T94" s="64" t="s">
        <v>817</v>
      </c>
      <c r="U94" s="65">
        <v>46136</v>
      </c>
      <c r="V94" s="64" t="s">
        <v>28</v>
      </c>
      <c r="W94" s="64">
        <f t="shared" si="72"/>
        <v>3000</v>
      </c>
      <c r="X94" s="64" t="s">
        <v>36</v>
      </c>
      <c r="Y94" s="64" t="s">
        <v>29</v>
      </c>
      <c r="Z94" s="71">
        <f t="shared" si="73"/>
        <v>8.5714285714285712</v>
      </c>
      <c r="AA94" s="93"/>
    </row>
    <row r="95" spans="1:27">
      <c r="A95" s="64">
        <f>SUBTOTAL(3,C$2:C95)</f>
        <v>94</v>
      </c>
      <c r="B95" s="64" t="s">
        <v>30</v>
      </c>
      <c r="C95" s="64" t="s">
        <v>31</v>
      </c>
      <c r="D95" s="64" t="s">
        <v>32</v>
      </c>
      <c r="E95" s="64" t="s">
        <v>33</v>
      </c>
      <c r="F95" s="64" t="s">
        <v>231</v>
      </c>
      <c r="G95" s="91" t="s">
        <v>34</v>
      </c>
      <c r="H95" s="92">
        <v>17197</v>
      </c>
      <c r="I95" s="65">
        <v>46118</v>
      </c>
      <c r="J95" s="64">
        <f t="shared" ref="J95:J96" ca="1" si="113">+TODAY()-I95</f>
        <v>66</v>
      </c>
      <c r="K95" s="64">
        <f t="shared" ref="K95:K96" si="114">+U95</f>
        <v>46136</v>
      </c>
      <c r="L95" s="64" t="s">
        <v>47</v>
      </c>
      <c r="M95" s="64">
        <v>19000</v>
      </c>
      <c r="N95" s="64">
        <v>17000</v>
      </c>
      <c r="O95" s="65">
        <v>46119</v>
      </c>
      <c r="P95" s="64">
        <f t="shared" ref="P95:P96" si="115">+M95-N95</f>
        <v>2000</v>
      </c>
      <c r="Q95" s="65">
        <v>46141</v>
      </c>
      <c r="R95" s="64" t="s">
        <v>39</v>
      </c>
      <c r="S95" s="64">
        <v>21800</v>
      </c>
      <c r="T95" s="64" t="s">
        <v>809</v>
      </c>
      <c r="U95" s="65">
        <v>46136</v>
      </c>
      <c r="V95" s="64" t="s">
        <v>28</v>
      </c>
      <c r="W95" s="64">
        <f t="shared" ref="W95:W122" si="116">+S95-M95</f>
        <v>2800</v>
      </c>
      <c r="X95" s="64" t="s">
        <v>36</v>
      </c>
      <c r="Y95" s="64" t="s">
        <v>29</v>
      </c>
      <c r="Z95" s="71">
        <f t="shared" ref="Z95:Z122" si="117">+W95*100/M95</f>
        <v>14.736842105263158</v>
      </c>
      <c r="AA95" s="93"/>
    </row>
    <row r="96" spans="1:27">
      <c r="A96" s="64">
        <f>SUBTOTAL(3,C$2:C96)</f>
        <v>95</v>
      </c>
      <c r="B96" s="64" t="s">
        <v>30</v>
      </c>
      <c r="C96" s="64" t="s">
        <v>44</v>
      </c>
      <c r="D96" s="64" t="s">
        <v>32</v>
      </c>
      <c r="E96" s="64" t="s">
        <v>33</v>
      </c>
      <c r="F96" s="64" t="s">
        <v>238</v>
      </c>
      <c r="G96" s="91">
        <v>407</v>
      </c>
      <c r="H96" s="92">
        <v>17198</v>
      </c>
      <c r="I96" s="65">
        <v>46119</v>
      </c>
      <c r="J96" s="64">
        <f t="shared" ca="1" si="113"/>
        <v>65</v>
      </c>
      <c r="K96" s="64">
        <f t="shared" si="114"/>
        <v>46136</v>
      </c>
      <c r="L96" s="64" t="s">
        <v>239</v>
      </c>
      <c r="M96" s="64">
        <v>29000</v>
      </c>
      <c r="N96" s="64">
        <v>26000</v>
      </c>
      <c r="O96" s="65">
        <v>46119</v>
      </c>
      <c r="P96" s="64">
        <f t="shared" si="115"/>
        <v>3000</v>
      </c>
      <c r="Q96" s="65">
        <v>46141</v>
      </c>
      <c r="R96" s="64" t="s">
        <v>37</v>
      </c>
      <c r="S96" s="64">
        <v>33000</v>
      </c>
      <c r="T96" s="64" t="s">
        <v>818</v>
      </c>
      <c r="U96" s="65">
        <v>46136</v>
      </c>
      <c r="V96" s="64" t="s">
        <v>28</v>
      </c>
      <c r="W96" s="64">
        <f t="shared" si="116"/>
        <v>4000</v>
      </c>
      <c r="X96" s="64" t="s">
        <v>36</v>
      </c>
      <c r="Y96" s="64" t="s">
        <v>29</v>
      </c>
      <c r="Z96" s="71">
        <f t="shared" si="117"/>
        <v>13.793103448275861</v>
      </c>
      <c r="AA96" s="93"/>
    </row>
    <row r="97" spans="1:27">
      <c r="A97" s="64">
        <f>SUBTOTAL(3,C$2:C97)</f>
        <v>96</v>
      </c>
      <c r="B97" s="64" t="s">
        <v>30</v>
      </c>
      <c r="C97" s="64" t="s">
        <v>31</v>
      </c>
      <c r="D97" s="64" t="s">
        <v>32</v>
      </c>
      <c r="E97" s="64" t="s">
        <v>33</v>
      </c>
      <c r="F97" s="64" t="s">
        <v>232</v>
      </c>
      <c r="G97" s="91" t="s">
        <v>34</v>
      </c>
      <c r="H97" s="92">
        <v>17199</v>
      </c>
      <c r="I97" s="65">
        <v>46118</v>
      </c>
      <c r="J97" s="64">
        <f t="shared" ref="J97" ca="1" si="118">+TODAY()-I97</f>
        <v>66</v>
      </c>
      <c r="K97" s="64">
        <f t="shared" ref="K97" si="119">+U97</f>
        <v>46136</v>
      </c>
      <c r="L97" s="64" t="s">
        <v>47</v>
      </c>
      <c r="M97" s="64">
        <v>19000</v>
      </c>
      <c r="N97" s="64">
        <v>17000</v>
      </c>
      <c r="O97" s="65">
        <v>46119</v>
      </c>
      <c r="P97" s="64">
        <f t="shared" ref="P97" si="120">+M97-N97</f>
        <v>2000</v>
      </c>
      <c r="Q97" s="65">
        <v>46141</v>
      </c>
      <c r="R97" s="64" t="s">
        <v>39</v>
      </c>
      <c r="S97" s="64">
        <v>21800</v>
      </c>
      <c r="T97" s="64" t="s">
        <v>809</v>
      </c>
      <c r="U97" s="65">
        <v>46136</v>
      </c>
      <c r="V97" s="64" t="s">
        <v>28</v>
      </c>
      <c r="W97" s="64">
        <f t="shared" si="116"/>
        <v>2800</v>
      </c>
      <c r="X97" s="64" t="s">
        <v>36</v>
      </c>
      <c r="Y97" s="64" t="s">
        <v>29</v>
      </c>
      <c r="Z97" s="71">
        <f t="shared" si="117"/>
        <v>14.736842105263158</v>
      </c>
      <c r="AA97" s="93"/>
    </row>
    <row r="98" spans="1:27">
      <c r="A98" s="64">
        <f>SUBTOTAL(3,C$2:C98)</f>
        <v>97</v>
      </c>
      <c r="B98" s="64" t="s">
        <v>30</v>
      </c>
      <c r="C98" s="64" t="s">
        <v>31</v>
      </c>
      <c r="D98" s="64" t="s">
        <v>32</v>
      </c>
      <c r="E98" s="64" t="s">
        <v>33</v>
      </c>
      <c r="F98" s="64" t="s">
        <v>233</v>
      </c>
      <c r="G98" s="91" t="s">
        <v>34</v>
      </c>
      <c r="H98" s="92">
        <v>17200</v>
      </c>
      <c r="I98" s="65">
        <v>46118</v>
      </c>
      <c r="J98" s="64">
        <f t="shared" ref="J98:J101" ca="1" si="121">+TODAY()-I98</f>
        <v>66</v>
      </c>
      <c r="K98" s="64">
        <f t="shared" ref="K98:K101" si="122">+U98</f>
        <v>46136</v>
      </c>
      <c r="L98" s="64" t="s">
        <v>47</v>
      </c>
      <c r="M98" s="64">
        <v>19000</v>
      </c>
      <c r="N98" s="64">
        <v>17000</v>
      </c>
      <c r="O98" s="65">
        <v>46119</v>
      </c>
      <c r="P98" s="64">
        <f t="shared" ref="P98:P101" si="123">+M98-N98</f>
        <v>2000</v>
      </c>
      <c r="Q98" s="65">
        <v>46141</v>
      </c>
      <c r="R98" s="64" t="s">
        <v>39</v>
      </c>
      <c r="S98" s="64">
        <v>21800</v>
      </c>
      <c r="T98" s="64" t="s">
        <v>808</v>
      </c>
      <c r="U98" s="65">
        <v>46136</v>
      </c>
      <c r="V98" s="64" t="s">
        <v>28</v>
      </c>
      <c r="W98" s="64">
        <f t="shared" si="116"/>
        <v>2800</v>
      </c>
      <c r="X98" s="64" t="s">
        <v>36</v>
      </c>
      <c r="Y98" s="64" t="s">
        <v>29</v>
      </c>
      <c r="Z98" s="71">
        <f t="shared" si="117"/>
        <v>14.736842105263158</v>
      </c>
      <c r="AA98" s="93"/>
    </row>
    <row r="99" spans="1:27">
      <c r="A99" s="64">
        <f>SUBTOTAL(3,C$2:C99)</f>
        <v>98</v>
      </c>
      <c r="B99" s="64" t="s">
        <v>30</v>
      </c>
      <c r="C99" s="64" t="s">
        <v>119</v>
      </c>
      <c r="D99" s="64" t="s">
        <v>32</v>
      </c>
      <c r="E99" s="64" t="s">
        <v>33</v>
      </c>
      <c r="F99" s="64" t="s">
        <v>236</v>
      </c>
      <c r="G99" s="91" t="s">
        <v>50</v>
      </c>
      <c r="H99" s="92">
        <v>17201</v>
      </c>
      <c r="I99" s="65">
        <v>46119</v>
      </c>
      <c r="J99" s="64">
        <f t="shared" ca="1" si="121"/>
        <v>65</v>
      </c>
      <c r="K99" s="64">
        <f t="shared" si="122"/>
        <v>46136</v>
      </c>
      <c r="L99" s="64" t="s">
        <v>184</v>
      </c>
      <c r="M99" s="64">
        <f>3000+44000</f>
        <v>47000</v>
      </c>
      <c r="N99" s="64">
        <v>40000</v>
      </c>
      <c r="O99" s="65">
        <v>46119</v>
      </c>
      <c r="P99" s="64">
        <f t="shared" si="123"/>
        <v>7000</v>
      </c>
      <c r="Q99" s="65">
        <v>46141</v>
      </c>
      <c r="R99" s="64" t="s">
        <v>52</v>
      </c>
      <c r="S99" s="64">
        <f>5000+48000</f>
        <v>53000</v>
      </c>
      <c r="T99" s="64" t="s">
        <v>813</v>
      </c>
      <c r="U99" s="65">
        <v>46136</v>
      </c>
      <c r="V99" s="64" t="s">
        <v>28</v>
      </c>
      <c r="W99" s="64">
        <f t="shared" si="116"/>
        <v>6000</v>
      </c>
      <c r="X99" s="64" t="s">
        <v>36</v>
      </c>
      <c r="Y99" s="64" t="s">
        <v>29</v>
      </c>
      <c r="Z99" s="71">
        <f t="shared" si="117"/>
        <v>12.76595744680851</v>
      </c>
      <c r="AA99" s="93"/>
    </row>
    <row r="100" spans="1:27">
      <c r="A100" s="64">
        <f>SUBTOTAL(3,C$2:C100)</f>
        <v>99</v>
      </c>
      <c r="B100" s="64" t="s">
        <v>30</v>
      </c>
      <c r="C100" s="64" t="s">
        <v>44</v>
      </c>
      <c r="D100" s="64" t="s">
        <v>32</v>
      </c>
      <c r="E100" s="64" t="s">
        <v>33</v>
      </c>
      <c r="F100" s="64" t="s">
        <v>235</v>
      </c>
      <c r="G100" s="91">
        <v>407</v>
      </c>
      <c r="H100" s="92">
        <v>17202</v>
      </c>
      <c r="I100" s="65">
        <v>46119</v>
      </c>
      <c r="J100" s="64">
        <f t="shared" ca="1" si="121"/>
        <v>65</v>
      </c>
      <c r="K100" s="64">
        <f t="shared" si="122"/>
        <v>46163</v>
      </c>
      <c r="L100" s="64" t="s">
        <v>84</v>
      </c>
      <c r="M100" s="64">
        <v>27000</v>
      </c>
      <c r="N100" s="64">
        <v>25000</v>
      </c>
      <c r="O100" s="65">
        <v>46119</v>
      </c>
      <c r="P100" s="64">
        <f t="shared" si="123"/>
        <v>2000</v>
      </c>
      <c r="Q100" s="64" t="s">
        <v>33</v>
      </c>
      <c r="R100" s="64" t="s">
        <v>56</v>
      </c>
      <c r="S100" s="64">
        <v>29800</v>
      </c>
      <c r="T100" s="64" t="s">
        <v>2185</v>
      </c>
      <c r="U100" s="65">
        <v>46163</v>
      </c>
      <c r="V100" s="64" t="s">
        <v>28</v>
      </c>
      <c r="W100" s="64">
        <f t="shared" si="116"/>
        <v>2800</v>
      </c>
      <c r="X100" s="64" t="s">
        <v>36</v>
      </c>
      <c r="Y100" s="64" t="s">
        <v>29</v>
      </c>
      <c r="Z100" s="71">
        <f t="shared" si="117"/>
        <v>10.37037037037037</v>
      </c>
      <c r="AA100" s="93"/>
    </row>
    <row r="101" spans="1:27">
      <c r="A101" s="64">
        <f>SUBTOTAL(3,C$2:C101)</f>
        <v>100</v>
      </c>
      <c r="B101" s="64" t="s">
        <v>30</v>
      </c>
      <c r="C101" s="64" t="s">
        <v>31</v>
      </c>
      <c r="D101" s="64" t="s">
        <v>32</v>
      </c>
      <c r="E101" s="64" t="s">
        <v>33</v>
      </c>
      <c r="F101" s="64" t="s">
        <v>240</v>
      </c>
      <c r="G101" s="91" t="s">
        <v>34</v>
      </c>
      <c r="H101" s="92">
        <v>17203</v>
      </c>
      <c r="I101" s="65">
        <v>46119</v>
      </c>
      <c r="J101" s="64">
        <f t="shared" ca="1" si="121"/>
        <v>65</v>
      </c>
      <c r="K101" s="64">
        <f t="shared" si="122"/>
        <v>46163</v>
      </c>
      <c r="L101" s="64" t="s">
        <v>273</v>
      </c>
      <c r="M101" s="64">
        <v>18000</v>
      </c>
      <c r="N101" s="64">
        <v>16000</v>
      </c>
      <c r="O101" s="65">
        <v>46119</v>
      </c>
      <c r="P101" s="64">
        <f t="shared" si="123"/>
        <v>2000</v>
      </c>
      <c r="Q101" s="64" t="s">
        <v>33</v>
      </c>
      <c r="R101" s="64" t="s">
        <v>56</v>
      </c>
      <c r="S101" s="64">
        <v>20500</v>
      </c>
      <c r="T101" s="64" t="s">
        <v>2186</v>
      </c>
      <c r="U101" s="65">
        <v>46163</v>
      </c>
      <c r="V101" s="64" t="s">
        <v>28</v>
      </c>
      <c r="W101" s="64">
        <f t="shared" si="116"/>
        <v>2500</v>
      </c>
      <c r="X101" s="64" t="s">
        <v>36</v>
      </c>
      <c r="Y101" s="64" t="s">
        <v>29</v>
      </c>
      <c r="Z101" s="71">
        <f t="shared" si="117"/>
        <v>13.888888888888889</v>
      </c>
      <c r="AA101" s="93"/>
    </row>
    <row r="102" spans="1:27">
      <c r="A102" s="64">
        <f>SUBTOTAL(3,C$2:C102)</f>
        <v>101</v>
      </c>
      <c r="B102" s="64" t="s">
        <v>30</v>
      </c>
      <c r="C102" s="64" t="s">
        <v>31</v>
      </c>
      <c r="D102" s="64" t="s">
        <v>32</v>
      </c>
      <c r="E102" s="64" t="s">
        <v>33</v>
      </c>
      <c r="F102" s="64" t="s">
        <v>234</v>
      </c>
      <c r="G102" s="91" t="s">
        <v>34</v>
      </c>
      <c r="H102" s="92">
        <v>17204</v>
      </c>
      <c r="I102" s="65">
        <v>46119</v>
      </c>
      <c r="J102" s="64">
        <f t="shared" ref="J102:J104" ca="1" si="124">+TODAY()-I102</f>
        <v>65</v>
      </c>
      <c r="K102" s="64">
        <f t="shared" ref="K102:K104" si="125">+U102</f>
        <v>46136</v>
      </c>
      <c r="L102" s="64" t="s">
        <v>47</v>
      </c>
      <c r="M102" s="64">
        <v>19000</v>
      </c>
      <c r="N102" s="64">
        <v>17000</v>
      </c>
      <c r="O102" s="65">
        <v>46119</v>
      </c>
      <c r="P102" s="64">
        <f t="shared" ref="P102:P104" si="126">+M102-N102</f>
        <v>2000</v>
      </c>
      <c r="Q102" s="65">
        <v>46141</v>
      </c>
      <c r="R102" s="64" t="s">
        <v>39</v>
      </c>
      <c r="S102" s="64">
        <v>21800</v>
      </c>
      <c r="T102" s="64" t="s">
        <v>808</v>
      </c>
      <c r="U102" s="65">
        <v>46136</v>
      </c>
      <c r="V102" s="64" t="s">
        <v>28</v>
      </c>
      <c r="W102" s="64">
        <f t="shared" si="116"/>
        <v>2800</v>
      </c>
      <c r="X102" s="64" t="s">
        <v>36</v>
      </c>
      <c r="Y102" s="64" t="s">
        <v>29</v>
      </c>
      <c r="Z102" s="71">
        <f t="shared" si="117"/>
        <v>14.736842105263158</v>
      </c>
      <c r="AA102" s="93"/>
    </row>
    <row r="103" spans="1:27">
      <c r="A103" s="64">
        <f>SUBTOTAL(3,C$2:C103)</f>
        <v>102</v>
      </c>
      <c r="B103" s="64" t="s">
        <v>30</v>
      </c>
      <c r="C103" s="64" t="s">
        <v>44</v>
      </c>
      <c r="D103" s="64" t="s">
        <v>32</v>
      </c>
      <c r="E103" s="64" t="s">
        <v>33</v>
      </c>
      <c r="F103" s="64" t="s">
        <v>45</v>
      </c>
      <c r="G103" s="91" t="s">
        <v>46</v>
      </c>
      <c r="H103" s="92">
        <v>17205</v>
      </c>
      <c r="I103" s="65">
        <v>46119</v>
      </c>
      <c r="J103" s="64">
        <f t="shared" ca="1" si="124"/>
        <v>65</v>
      </c>
      <c r="K103" s="64">
        <f t="shared" si="125"/>
        <v>46136</v>
      </c>
      <c r="L103" s="64" t="s">
        <v>47</v>
      </c>
      <c r="M103" s="64">
        <v>19000</v>
      </c>
      <c r="N103" s="64">
        <v>17000</v>
      </c>
      <c r="O103" s="65">
        <v>46120</v>
      </c>
      <c r="P103" s="64">
        <f t="shared" si="126"/>
        <v>2000</v>
      </c>
      <c r="Q103" s="65">
        <v>46141</v>
      </c>
      <c r="R103" s="64" t="s">
        <v>39</v>
      </c>
      <c r="S103" s="64">
        <v>21800</v>
      </c>
      <c r="T103" s="64" t="s">
        <v>808</v>
      </c>
      <c r="U103" s="65">
        <v>46136</v>
      </c>
      <c r="V103" s="64" t="s">
        <v>28</v>
      </c>
      <c r="W103" s="64">
        <f t="shared" si="116"/>
        <v>2800</v>
      </c>
      <c r="X103" s="64" t="s">
        <v>36</v>
      </c>
      <c r="Y103" s="64" t="s">
        <v>29</v>
      </c>
      <c r="Z103" s="71">
        <f t="shared" si="117"/>
        <v>14.736842105263158</v>
      </c>
      <c r="AA103" s="93"/>
    </row>
    <row r="104" spans="1:27">
      <c r="A104" s="64">
        <f>SUBTOTAL(3,C$2:C104)</f>
        <v>103</v>
      </c>
      <c r="B104" s="64" t="s">
        <v>30</v>
      </c>
      <c r="C104" s="64" t="s">
        <v>124</v>
      </c>
      <c r="D104" s="64" t="s">
        <v>32</v>
      </c>
      <c r="E104" s="64" t="s">
        <v>33</v>
      </c>
      <c r="F104" s="64" t="s">
        <v>122</v>
      </c>
      <c r="G104" s="91" t="s">
        <v>67</v>
      </c>
      <c r="H104" s="92">
        <v>17206</v>
      </c>
      <c r="I104" s="65">
        <v>46119</v>
      </c>
      <c r="J104" s="64">
        <f t="shared" ca="1" si="124"/>
        <v>65</v>
      </c>
      <c r="K104" s="64">
        <f t="shared" si="125"/>
        <v>46136</v>
      </c>
      <c r="L104" s="64" t="s">
        <v>97</v>
      </c>
      <c r="M104" s="64">
        <f>38500+3000</f>
        <v>41500</v>
      </c>
      <c r="N104" s="64">
        <v>35500</v>
      </c>
      <c r="O104" s="65">
        <v>46120</v>
      </c>
      <c r="P104" s="64">
        <f t="shared" si="126"/>
        <v>6000</v>
      </c>
      <c r="Q104" s="65">
        <v>46141</v>
      </c>
      <c r="R104" s="64" t="s">
        <v>52</v>
      </c>
      <c r="S104" s="64">
        <f>5000+42000</f>
        <v>47000</v>
      </c>
      <c r="T104" s="64" t="s">
        <v>811</v>
      </c>
      <c r="U104" s="65">
        <v>46136</v>
      </c>
      <c r="V104" s="64" t="s">
        <v>28</v>
      </c>
      <c r="W104" s="64">
        <f t="shared" si="116"/>
        <v>5500</v>
      </c>
      <c r="X104" s="64" t="s">
        <v>36</v>
      </c>
      <c r="Y104" s="64" t="s">
        <v>29</v>
      </c>
      <c r="Z104" s="71">
        <f t="shared" si="117"/>
        <v>13.253012048192771</v>
      </c>
      <c r="AA104" s="93"/>
    </row>
    <row r="105" spans="1:27">
      <c r="A105" s="64">
        <f>SUBTOTAL(3,C$2:C105)</f>
        <v>104</v>
      </c>
      <c r="B105" s="64" t="s">
        <v>30</v>
      </c>
      <c r="C105" s="64" t="s">
        <v>31</v>
      </c>
      <c r="D105" s="64" t="s">
        <v>32</v>
      </c>
      <c r="E105" s="64" t="s">
        <v>33</v>
      </c>
      <c r="F105" s="64" t="s">
        <v>241</v>
      </c>
      <c r="G105" s="91" t="s">
        <v>34</v>
      </c>
      <c r="H105" s="92">
        <v>17207</v>
      </c>
      <c r="I105" s="65">
        <v>46119</v>
      </c>
      <c r="J105" s="64">
        <f t="shared" ref="J105" ca="1" si="127">+TODAY()-I105</f>
        <v>65</v>
      </c>
      <c r="K105" s="64">
        <f t="shared" ref="K105" si="128">+U105</f>
        <v>46127</v>
      </c>
      <c r="L105" s="64" t="s">
        <v>111</v>
      </c>
      <c r="M105" s="64">
        <v>11700</v>
      </c>
      <c r="N105" s="64">
        <v>10700</v>
      </c>
      <c r="O105" s="65">
        <v>46120</v>
      </c>
      <c r="P105" s="64">
        <f t="shared" ref="P105" si="129">+M105-N105</f>
        <v>1000</v>
      </c>
      <c r="Q105" s="64" t="s">
        <v>33</v>
      </c>
      <c r="R105" s="64" t="s">
        <v>112</v>
      </c>
      <c r="S105" s="64">
        <v>13500</v>
      </c>
      <c r="T105" s="64" t="s">
        <v>827</v>
      </c>
      <c r="U105" s="65">
        <v>46127</v>
      </c>
      <c r="V105" s="64" t="s">
        <v>28</v>
      </c>
      <c r="W105" s="64">
        <f t="shared" si="116"/>
        <v>1800</v>
      </c>
      <c r="X105" s="64" t="s">
        <v>36</v>
      </c>
      <c r="Y105" s="64" t="s">
        <v>29</v>
      </c>
      <c r="Z105" s="71">
        <f t="shared" si="117"/>
        <v>15.384615384615385</v>
      </c>
      <c r="AA105" s="93"/>
    </row>
    <row r="106" spans="1:27">
      <c r="A106" s="64">
        <f>SUBTOTAL(3,C$2:C106)</f>
        <v>105</v>
      </c>
      <c r="B106" s="64" t="s">
        <v>30</v>
      </c>
      <c r="C106" s="64" t="s">
        <v>242</v>
      </c>
      <c r="D106" s="64" t="s">
        <v>32</v>
      </c>
      <c r="E106" s="64" t="s">
        <v>33</v>
      </c>
      <c r="F106" s="64" t="s">
        <v>243</v>
      </c>
      <c r="G106" s="91" t="s">
        <v>34</v>
      </c>
      <c r="H106" s="64">
        <v>17208</v>
      </c>
      <c r="I106" s="65">
        <v>46119</v>
      </c>
      <c r="J106" s="64">
        <f t="shared" ref="J106:J109" ca="1" si="130">+TODAY()-I106</f>
        <v>65</v>
      </c>
      <c r="K106" s="64" t="str">
        <f t="shared" ref="K106:K109" si="131">+U106</f>
        <v>Pending</v>
      </c>
      <c r="L106" s="64" t="s">
        <v>111</v>
      </c>
      <c r="M106" s="64">
        <v>22000</v>
      </c>
      <c r="N106" s="64">
        <v>20000</v>
      </c>
      <c r="O106" s="65">
        <v>46120</v>
      </c>
      <c r="P106" s="64">
        <f t="shared" ref="P106:P109" si="132">+M106-N106</f>
        <v>2000</v>
      </c>
      <c r="Q106" s="64" t="s">
        <v>33</v>
      </c>
      <c r="R106" s="64" t="s">
        <v>112</v>
      </c>
      <c r="S106" s="64">
        <v>25000</v>
      </c>
      <c r="T106" s="64" t="s">
        <v>33</v>
      </c>
      <c r="U106" s="65" t="s">
        <v>33</v>
      </c>
      <c r="V106" s="64" t="s">
        <v>28</v>
      </c>
      <c r="W106" s="64">
        <f t="shared" si="116"/>
        <v>3000</v>
      </c>
      <c r="X106" s="64" t="s">
        <v>36</v>
      </c>
      <c r="Y106" s="64" t="s">
        <v>29</v>
      </c>
      <c r="Z106" s="71">
        <f t="shared" si="117"/>
        <v>13.636363636363637</v>
      </c>
      <c r="AA106" s="93"/>
    </row>
    <row r="107" spans="1:27">
      <c r="A107" s="64">
        <f>SUBTOTAL(3,C$2:C107)</f>
        <v>106</v>
      </c>
      <c r="B107" s="64" t="s">
        <v>30</v>
      </c>
      <c r="C107" s="64" t="s">
        <v>31</v>
      </c>
      <c r="D107" s="64" t="s">
        <v>32</v>
      </c>
      <c r="E107" s="64" t="s">
        <v>33</v>
      </c>
      <c r="F107" s="64" t="s">
        <v>248</v>
      </c>
      <c r="G107" s="91" t="s">
        <v>34</v>
      </c>
      <c r="H107" s="92">
        <v>17209</v>
      </c>
      <c r="I107" s="65">
        <v>46119</v>
      </c>
      <c r="J107" s="64">
        <f t="shared" ca="1" si="130"/>
        <v>65</v>
      </c>
      <c r="K107" s="64">
        <f t="shared" si="131"/>
        <v>46136</v>
      </c>
      <c r="L107" s="64" t="s">
        <v>47</v>
      </c>
      <c r="M107" s="64">
        <v>19000</v>
      </c>
      <c r="N107" s="64">
        <v>17000</v>
      </c>
      <c r="O107" s="65">
        <v>46120</v>
      </c>
      <c r="P107" s="64">
        <f t="shared" si="132"/>
        <v>2000</v>
      </c>
      <c r="Q107" s="65">
        <v>46141</v>
      </c>
      <c r="R107" s="64" t="s">
        <v>39</v>
      </c>
      <c r="S107" s="64">
        <v>21800</v>
      </c>
      <c r="T107" s="64" t="s">
        <v>808</v>
      </c>
      <c r="U107" s="65">
        <v>46136</v>
      </c>
      <c r="V107" s="64" t="s">
        <v>28</v>
      </c>
      <c r="W107" s="64">
        <f t="shared" si="116"/>
        <v>2800</v>
      </c>
      <c r="X107" s="64" t="s">
        <v>36</v>
      </c>
      <c r="Y107" s="64" t="s">
        <v>29</v>
      </c>
      <c r="Z107" s="71">
        <f t="shared" si="117"/>
        <v>14.736842105263158</v>
      </c>
      <c r="AA107" s="93"/>
    </row>
    <row r="108" spans="1:27">
      <c r="A108" s="64">
        <f>SUBTOTAL(3,C$2:C108)</f>
        <v>107</v>
      </c>
      <c r="B108" s="64" t="s">
        <v>30</v>
      </c>
      <c r="C108" s="64" t="s">
        <v>44</v>
      </c>
      <c r="D108" s="64" t="s">
        <v>32</v>
      </c>
      <c r="E108" s="64" t="s">
        <v>33</v>
      </c>
      <c r="F108" s="64" t="s">
        <v>244</v>
      </c>
      <c r="G108" s="91" t="s">
        <v>46</v>
      </c>
      <c r="H108" s="92">
        <v>17210</v>
      </c>
      <c r="I108" s="65">
        <v>46120</v>
      </c>
      <c r="J108" s="64">
        <f t="shared" ca="1" si="130"/>
        <v>64</v>
      </c>
      <c r="K108" s="64">
        <f t="shared" si="131"/>
        <v>46136</v>
      </c>
      <c r="L108" s="64" t="s">
        <v>47</v>
      </c>
      <c r="M108" s="64">
        <v>19000</v>
      </c>
      <c r="N108" s="64">
        <v>17000</v>
      </c>
      <c r="O108" s="65">
        <v>46120</v>
      </c>
      <c r="P108" s="64">
        <f t="shared" si="132"/>
        <v>2000</v>
      </c>
      <c r="Q108" s="65">
        <v>46141</v>
      </c>
      <c r="R108" s="64" t="s">
        <v>39</v>
      </c>
      <c r="S108" s="64">
        <v>21800</v>
      </c>
      <c r="T108" s="64" t="s">
        <v>808</v>
      </c>
      <c r="U108" s="65">
        <v>46136</v>
      </c>
      <c r="V108" s="64" t="s">
        <v>28</v>
      </c>
      <c r="W108" s="64">
        <f t="shared" si="116"/>
        <v>2800</v>
      </c>
      <c r="X108" s="64" t="s">
        <v>36</v>
      </c>
      <c r="Y108" s="64" t="s">
        <v>29</v>
      </c>
      <c r="Z108" s="71">
        <f t="shared" si="117"/>
        <v>14.736842105263158</v>
      </c>
      <c r="AA108" s="93"/>
    </row>
    <row r="109" spans="1:27">
      <c r="A109" s="64">
        <f>SUBTOTAL(3,C$2:C109)</f>
        <v>108</v>
      </c>
      <c r="B109" s="64" t="s">
        <v>30</v>
      </c>
      <c r="C109" s="64" t="s">
        <v>31</v>
      </c>
      <c r="D109" s="64" t="s">
        <v>32</v>
      </c>
      <c r="E109" s="64" t="s">
        <v>33</v>
      </c>
      <c r="F109" s="64" t="s">
        <v>249</v>
      </c>
      <c r="G109" s="91" t="s">
        <v>34</v>
      </c>
      <c r="H109" s="92">
        <v>17211</v>
      </c>
      <c r="I109" s="65">
        <v>46120</v>
      </c>
      <c r="J109" s="64">
        <f t="shared" ca="1" si="130"/>
        <v>64</v>
      </c>
      <c r="K109" s="64">
        <f t="shared" si="131"/>
        <v>46136</v>
      </c>
      <c r="L109" s="64" t="s">
        <v>47</v>
      </c>
      <c r="M109" s="64">
        <v>19000</v>
      </c>
      <c r="N109" s="64">
        <v>17000</v>
      </c>
      <c r="O109" s="65">
        <v>46120</v>
      </c>
      <c r="P109" s="64">
        <f t="shared" si="132"/>
        <v>2000</v>
      </c>
      <c r="Q109" s="65">
        <v>46141</v>
      </c>
      <c r="R109" s="64" t="s">
        <v>39</v>
      </c>
      <c r="S109" s="64">
        <v>21800</v>
      </c>
      <c r="T109" s="64" t="s">
        <v>808</v>
      </c>
      <c r="U109" s="65">
        <v>46136</v>
      </c>
      <c r="V109" s="64" t="s">
        <v>28</v>
      </c>
      <c r="W109" s="64">
        <f t="shared" si="116"/>
        <v>2800</v>
      </c>
      <c r="X109" s="64" t="s">
        <v>36</v>
      </c>
      <c r="Y109" s="64" t="s">
        <v>29</v>
      </c>
      <c r="Z109" s="71">
        <f t="shared" si="117"/>
        <v>14.736842105263158</v>
      </c>
      <c r="AA109" s="93"/>
    </row>
    <row r="110" spans="1:27">
      <c r="A110" s="64">
        <f>SUBTOTAL(3,C$2:C110)</f>
        <v>109</v>
      </c>
      <c r="B110" s="64" t="s">
        <v>30</v>
      </c>
      <c r="C110" s="64" t="s">
        <v>44</v>
      </c>
      <c r="D110" s="64" t="s">
        <v>32</v>
      </c>
      <c r="E110" s="64" t="s">
        <v>33</v>
      </c>
      <c r="F110" s="64" t="s">
        <v>245</v>
      </c>
      <c r="G110" s="91">
        <v>407</v>
      </c>
      <c r="H110" s="92">
        <v>17212</v>
      </c>
      <c r="I110" s="65">
        <v>46120</v>
      </c>
      <c r="J110" s="64">
        <f t="shared" ref="J110:J111" ca="1" si="133">+TODAY()-I110</f>
        <v>64</v>
      </c>
      <c r="K110" s="64">
        <f t="shared" ref="K110:K111" si="134">+U110</f>
        <v>46136</v>
      </c>
      <c r="L110" s="64" t="s">
        <v>239</v>
      </c>
      <c r="M110" s="64">
        <v>28000</v>
      </c>
      <c r="N110" s="64">
        <v>26000</v>
      </c>
      <c r="O110" s="65">
        <v>46120</v>
      </c>
      <c r="P110" s="64">
        <f t="shared" ref="P110:P111" si="135">+M110-N110</f>
        <v>2000</v>
      </c>
      <c r="Q110" s="65">
        <v>46141</v>
      </c>
      <c r="R110" s="64" t="s">
        <v>37</v>
      </c>
      <c r="S110" s="64">
        <v>33000</v>
      </c>
      <c r="T110" s="64" t="s">
        <v>818</v>
      </c>
      <c r="U110" s="65">
        <v>46136</v>
      </c>
      <c r="V110" s="64" t="s">
        <v>28</v>
      </c>
      <c r="W110" s="64">
        <f t="shared" si="116"/>
        <v>5000</v>
      </c>
      <c r="X110" s="64" t="s">
        <v>36</v>
      </c>
      <c r="Y110" s="64" t="s">
        <v>29</v>
      </c>
      <c r="Z110" s="71">
        <f t="shared" si="117"/>
        <v>17.857142857142858</v>
      </c>
      <c r="AA110" s="93"/>
    </row>
    <row r="111" spans="1:27">
      <c r="A111" s="64">
        <f>SUBTOTAL(3,C$2:C111)</f>
        <v>110</v>
      </c>
      <c r="B111" s="64" t="s">
        <v>30</v>
      </c>
      <c r="C111" s="64" t="s">
        <v>31</v>
      </c>
      <c r="D111" s="64" t="s">
        <v>32</v>
      </c>
      <c r="E111" s="64" t="s">
        <v>33</v>
      </c>
      <c r="F111" s="64" t="s">
        <v>128</v>
      </c>
      <c r="G111" s="91" t="s">
        <v>34</v>
      </c>
      <c r="H111" s="92">
        <v>17213</v>
      </c>
      <c r="I111" s="65">
        <v>46119</v>
      </c>
      <c r="J111" s="64">
        <f t="shared" ca="1" si="133"/>
        <v>65</v>
      </c>
      <c r="K111" s="64">
        <f t="shared" si="134"/>
        <v>46163</v>
      </c>
      <c r="L111" s="64" t="s">
        <v>273</v>
      </c>
      <c r="M111" s="64">
        <v>18000</v>
      </c>
      <c r="N111" s="64">
        <v>16000</v>
      </c>
      <c r="O111" s="65">
        <v>46120</v>
      </c>
      <c r="P111" s="64">
        <f t="shared" si="135"/>
        <v>2000</v>
      </c>
      <c r="Q111" s="64" t="s">
        <v>33</v>
      </c>
      <c r="R111" s="64" t="s">
        <v>56</v>
      </c>
      <c r="S111" s="64">
        <v>20500</v>
      </c>
      <c r="T111" s="64" t="s">
        <v>2186</v>
      </c>
      <c r="U111" s="65">
        <v>46163</v>
      </c>
      <c r="V111" s="64" t="s">
        <v>28</v>
      </c>
      <c r="W111" s="64">
        <f t="shared" si="116"/>
        <v>2500</v>
      </c>
      <c r="X111" s="64" t="s">
        <v>36</v>
      </c>
      <c r="Y111" s="64" t="s">
        <v>29</v>
      </c>
      <c r="Z111" s="71">
        <f t="shared" si="117"/>
        <v>13.888888888888889</v>
      </c>
      <c r="AA111" s="93"/>
    </row>
    <row r="112" spans="1:27">
      <c r="A112" s="64">
        <f>SUBTOTAL(3,C$2:C112)</f>
        <v>111</v>
      </c>
      <c r="B112" s="64" t="s">
        <v>30</v>
      </c>
      <c r="C112" s="64" t="s">
        <v>44</v>
      </c>
      <c r="D112" s="64" t="s">
        <v>32</v>
      </c>
      <c r="E112" s="64" t="s">
        <v>33</v>
      </c>
      <c r="F112" s="64" t="s">
        <v>247</v>
      </c>
      <c r="G112" s="91">
        <v>407</v>
      </c>
      <c r="H112" s="92">
        <v>17214</v>
      </c>
      <c r="I112" s="65">
        <v>46120</v>
      </c>
      <c r="J112" s="64">
        <f t="shared" ref="J112:J115" ca="1" si="136">+TODAY()-I112</f>
        <v>64</v>
      </c>
      <c r="K112" s="64">
        <f t="shared" ref="K112:K115" si="137">+U112</f>
        <v>46169</v>
      </c>
      <c r="L112" s="64" t="s">
        <v>84</v>
      </c>
      <c r="M112" s="64">
        <v>27000</v>
      </c>
      <c r="N112" s="64">
        <v>25000</v>
      </c>
      <c r="O112" s="65">
        <v>46120</v>
      </c>
      <c r="P112" s="64">
        <f t="shared" ref="P112:P115" si="138">+M112-N112</f>
        <v>2000</v>
      </c>
      <c r="Q112" s="64" t="s">
        <v>33</v>
      </c>
      <c r="R112" s="64" t="s">
        <v>56</v>
      </c>
      <c r="S112" s="64">
        <v>29800</v>
      </c>
      <c r="T112" s="64" t="s">
        <v>2659</v>
      </c>
      <c r="U112" s="65">
        <v>46169</v>
      </c>
      <c r="V112" s="64" t="s">
        <v>28</v>
      </c>
      <c r="W112" s="64">
        <f t="shared" si="116"/>
        <v>2800</v>
      </c>
      <c r="X112" s="64" t="s">
        <v>36</v>
      </c>
      <c r="Y112" s="64" t="s">
        <v>29</v>
      </c>
      <c r="Z112" s="71">
        <f t="shared" si="117"/>
        <v>10.37037037037037</v>
      </c>
      <c r="AA112" s="93"/>
    </row>
    <row r="113" spans="1:27">
      <c r="A113" s="64">
        <f>SUBTOTAL(3,C$2:C113)</f>
        <v>112</v>
      </c>
      <c r="B113" s="64" t="s">
        <v>30</v>
      </c>
      <c r="C113" s="64" t="s">
        <v>31</v>
      </c>
      <c r="D113" s="64" t="s">
        <v>32</v>
      </c>
      <c r="E113" s="64" t="s">
        <v>33</v>
      </c>
      <c r="F113" s="64" t="s">
        <v>250</v>
      </c>
      <c r="G113" s="91" t="s">
        <v>34</v>
      </c>
      <c r="H113" s="92">
        <v>17215</v>
      </c>
      <c r="I113" s="65">
        <v>46120</v>
      </c>
      <c r="J113" s="64">
        <f t="shared" ca="1" si="136"/>
        <v>64</v>
      </c>
      <c r="K113" s="64">
        <f t="shared" si="137"/>
        <v>46162</v>
      </c>
      <c r="L113" s="64" t="s">
        <v>47</v>
      </c>
      <c r="M113" s="64">
        <v>19000</v>
      </c>
      <c r="N113" s="64">
        <v>17000</v>
      </c>
      <c r="O113" s="65">
        <v>46120</v>
      </c>
      <c r="P113" s="64">
        <f t="shared" si="138"/>
        <v>2000</v>
      </c>
      <c r="Q113" s="64" t="s">
        <v>33</v>
      </c>
      <c r="R113" s="64" t="s">
        <v>39</v>
      </c>
      <c r="S113" s="64">
        <v>21800</v>
      </c>
      <c r="T113" s="64" t="s">
        <v>2144</v>
      </c>
      <c r="U113" s="65">
        <v>46162</v>
      </c>
      <c r="V113" s="64" t="s">
        <v>28</v>
      </c>
      <c r="W113" s="64">
        <f t="shared" si="116"/>
        <v>2800</v>
      </c>
      <c r="X113" s="64" t="s">
        <v>36</v>
      </c>
      <c r="Y113" s="64" t="s">
        <v>29</v>
      </c>
      <c r="Z113" s="71">
        <f t="shared" si="117"/>
        <v>14.736842105263158</v>
      </c>
      <c r="AA113" s="93"/>
    </row>
    <row r="114" spans="1:27" s="67" customFormat="1">
      <c r="A114" s="66">
        <f>SUBTOTAL(3,C$2:C114)</f>
        <v>113</v>
      </c>
      <c r="B114" s="66" t="s">
        <v>30</v>
      </c>
      <c r="C114" s="66" t="s">
        <v>80</v>
      </c>
      <c r="D114" s="66" t="s">
        <v>32</v>
      </c>
      <c r="E114" s="66" t="s">
        <v>33</v>
      </c>
      <c r="F114" s="66" t="s">
        <v>252</v>
      </c>
      <c r="G114" s="94" t="s">
        <v>59</v>
      </c>
      <c r="H114" s="92">
        <v>17216</v>
      </c>
      <c r="I114" s="68">
        <v>46118</v>
      </c>
      <c r="J114" s="66">
        <f t="shared" ca="1" si="136"/>
        <v>66</v>
      </c>
      <c r="K114" s="66">
        <f t="shared" si="137"/>
        <v>46170</v>
      </c>
      <c r="L114" s="66" t="s">
        <v>121</v>
      </c>
      <c r="M114" s="66">
        <v>24000</v>
      </c>
      <c r="N114" s="66">
        <v>24000</v>
      </c>
      <c r="O114" s="68">
        <v>46120</v>
      </c>
      <c r="P114" s="66">
        <f t="shared" si="138"/>
        <v>0</v>
      </c>
      <c r="Q114" s="66" t="s">
        <v>33</v>
      </c>
      <c r="R114" s="66" t="s">
        <v>196</v>
      </c>
      <c r="S114" s="66">
        <v>25500</v>
      </c>
      <c r="T114" s="64" t="s">
        <v>2660</v>
      </c>
      <c r="U114" s="65">
        <v>46170</v>
      </c>
      <c r="V114" s="66" t="s">
        <v>28</v>
      </c>
      <c r="W114" s="66">
        <f t="shared" si="116"/>
        <v>1500</v>
      </c>
      <c r="X114" s="66" t="s">
        <v>36</v>
      </c>
      <c r="Y114" s="66" t="s">
        <v>29</v>
      </c>
      <c r="Z114" s="75">
        <f t="shared" si="117"/>
        <v>6.25</v>
      </c>
      <c r="AA114" s="93"/>
    </row>
    <row r="115" spans="1:27">
      <c r="A115" s="64">
        <f>SUBTOTAL(3,C$2:C115)</f>
        <v>114</v>
      </c>
      <c r="B115" s="64" t="s">
        <v>30</v>
      </c>
      <c r="C115" s="64" t="s">
        <v>80</v>
      </c>
      <c r="D115" s="64" t="s">
        <v>32</v>
      </c>
      <c r="E115" s="64" t="s">
        <v>33</v>
      </c>
      <c r="F115" s="64" t="s">
        <v>251</v>
      </c>
      <c r="G115" s="91" t="s">
        <v>59</v>
      </c>
      <c r="H115" s="92">
        <v>17217</v>
      </c>
      <c r="I115" s="65">
        <v>46120</v>
      </c>
      <c r="J115" s="64">
        <f t="shared" ca="1" si="136"/>
        <v>64</v>
      </c>
      <c r="K115" s="64">
        <f t="shared" si="137"/>
        <v>46136</v>
      </c>
      <c r="L115" s="64" t="s">
        <v>155</v>
      </c>
      <c r="M115" s="64">
        <v>35000</v>
      </c>
      <c r="N115" s="64">
        <v>32000</v>
      </c>
      <c r="O115" s="65">
        <v>46120</v>
      </c>
      <c r="P115" s="64">
        <f t="shared" si="138"/>
        <v>3000</v>
      </c>
      <c r="Q115" s="65">
        <v>46141</v>
      </c>
      <c r="R115" s="64" t="s">
        <v>37</v>
      </c>
      <c r="S115" s="64">
        <v>38000</v>
      </c>
      <c r="T115" s="64" t="s">
        <v>817</v>
      </c>
      <c r="U115" s="65">
        <v>46136</v>
      </c>
      <c r="V115" s="64" t="s">
        <v>28</v>
      </c>
      <c r="W115" s="64">
        <f t="shared" si="116"/>
        <v>3000</v>
      </c>
      <c r="X115" s="64" t="s">
        <v>36</v>
      </c>
      <c r="Y115" s="64" t="s">
        <v>29</v>
      </c>
      <c r="Z115" s="71">
        <f t="shared" si="117"/>
        <v>8.5714285714285712</v>
      </c>
      <c r="AA115" s="93"/>
    </row>
    <row r="116" spans="1:27">
      <c r="A116" s="64">
        <f>SUBTOTAL(3,C$2:C116)</f>
        <v>115</v>
      </c>
      <c r="B116" s="64" t="s">
        <v>30</v>
      </c>
      <c r="C116" s="64" t="s">
        <v>44</v>
      </c>
      <c r="D116" s="64" t="s">
        <v>32</v>
      </c>
      <c r="E116" s="64" t="s">
        <v>33</v>
      </c>
      <c r="F116" s="64" t="s">
        <v>150</v>
      </c>
      <c r="G116" s="91">
        <v>407</v>
      </c>
      <c r="H116" s="92">
        <v>17218</v>
      </c>
      <c r="I116" s="65">
        <v>46120</v>
      </c>
      <c r="J116" s="64">
        <f t="shared" ref="J116" ca="1" si="139">+TODAY()-I116</f>
        <v>64</v>
      </c>
      <c r="K116" s="64">
        <f t="shared" ref="K116" si="140">+U116</f>
        <v>46148</v>
      </c>
      <c r="L116" s="64" t="s">
        <v>84</v>
      </c>
      <c r="M116" s="64">
        <v>27000</v>
      </c>
      <c r="N116" s="64">
        <v>25000</v>
      </c>
      <c r="O116" s="65">
        <v>46120</v>
      </c>
      <c r="P116" s="64">
        <f t="shared" ref="P116" si="141">+M116-N116</f>
        <v>2000</v>
      </c>
      <c r="Q116" s="64" t="s">
        <v>33</v>
      </c>
      <c r="R116" s="64" t="s">
        <v>78</v>
      </c>
      <c r="S116" s="64">
        <v>29800</v>
      </c>
      <c r="T116" s="64" t="s">
        <v>1327</v>
      </c>
      <c r="U116" s="65">
        <v>46148</v>
      </c>
      <c r="V116" s="64" t="s">
        <v>28</v>
      </c>
      <c r="W116" s="64">
        <f t="shared" si="116"/>
        <v>2800</v>
      </c>
      <c r="X116" s="64" t="s">
        <v>36</v>
      </c>
      <c r="Y116" s="64" t="s">
        <v>29</v>
      </c>
      <c r="Z116" s="71">
        <f t="shared" si="117"/>
        <v>10.37037037037037</v>
      </c>
      <c r="AA116" s="93"/>
    </row>
    <row r="117" spans="1:27">
      <c r="A117" s="64">
        <f>SUBTOTAL(3,C$2:C117)</f>
        <v>116</v>
      </c>
      <c r="B117" s="64" t="s">
        <v>30</v>
      </c>
      <c r="C117" s="64" t="s">
        <v>76</v>
      </c>
      <c r="D117" s="64" t="s">
        <v>32</v>
      </c>
      <c r="E117" s="64" t="s">
        <v>33</v>
      </c>
      <c r="F117" s="64" t="s">
        <v>77</v>
      </c>
      <c r="G117" s="91" t="s">
        <v>67</v>
      </c>
      <c r="H117" s="92">
        <v>17219</v>
      </c>
      <c r="I117" s="65">
        <v>46119</v>
      </c>
      <c r="J117" s="64">
        <f t="shared" ref="J117:J118" ca="1" si="142">+TODAY()-I117</f>
        <v>65</v>
      </c>
      <c r="K117" s="64">
        <f t="shared" ref="K117:K118" si="143">+U117</f>
        <v>46139</v>
      </c>
      <c r="L117" s="64" t="s">
        <v>97</v>
      </c>
      <c r="M117" s="64">
        <v>21500</v>
      </c>
      <c r="N117" s="64">
        <v>21500</v>
      </c>
      <c r="O117" s="65">
        <v>46120</v>
      </c>
      <c r="P117" s="64">
        <f t="shared" ref="P117:P118" si="144">+M117-N117</f>
        <v>0</v>
      </c>
      <c r="Q117" s="64" t="s">
        <v>33</v>
      </c>
      <c r="R117" s="64" t="s">
        <v>78</v>
      </c>
      <c r="S117" s="64">
        <v>25500</v>
      </c>
      <c r="T117" s="64" t="s">
        <v>825</v>
      </c>
      <c r="U117" s="65">
        <v>46139</v>
      </c>
      <c r="V117" s="64" t="s">
        <v>28</v>
      </c>
      <c r="W117" s="64">
        <f t="shared" si="116"/>
        <v>4000</v>
      </c>
      <c r="X117" s="64" t="s">
        <v>36</v>
      </c>
      <c r="Y117" s="64" t="s">
        <v>29</v>
      </c>
      <c r="Z117" s="71">
        <f t="shared" si="117"/>
        <v>18.604651162790699</v>
      </c>
      <c r="AA117" s="93"/>
    </row>
    <row r="118" spans="1:27">
      <c r="A118" s="64">
        <f>SUBTOTAL(3,C$2:C118)</f>
        <v>117</v>
      </c>
      <c r="B118" s="64" t="s">
        <v>30</v>
      </c>
      <c r="C118" s="64" t="s">
        <v>31</v>
      </c>
      <c r="D118" s="64" t="s">
        <v>32</v>
      </c>
      <c r="E118" s="64" t="s">
        <v>33</v>
      </c>
      <c r="F118" s="64" t="s">
        <v>256</v>
      </c>
      <c r="G118" s="91" t="s">
        <v>34</v>
      </c>
      <c r="H118" s="92">
        <v>17220</v>
      </c>
      <c r="I118" s="65">
        <v>46120</v>
      </c>
      <c r="J118" s="64">
        <f t="shared" ca="1" si="142"/>
        <v>64</v>
      </c>
      <c r="K118" s="64">
        <f t="shared" si="143"/>
        <v>46136</v>
      </c>
      <c r="L118" s="64" t="s">
        <v>47</v>
      </c>
      <c r="M118" s="64">
        <v>19000</v>
      </c>
      <c r="N118" s="64">
        <v>17000</v>
      </c>
      <c r="O118" s="65">
        <v>46120</v>
      </c>
      <c r="P118" s="64">
        <f t="shared" si="144"/>
        <v>2000</v>
      </c>
      <c r="Q118" s="65">
        <v>46141</v>
      </c>
      <c r="R118" s="64" t="s">
        <v>39</v>
      </c>
      <c r="S118" s="64">
        <v>21800</v>
      </c>
      <c r="T118" s="64" t="s">
        <v>808</v>
      </c>
      <c r="U118" s="65">
        <v>46136</v>
      </c>
      <c r="V118" s="64" t="s">
        <v>28</v>
      </c>
      <c r="W118" s="64">
        <f t="shared" si="116"/>
        <v>2800</v>
      </c>
      <c r="X118" s="64" t="s">
        <v>36</v>
      </c>
      <c r="Y118" s="64" t="s">
        <v>29</v>
      </c>
      <c r="Z118" s="71">
        <f t="shared" si="117"/>
        <v>14.736842105263158</v>
      </c>
      <c r="AA118" s="93"/>
    </row>
    <row r="119" spans="1:27">
      <c r="A119" s="64">
        <f>SUBTOTAL(3,C$2:C119)</f>
        <v>118</v>
      </c>
      <c r="B119" s="64" t="s">
        <v>30</v>
      </c>
      <c r="C119" s="64" t="s">
        <v>156</v>
      </c>
      <c r="D119" s="64" t="s">
        <v>32</v>
      </c>
      <c r="E119" s="64" t="s">
        <v>33</v>
      </c>
      <c r="F119" s="64" t="s">
        <v>164</v>
      </c>
      <c r="G119" s="91" t="s">
        <v>67</v>
      </c>
      <c r="H119" s="92">
        <v>17221</v>
      </c>
      <c r="I119" s="65">
        <v>46120</v>
      </c>
      <c r="J119" s="64">
        <f t="shared" ref="J119" ca="1" si="145">+TODAY()-I119</f>
        <v>64</v>
      </c>
      <c r="K119" s="64">
        <f t="shared" ref="K119" si="146">+U119</f>
        <v>46148</v>
      </c>
      <c r="L119" s="64" t="s">
        <v>97</v>
      </c>
      <c r="M119" s="64">
        <v>38500</v>
      </c>
      <c r="N119" s="64">
        <v>35500</v>
      </c>
      <c r="O119" s="65">
        <v>46120</v>
      </c>
      <c r="P119" s="64">
        <f t="shared" ref="P119" si="147">+M119-N119</f>
        <v>3000</v>
      </c>
      <c r="Q119" s="64" t="s">
        <v>33</v>
      </c>
      <c r="R119" s="64" t="s">
        <v>2141</v>
      </c>
      <c r="S119" s="64">
        <v>42000</v>
      </c>
      <c r="T119" s="64" t="s">
        <v>1330</v>
      </c>
      <c r="U119" s="65">
        <v>46148</v>
      </c>
      <c r="V119" s="64" t="s">
        <v>28</v>
      </c>
      <c r="W119" s="64">
        <f t="shared" si="116"/>
        <v>3500</v>
      </c>
      <c r="X119" s="64" t="s">
        <v>36</v>
      </c>
      <c r="Y119" s="64" t="s">
        <v>29</v>
      </c>
      <c r="Z119" s="71">
        <f t="shared" si="117"/>
        <v>9.0909090909090917</v>
      </c>
      <c r="AA119" s="93"/>
    </row>
    <row r="120" spans="1:27">
      <c r="A120" s="64">
        <f>SUBTOTAL(3,C$2:C120)</f>
        <v>119</v>
      </c>
      <c r="B120" s="64" t="s">
        <v>30</v>
      </c>
      <c r="C120" s="64" t="s">
        <v>137</v>
      </c>
      <c r="D120" s="64" t="s">
        <v>32</v>
      </c>
      <c r="E120" s="64" t="s">
        <v>33</v>
      </c>
      <c r="F120" s="64" t="s">
        <v>138</v>
      </c>
      <c r="G120" s="91" t="s">
        <v>50</v>
      </c>
      <c r="H120" s="92">
        <v>17222</v>
      </c>
      <c r="I120" s="65">
        <v>46120</v>
      </c>
      <c r="J120" s="64">
        <f t="shared" ref="J120:J122" ca="1" si="148">+TODAY()-I120</f>
        <v>64</v>
      </c>
      <c r="K120" s="64">
        <f t="shared" ref="K120:K122" si="149">+U120</f>
        <v>46136</v>
      </c>
      <c r="L120" s="64" t="s">
        <v>97</v>
      </c>
      <c r="M120" s="64">
        <f>3000+44000</f>
        <v>47000</v>
      </c>
      <c r="N120" s="64">
        <v>40000</v>
      </c>
      <c r="O120" s="65">
        <v>46120</v>
      </c>
      <c r="P120" s="64">
        <f t="shared" ref="P120:P122" si="150">+M120-N120</f>
        <v>7000</v>
      </c>
      <c r="Q120" s="65">
        <v>46141</v>
      </c>
      <c r="R120" s="64" t="s">
        <v>52</v>
      </c>
      <c r="S120" s="64">
        <f>5000+48000</f>
        <v>53000</v>
      </c>
      <c r="T120" s="64" t="s">
        <v>813</v>
      </c>
      <c r="U120" s="65">
        <v>46136</v>
      </c>
      <c r="V120" s="64" t="s">
        <v>28</v>
      </c>
      <c r="W120" s="64">
        <f t="shared" si="116"/>
        <v>6000</v>
      </c>
      <c r="X120" s="64" t="s">
        <v>36</v>
      </c>
      <c r="Y120" s="64" t="s">
        <v>29</v>
      </c>
      <c r="Z120" s="71">
        <f t="shared" si="117"/>
        <v>12.76595744680851</v>
      </c>
      <c r="AA120" s="93"/>
    </row>
    <row r="121" spans="1:27">
      <c r="A121" s="64">
        <f>SUBTOTAL(3,C$2:C121)</f>
        <v>120</v>
      </c>
      <c r="B121" s="64" t="s">
        <v>30</v>
      </c>
      <c r="C121" s="64" t="s">
        <v>80</v>
      </c>
      <c r="D121" s="64" t="s">
        <v>32</v>
      </c>
      <c r="E121" s="64" t="s">
        <v>33</v>
      </c>
      <c r="F121" s="64" t="s">
        <v>154</v>
      </c>
      <c r="G121" s="91" t="s">
        <v>59</v>
      </c>
      <c r="H121" s="92">
        <v>17223</v>
      </c>
      <c r="I121" s="65">
        <v>46120</v>
      </c>
      <c r="J121" s="64">
        <f t="shared" ca="1" si="148"/>
        <v>64</v>
      </c>
      <c r="K121" s="64">
        <f t="shared" si="149"/>
        <v>46137</v>
      </c>
      <c r="L121" s="64" t="s">
        <v>97</v>
      </c>
      <c r="M121" s="64">
        <v>38500</v>
      </c>
      <c r="N121" s="64">
        <v>35500</v>
      </c>
      <c r="O121" s="65">
        <v>46120</v>
      </c>
      <c r="P121" s="64">
        <f t="shared" si="150"/>
        <v>3000</v>
      </c>
      <c r="Q121" s="65">
        <v>46141</v>
      </c>
      <c r="R121" s="64" t="s">
        <v>174</v>
      </c>
      <c r="S121" s="64">
        <v>42000</v>
      </c>
      <c r="T121" s="64" t="s">
        <v>820</v>
      </c>
      <c r="U121" s="65">
        <v>46137</v>
      </c>
      <c r="V121" s="64" t="s">
        <v>28</v>
      </c>
      <c r="W121" s="64">
        <f t="shared" si="116"/>
        <v>3500</v>
      </c>
      <c r="X121" s="64" t="s">
        <v>36</v>
      </c>
      <c r="Y121" s="64" t="s">
        <v>29</v>
      </c>
      <c r="Z121" s="71">
        <f t="shared" si="117"/>
        <v>9.0909090909090917</v>
      </c>
      <c r="AA121" s="93"/>
    </row>
    <row r="122" spans="1:27">
      <c r="A122" s="64">
        <f>SUBTOTAL(3,C$2:C122)</f>
        <v>121</v>
      </c>
      <c r="B122" s="64" t="s">
        <v>30</v>
      </c>
      <c r="C122" s="64" t="s">
        <v>31</v>
      </c>
      <c r="D122" s="64" t="s">
        <v>32</v>
      </c>
      <c r="E122" s="64" t="s">
        <v>33</v>
      </c>
      <c r="F122" s="64" t="s">
        <v>257</v>
      </c>
      <c r="G122" s="91" t="s">
        <v>34</v>
      </c>
      <c r="H122" s="92">
        <v>17224</v>
      </c>
      <c r="I122" s="65">
        <v>46120</v>
      </c>
      <c r="J122" s="64">
        <f t="shared" ca="1" si="148"/>
        <v>64</v>
      </c>
      <c r="K122" s="64">
        <f t="shared" si="149"/>
        <v>46136</v>
      </c>
      <c r="L122" s="64" t="s">
        <v>47</v>
      </c>
      <c r="M122" s="64">
        <v>19000</v>
      </c>
      <c r="N122" s="64">
        <v>17000</v>
      </c>
      <c r="O122" s="65">
        <v>46120</v>
      </c>
      <c r="P122" s="64">
        <f t="shared" si="150"/>
        <v>2000</v>
      </c>
      <c r="Q122" s="65">
        <v>46141</v>
      </c>
      <c r="R122" s="64" t="s">
        <v>39</v>
      </c>
      <c r="S122" s="64">
        <v>21800</v>
      </c>
      <c r="T122" s="64" t="s">
        <v>808</v>
      </c>
      <c r="U122" s="65">
        <v>46136</v>
      </c>
      <c r="V122" s="64" t="s">
        <v>28</v>
      </c>
      <c r="W122" s="64">
        <f t="shared" si="116"/>
        <v>2800</v>
      </c>
      <c r="X122" s="64" t="s">
        <v>36</v>
      </c>
      <c r="Y122" s="64" t="s">
        <v>29</v>
      </c>
      <c r="Z122" s="71">
        <f t="shared" si="117"/>
        <v>14.736842105263158</v>
      </c>
      <c r="AA122" s="93"/>
    </row>
    <row r="123" spans="1:27">
      <c r="A123" s="64">
        <f>SUBTOTAL(3,C$2:C123)</f>
        <v>122</v>
      </c>
      <c r="B123" s="64" t="s">
        <v>30</v>
      </c>
      <c r="C123" s="64" t="s">
        <v>31</v>
      </c>
      <c r="D123" s="64" t="s">
        <v>32</v>
      </c>
      <c r="E123" s="64" t="s">
        <v>33</v>
      </c>
      <c r="F123" s="64" t="s">
        <v>269</v>
      </c>
      <c r="G123" s="91" t="s">
        <v>34</v>
      </c>
      <c r="H123" s="66">
        <v>17225</v>
      </c>
      <c r="I123" s="65">
        <v>46120</v>
      </c>
      <c r="J123" s="64">
        <f t="shared" ref="J123:J124" ca="1" si="151">+TODAY()-I123</f>
        <v>64</v>
      </c>
      <c r="K123" s="64" t="str">
        <f t="shared" ref="K123:K124" si="152">+U123</f>
        <v>Pending</v>
      </c>
      <c r="L123" s="64" t="s">
        <v>111</v>
      </c>
      <c r="M123" s="64">
        <v>11700</v>
      </c>
      <c r="N123" s="64">
        <v>10700</v>
      </c>
      <c r="O123" s="65">
        <v>46121</v>
      </c>
      <c r="P123" s="64">
        <f t="shared" ref="P123:P124" si="153">+M123-N123</f>
        <v>1000</v>
      </c>
      <c r="Q123" s="64" t="s">
        <v>33</v>
      </c>
      <c r="R123" s="64" t="s">
        <v>112</v>
      </c>
      <c r="S123" s="64">
        <v>13500</v>
      </c>
      <c r="T123" s="64" t="s">
        <v>33</v>
      </c>
      <c r="U123" s="65" t="s">
        <v>33</v>
      </c>
      <c r="V123" s="64" t="s">
        <v>28</v>
      </c>
      <c r="W123" s="64">
        <f t="shared" ref="W123:W124" si="154">+S123-M123</f>
        <v>1800</v>
      </c>
      <c r="X123" s="64" t="s">
        <v>36</v>
      </c>
      <c r="Y123" s="64" t="s">
        <v>29</v>
      </c>
      <c r="Z123" s="71">
        <f t="shared" ref="Z123:Z124" si="155">+W123*100/M123</f>
        <v>15.384615384615385</v>
      </c>
      <c r="AA123" s="93"/>
    </row>
    <row r="124" spans="1:27">
      <c r="A124" s="64">
        <f>SUBTOTAL(3,C$2:C124)</f>
        <v>123</v>
      </c>
      <c r="B124" s="64" t="s">
        <v>30</v>
      </c>
      <c r="C124" s="64" t="s">
        <v>80</v>
      </c>
      <c r="D124" s="64" t="s">
        <v>32</v>
      </c>
      <c r="E124" s="64" t="s">
        <v>33</v>
      </c>
      <c r="F124" s="64" t="s">
        <v>81</v>
      </c>
      <c r="G124" s="91" t="s">
        <v>59</v>
      </c>
      <c r="H124" s="92">
        <v>17227</v>
      </c>
      <c r="I124" s="65">
        <v>46121</v>
      </c>
      <c r="J124" s="64">
        <f t="shared" ca="1" si="151"/>
        <v>63</v>
      </c>
      <c r="K124" s="64">
        <f t="shared" si="152"/>
        <v>46136</v>
      </c>
      <c r="L124" s="64" t="s">
        <v>270</v>
      </c>
      <c r="M124" s="64">
        <v>35000</v>
      </c>
      <c r="N124" s="64">
        <v>32000</v>
      </c>
      <c r="O124" s="65">
        <v>46121</v>
      </c>
      <c r="P124" s="64">
        <f t="shared" si="153"/>
        <v>3000</v>
      </c>
      <c r="Q124" s="65">
        <v>46141</v>
      </c>
      <c r="R124" s="64" t="s">
        <v>39</v>
      </c>
      <c r="S124" s="64">
        <v>38000</v>
      </c>
      <c r="T124" s="64" t="s">
        <v>817</v>
      </c>
      <c r="U124" s="65">
        <v>46136</v>
      </c>
      <c r="V124" s="64" t="s">
        <v>28</v>
      </c>
      <c r="W124" s="64">
        <f t="shared" si="154"/>
        <v>3000</v>
      </c>
      <c r="X124" s="64" t="s">
        <v>36</v>
      </c>
      <c r="Y124" s="64" t="s">
        <v>29</v>
      </c>
      <c r="Z124" s="71">
        <f t="shared" si="155"/>
        <v>8.5714285714285712</v>
      </c>
      <c r="AA124" s="93"/>
    </row>
    <row r="125" spans="1:27">
      <c r="A125" s="64">
        <f>SUBTOTAL(3,C$2:C125)</f>
        <v>124</v>
      </c>
      <c r="B125" s="64" t="s">
        <v>30</v>
      </c>
      <c r="C125" s="64" t="s">
        <v>31</v>
      </c>
      <c r="D125" s="64" t="s">
        <v>32</v>
      </c>
      <c r="E125" s="64" t="s">
        <v>33</v>
      </c>
      <c r="F125" s="64" t="s">
        <v>271</v>
      </c>
      <c r="G125" s="91" t="s">
        <v>34</v>
      </c>
      <c r="H125" s="92">
        <v>17229</v>
      </c>
      <c r="I125" s="65">
        <v>46121</v>
      </c>
      <c r="J125" s="64">
        <f t="shared" ref="J125" ca="1" si="156">+TODAY()-I125</f>
        <v>63</v>
      </c>
      <c r="K125" s="64">
        <f t="shared" ref="K125" si="157">+U125</f>
        <v>46137</v>
      </c>
      <c r="L125" s="64" t="s">
        <v>111</v>
      </c>
      <c r="M125" s="64">
        <v>23300</v>
      </c>
      <c r="N125" s="64">
        <v>21500</v>
      </c>
      <c r="O125" s="65">
        <v>46121</v>
      </c>
      <c r="P125" s="64">
        <f t="shared" ref="P125" si="158">+M125-N125</f>
        <v>1800</v>
      </c>
      <c r="Q125" s="65">
        <v>46141</v>
      </c>
      <c r="R125" s="64" t="s">
        <v>37</v>
      </c>
      <c r="S125" s="64">
        <v>26000</v>
      </c>
      <c r="T125" s="64" t="s">
        <v>822</v>
      </c>
      <c r="U125" s="65">
        <v>46137</v>
      </c>
      <c r="V125" s="64" t="s">
        <v>28</v>
      </c>
      <c r="W125" s="64">
        <f t="shared" ref="W125" si="159">+S125-M125</f>
        <v>2700</v>
      </c>
      <c r="X125" s="64" t="s">
        <v>36</v>
      </c>
      <c r="Y125" s="64" t="s">
        <v>29</v>
      </c>
      <c r="Z125" s="71">
        <f t="shared" ref="Z125" si="160">+W125*100/M125</f>
        <v>11.587982832618026</v>
      </c>
      <c r="AA125" s="93"/>
    </row>
    <row r="126" spans="1:27">
      <c r="A126" s="64">
        <f>SUBTOTAL(3,C$2:C126)</f>
        <v>125</v>
      </c>
      <c r="B126" s="64" t="s">
        <v>30</v>
      </c>
      <c r="C126" s="64" t="s">
        <v>31</v>
      </c>
      <c r="D126" s="64" t="s">
        <v>32</v>
      </c>
      <c r="E126" s="64" t="s">
        <v>33</v>
      </c>
      <c r="F126" s="64" t="s">
        <v>272</v>
      </c>
      <c r="G126" s="91" t="s">
        <v>34</v>
      </c>
      <c r="H126" s="92">
        <v>17230</v>
      </c>
      <c r="I126" s="65">
        <v>46121</v>
      </c>
      <c r="J126" s="64">
        <f t="shared" ref="J126" ca="1" si="161">+TODAY()-I126</f>
        <v>63</v>
      </c>
      <c r="K126" s="64">
        <f t="shared" ref="K126" si="162">+U126</f>
        <v>46163</v>
      </c>
      <c r="L126" s="64" t="s">
        <v>273</v>
      </c>
      <c r="M126" s="64">
        <v>18000</v>
      </c>
      <c r="N126" s="64">
        <v>16000</v>
      </c>
      <c r="O126" s="65">
        <v>46121</v>
      </c>
      <c r="P126" s="64">
        <f t="shared" ref="P126" si="163">+M126-N126</f>
        <v>2000</v>
      </c>
      <c r="Q126" s="64" t="s">
        <v>33</v>
      </c>
      <c r="R126" s="64" t="s">
        <v>56</v>
      </c>
      <c r="S126" s="64">
        <v>20500</v>
      </c>
      <c r="T126" s="64" t="s">
        <v>2186</v>
      </c>
      <c r="U126" s="65">
        <v>46163</v>
      </c>
      <c r="V126" s="64" t="s">
        <v>28</v>
      </c>
      <c r="W126" s="64">
        <f t="shared" ref="W126" si="164">+S126-M126</f>
        <v>2500</v>
      </c>
      <c r="X126" s="64" t="s">
        <v>36</v>
      </c>
      <c r="Y126" s="64" t="s">
        <v>29</v>
      </c>
      <c r="Z126" s="71">
        <f t="shared" ref="Z126" si="165">+W126*100/M126</f>
        <v>13.888888888888889</v>
      </c>
      <c r="AA126" s="93"/>
    </row>
    <row r="127" spans="1:27">
      <c r="A127" s="64">
        <f>SUBTOTAL(3,C$2:C127)</f>
        <v>126</v>
      </c>
      <c r="B127" s="64" t="s">
        <v>30</v>
      </c>
      <c r="C127" s="64" t="s">
        <v>31</v>
      </c>
      <c r="D127" s="64" t="s">
        <v>32</v>
      </c>
      <c r="E127" s="64" t="s">
        <v>33</v>
      </c>
      <c r="F127" s="64" t="s">
        <v>275</v>
      </c>
      <c r="G127" s="91" t="s">
        <v>34</v>
      </c>
      <c r="H127" s="92">
        <v>17231</v>
      </c>
      <c r="I127" s="65">
        <v>46121</v>
      </c>
      <c r="J127" s="64">
        <f t="shared" ref="J127" ca="1" si="166">+TODAY()-I127</f>
        <v>63</v>
      </c>
      <c r="K127" s="64">
        <f t="shared" ref="K127" si="167">+U127</f>
        <v>46148</v>
      </c>
      <c r="L127" s="52" t="s">
        <v>519</v>
      </c>
      <c r="M127" s="64">
        <v>18300</v>
      </c>
      <c r="N127" s="64">
        <v>16500</v>
      </c>
      <c r="O127" s="65">
        <v>46121</v>
      </c>
      <c r="P127" s="64">
        <f t="shared" ref="P127" si="168">+M127-N127</f>
        <v>1800</v>
      </c>
      <c r="Q127" s="64" t="s">
        <v>33</v>
      </c>
      <c r="R127" s="64" t="s">
        <v>37</v>
      </c>
      <c r="S127" s="64">
        <v>21500</v>
      </c>
      <c r="T127" s="64" t="s">
        <v>1334</v>
      </c>
      <c r="U127" s="65">
        <v>46148</v>
      </c>
      <c r="V127" s="64" t="s">
        <v>28</v>
      </c>
      <c r="W127" s="64">
        <f t="shared" ref="W127" si="169">+S127-M127</f>
        <v>3200</v>
      </c>
      <c r="X127" s="64" t="s">
        <v>36</v>
      </c>
      <c r="Y127" s="64" t="s">
        <v>29</v>
      </c>
      <c r="Z127" s="71">
        <f t="shared" ref="Z127" si="170">+W127*100/M127</f>
        <v>17.486338797814209</v>
      </c>
      <c r="AA127" s="93"/>
    </row>
    <row r="128" spans="1:27">
      <c r="A128" s="64">
        <f>SUBTOTAL(3,C$2:C128)</f>
        <v>127</v>
      </c>
      <c r="B128" s="64" t="s">
        <v>30</v>
      </c>
      <c r="C128" s="64" t="s">
        <v>276</v>
      </c>
      <c r="D128" s="64" t="s">
        <v>32</v>
      </c>
      <c r="E128" s="64" t="s">
        <v>33</v>
      </c>
      <c r="F128" s="64" t="s">
        <v>277</v>
      </c>
      <c r="G128" s="91" t="s">
        <v>50</v>
      </c>
      <c r="H128" s="92">
        <v>17232</v>
      </c>
      <c r="I128" s="65">
        <v>46121</v>
      </c>
      <c r="J128" s="64">
        <f t="shared" ref="J128:J129" ca="1" si="171">+TODAY()-I128</f>
        <v>63</v>
      </c>
      <c r="K128" s="64">
        <f t="shared" ref="K128:K129" si="172">+U128</f>
        <v>46136</v>
      </c>
      <c r="L128" s="64" t="s">
        <v>97</v>
      </c>
      <c r="M128" s="64">
        <f>3000+44000</f>
        <v>47000</v>
      </c>
      <c r="N128" s="64">
        <v>40000</v>
      </c>
      <c r="O128" s="65">
        <v>46121</v>
      </c>
      <c r="P128" s="64">
        <f t="shared" ref="P128:P129" si="173">+M128-N128</f>
        <v>7000</v>
      </c>
      <c r="Q128" s="65">
        <v>46141</v>
      </c>
      <c r="R128" s="64" t="s">
        <v>52</v>
      </c>
      <c r="S128" s="64">
        <f>5000+48000</f>
        <v>53000</v>
      </c>
      <c r="T128" s="64" t="s">
        <v>813</v>
      </c>
      <c r="U128" s="65">
        <v>46136</v>
      </c>
      <c r="V128" s="64" t="s">
        <v>28</v>
      </c>
      <c r="W128" s="64">
        <f t="shared" ref="W128:W129" si="174">+S128-M128</f>
        <v>6000</v>
      </c>
      <c r="X128" s="64" t="s">
        <v>36</v>
      </c>
      <c r="Y128" s="64" t="s">
        <v>29</v>
      </c>
      <c r="Z128" s="71">
        <f t="shared" ref="Z128:Z129" si="175">+W128*100/M128</f>
        <v>12.76595744680851</v>
      </c>
      <c r="AA128" s="93"/>
    </row>
    <row r="129" spans="1:27">
      <c r="A129" s="64">
        <f>SUBTOTAL(3,C$2:C129)</f>
        <v>128</v>
      </c>
      <c r="B129" s="64" t="s">
        <v>30</v>
      </c>
      <c r="C129" s="64" t="s">
        <v>31</v>
      </c>
      <c r="D129" s="64" t="s">
        <v>32</v>
      </c>
      <c r="E129" s="64" t="s">
        <v>33</v>
      </c>
      <c r="F129" s="64" t="s">
        <v>149</v>
      </c>
      <c r="G129" s="91" t="s">
        <v>34</v>
      </c>
      <c r="H129" s="92">
        <v>17226</v>
      </c>
      <c r="I129" s="65">
        <v>46120</v>
      </c>
      <c r="J129" s="64">
        <f t="shared" ca="1" si="171"/>
        <v>64</v>
      </c>
      <c r="K129" s="64">
        <f t="shared" si="172"/>
        <v>46136</v>
      </c>
      <c r="L129" s="64" t="s">
        <v>47</v>
      </c>
      <c r="M129" s="64">
        <v>19000</v>
      </c>
      <c r="N129" s="64">
        <v>17000</v>
      </c>
      <c r="O129" s="65">
        <v>46121</v>
      </c>
      <c r="P129" s="64">
        <f t="shared" si="173"/>
        <v>2000</v>
      </c>
      <c r="Q129" s="65">
        <v>46141</v>
      </c>
      <c r="R129" s="64" t="s">
        <v>39</v>
      </c>
      <c r="S129" s="64">
        <v>21800</v>
      </c>
      <c r="T129" s="64" t="s">
        <v>808</v>
      </c>
      <c r="U129" s="65">
        <v>46136</v>
      </c>
      <c r="V129" s="64" t="s">
        <v>28</v>
      </c>
      <c r="W129" s="64">
        <f t="shared" si="174"/>
        <v>2800</v>
      </c>
      <c r="X129" s="64" t="s">
        <v>36</v>
      </c>
      <c r="Y129" s="64" t="s">
        <v>29</v>
      </c>
      <c r="Z129" s="71">
        <f t="shared" si="175"/>
        <v>14.736842105263158</v>
      </c>
      <c r="AA129" s="93"/>
    </row>
    <row r="130" spans="1:27">
      <c r="A130" s="64">
        <f>SUBTOTAL(3,C$2:C130)</f>
        <v>129</v>
      </c>
      <c r="B130" s="64" t="s">
        <v>30</v>
      </c>
      <c r="C130" s="64" t="s">
        <v>31</v>
      </c>
      <c r="D130" s="64" t="s">
        <v>32</v>
      </c>
      <c r="E130" s="64" t="s">
        <v>33</v>
      </c>
      <c r="F130" s="64" t="s">
        <v>279</v>
      </c>
      <c r="G130" s="91" t="s">
        <v>34</v>
      </c>
      <c r="H130" s="92">
        <v>17228</v>
      </c>
      <c r="I130" s="65">
        <v>46121</v>
      </c>
      <c r="J130" s="64">
        <f t="shared" ref="J130" ca="1" si="176">+TODAY()-I130</f>
        <v>63</v>
      </c>
      <c r="K130" s="64">
        <f t="shared" ref="K130" si="177">+U130</f>
        <v>46136</v>
      </c>
      <c r="L130" s="64" t="s">
        <v>47</v>
      </c>
      <c r="M130" s="64">
        <v>19000</v>
      </c>
      <c r="N130" s="64">
        <v>17000</v>
      </c>
      <c r="O130" s="65">
        <v>46121</v>
      </c>
      <c r="P130" s="64">
        <f t="shared" ref="P130" si="178">+M130-N130</f>
        <v>2000</v>
      </c>
      <c r="Q130" s="65">
        <v>46141</v>
      </c>
      <c r="R130" s="64" t="s">
        <v>39</v>
      </c>
      <c r="S130" s="64">
        <v>21800</v>
      </c>
      <c r="T130" s="64" t="s">
        <v>808</v>
      </c>
      <c r="U130" s="65">
        <v>46136</v>
      </c>
      <c r="V130" s="64" t="s">
        <v>28</v>
      </c>
      <c r="W130" s="64">
        <f t="shared" ref="W130" si="179">+S130-M130</f>
        <v>2800</v>
      </c>
      <c r="X130" s="64" t="s">
        <v>36</v>
      </c>
      <c r="Y130" s="64" t="s">
        <v>29</v>
      </c>
      <c r="Z130" s="71">
        <f t="shared" ref="Z130" si="180">+W130*100/M130</f>
        <v>14.736842105263158</v>
      </c>
      <c r="AA130" s="93"/>
    </row>
    <row r="131" spans="1:27">
      <c r="A131" s="64">
        <f>SUBTOTAL(3,C$2:C131)</f>
        <v>130</v>
      </c>
      <c r="B131" s="64" t="s">
        <v>30</v>
      </c>
      <c r="C131" s="64" t="s">
        <v>31</v>
      </c>
      <c r="D131" s="64" t="s">
        <v>32</v>
      </c>
      <c r="E131" s="64" t="s">
        <v>33</v>
      </c>
      <c r="F131" s="64" t="s">
        <v>280</v>
      </c>
      <c r="G131" s="91" t="s">
        <v>34</v>
      </c>
      <c r="H131" s="92">
        <v>17233</v>
      </c>
      <c r="I131" s="65">
        <v>46121</v>
      </c>
      <c r="J131" s="64">
        <f t="shared" ref="J131:J132" ca="1" si="181">+TODAY()-I131</f>
        <v>63</v>
      </c>
      <c r="K131" s="64">
        <f t="shared" ref="K131:K132" si="182">+U131</f>
        <v>46136</v>
      </c>
      <c r="L131" s="64" t="s">
        <v>47</v>
      </c>
      <c r="M131" s="64">
        <v>19000</v>
      </c>
      <c r="N131" s="64">
        <v>17000</v>
      </c>
      <c r="O131" s="65">
        <v>46121</v>
      </c>
      <c r="P131" s="64">
        <f t="shared" ref="P131:P132" si="183">+M131-N131</f>
        <v>2000</v>
      </c>
      <c r="Q131" s="65">
        <v>46141</v>
      </c>
      <c r="R131" s="64" t="s">
        <v>39</v>
      </c>
      <c r="S131" s="64">
        <v>21800</v>
      </c>
      <c r="T131" s="64" t="s">
        <v>808</v>
      </c>
      <c r="U131" s="65">
        <v>46136</v>
      </c>
      <c r="V131" s="64" t="s">
        <v>28</v>
      </c>
      <c r="W131" s="64">
        <f t="shared" ref="W131:W132" si="184">+S131-M131</f>
        <v>2800</v>
      </c>
      <c r="X131" s="64" t="s">
        <v>36</v>
      </c>
      <c r="Y131" s="64" t="s">
        <v>29</v>
      </c>
      <c r="Z131" s="71">
        <f t="shared" ref="Z131:Z132" si="185">+W131*100/M131</f>
        <v>14.736842105263158</v>
      </c>
      <c r="AA131" s="93"/>
    </row>
    <row r="132" spans="1:27">
      <c r="A132" s="64">
        <f>SUBTOTAL(3,C$2:C132)</f>
        <v>131</v>
      </c>
      <c r="B132" s="64" t="s">
        <v>30</v>
      </c>
      <c r="C132" s="64" t="s">
        <v>44</v>
      </c>
      <c r="D132" s="64" t="s">
        <v>32</v>
      </c>
      <c r="E132" s="64" t="s">
        <v>33</v>
      </c>
      <c r="F132" s="64" t="s">
        <v>281</v>
      </c>
      <c r="G132" s="91">
        <v>407</v>
      </c>
      <c r="H132" s="92">
        <v>17234</v>
      </c>
      <c r="I132" s="65">
        <v>46121</v>
      </c>
      <c r="J132" s="64">
        <f t="shared" ca="1" si="181"/>
        <v>63</v>
      </c>
      <c r="K132" s="64">
        <f t="shared" si="182"/>
        <v>46163</v>
      </c>
      <c r="L132" s="64" t="s">
        <v>84</v>
      </c>
      <c r="M132" s="64">
        <v>27000</v>
      </c>
      <c r="N132" s="64">
        <v>25000</v>
      </c>
      <c r="O132" s="65">
        <v>46121</v>
      </c>
      <c r="P132" s="64">
        <f t="shared" si="183"/>
        <v>2000</v>
      </c>
      <c r="Q132" s="64" t="s">
        <v>33</v>
      </c>
      <c r="R132" s="64" t="s">
        <v>56</v>
      </c>
      <c r="S132" s="64">
        <v>29800</v>
      </c>
      <c r="T132" s="64" t="s">
        <v>2185</v>
      </c>
      <c r="U132" s="65">
        <v>46163</v>
      </c>
      <c r="V132" s="64" t="s">
        <v>28</v>
      </c>
      <c r="W132" s="64">
        <f t="shared" si="184"/>
        <v>2800</v>
      </c>
      <c r="X132" s="64" t="s">
        <v>36</v>
      </c>
      <c r="Y132" s="64" t="s">
        <v>29</v>
      </c>
      <c r="Z132" s="71">
        <f t="shared" si="185"/>
        <v>10.37037037037037</v>
      </c>
      <c r="AA132" s="93"/>
    </row>
    <row r="133" spans="1:27">
      <c r="A133" s="64">
        <f>SUBTOTAL(3,C$2:C133)</f>
        <v>132</v>
      </c>
      <c r="B133" s="64" t="s">
        <v>30</v>
      </c>
      <c r="C133" s="64" t="s">
        <v>44</v>
      </c>
      <c r="D133" s="64" t="s">
        <v>32</v>
      </c>
      <c r="E133" s="64" t="s">
        <v>33</v>
      </c>
      <c r="F133" s="64" t="s">
        <v>282</v>
      </c>
      <c r="G133" s="91">
        <v>407</v>
      </c>
      <c r="H133" s="92">
        <v>17235</v>
      </c>
      <c r="I133" s="65">
        <v>46121</v>
      </c>
      <c r="J133" s="64">
        <f t="shared" ref="J133:J134" ca="1" si="186">+TODAY()-I133</f>
        <v>63</v>
      </c>
      <c r="K133" s="64">
        <f t="shared" ref="K133:K134" si="187">+U133</f>
        <v>46148</v>
      </c>
      <c r="L133" s="64" t="s">
        <v>84</v>
      </c>
      <c r="M133" s="64">
        <v>27000</v>
      </c>
      <c r="N133" s="64">
        <v>25000</v>
      </c>
      <c r="O133" s="65">
        <v>46121</v>
      </c>
      <c r="P133" s="64">
        <f t="shared" ref="P133:P134" si="188">+M133-N133</f>
        <v>2000</v>
      </c>
      <c r="Q133" s="64" t="s">
        <v>33</v>
      </c>
      <c r="R133" s="64" t="s">
        <v>78</v>
      </c>
      <c r="S133" s="64">
        <v>29800</v>
      </c>
      <c r="T133" s="64" t="s">
        <v>1326</v>
      </c>
      <c r="U133" s="65">
        <v>46148</v>
      </c>
      <c r="V133" s="64" t="s">
        <v>28</v>
      </c>
      <c r="W133" s="64">
        <f t="shared" ref="W133:W134" si="189">+S133-M133</f>
        <v>2800</v>
      </c>
      <c r="X133" s="64" t="s">
        <v>36</v>
      </c>
      <c r="Y133" s="64" t="s">
        <v>29</v>
      </c>
      <c r="Z133" s="71">
        <f t="shared" ref="Z133:Z134" si="190">+W133*100/M133</f>
        <v>10.37037037037037</v>
      </c>
      <c r="AA133" s="93"/>
    </row>
    <row r="134" spans="1:27">
      <c r="A134" s="64">
        <f>SUBTOTAL(3,C$2:C134)</f>
        <v>133</v>
      </c>
      <c r="B134" s="64" t="s">
        <v>30</v>
      </c>
      <c r="C134" s="64" t="s">
        <v>31</v>
      </c>
      <c r="D134" s="64" t="s">
        <v>32</v>
      </c>
      <c r="E134" s="64" t="s">
        <v>33</v>
      </c>
      <c r="F134" s="64" t="s">
        <v>283</v>
      </c>
      <c r="G134" s="91" t="s">
        <v>34</v>
      </c>
      <c r="H134" s="92">
        <v>17236</v>
      </c>
      <c r="I134" s="65">
        <v>46121</v>
      </c>
      <c r="J134" s="64">
        <f t="shared" ca="1" si="186"/>
        <v>63</v>
      </c>
      <c r="K134" s="64">
        <f t="shared" si="187"/>
        <v>46136</v>
      </c>
      <c r="L134" s="64" t="s">
        <v>47</v>
      </c>
      <c r="M134" s="64">
        <v>19000</v>
      </c>
      <c r="N134" s="64">
        <v>17000</v>
      </c>
      <c r="O134" s="65">
        <v>46121</v>
      </c>
      <c r="P134" s="64">
        <f t="shared" si="188"/>
        <v>2000</v>
      </c>
      <c r="Q134" s="65">
        <v>46141</v>
      </c>
      <c r="R134" s="64" t="s">
        <v>39</v>
      </c>
      <c r="S134" s="64">
        <v>21800</v>
      </c>
      <c r="T134" s="64" t="s">
        <v>808</v>
      </c>
      <c r="U134" s="65">
        <v>46136</v>
      </c>
      <c r="V134" s="64" t="s">
        <v>28</v>
      </c>
      <c r="W134" s="64">
        <f t="shared" si="189"/>
        <v>2800</v>
      </c>
      <c r="X134" s="64" t="s">
        <v>36</v>
      </c>
      <c r="Y134" s="64" t="s">
        <v>29</v>
      </c>
      <c r="Z134" s="71">
        <f t="shared" si="190"/>
        <v>14.736842105263158</v>
      </c>
      <c r="AA134" s="93"/>
    </row>
    <row r="135" spans="1:27">
      <c r="A135" s="64">
        <f>SUBTOTAL(3,C$2:C135)</f>
        <v>134</v>
      </c>
      <c r="B135" s="64" t="s">
        <v>30</v>
      </c>
      <c r="C135" s="64" t="s">
        <v>284</v>
      </c>
      <c r="D135" s="64" t="s">
        <v>32</v>
      </c>
      <c r="E135" s="64" t="s">
        <v>33</v>
      </c>
      <c r="F135" s="64" t="s">
        <v>285</v>
      </c>
      <c r="G135" s="91" t="s">
        <v>50</v>
      </c>
      <c r="H135" s="92">
        <v>17237</v>
      </c>
      <c r="I135" s="65">
        <v>46121</v>
      </c>
      <c r="J135" s="64">
        <f t="shared" ref="J135:J142" ca="1" si="191">+TODAY()-I135</f>
        <v>63</v>
      </c>
      <c r="K135" s="64">
        <f t="shared" ref="K135:K142" si="192">+U135</f>
        <v>46136</v>
      </c>
      <c r="L135" s="64" t="s">
        <v>97</v>
      </c>
      <c r="M135" s="64">
        <f>3000+44000</f>
        <v>47000</v>
      </c>
      <c r="N135" s="64">
        <v>40000</v>
      </c>
      <c r="O135" s="65">
        <v>46121</v>
      </c>
      <c r="P135" s="64">
        <f t="shared" ref="P135:P142" si="193">+M135-N135</f>
        <v>7000</v>
      </c>
      <c r="Q135" s="65">
        <v>46141</v>
      </c>
      <c r="R135" s="64" t="s">
        <v>52</v>
      </c>
      <c r="S135" s="64">
        <f>5000+48000</f>
        <v>53000</v>
      </c>
      <c r="T135" s="64" t="s">
        <v>813</v>
      </c>
      <c r="U135" s="65">
        <v>46136</v>
      </c>
      <c r="V135" s="64" t="s">
        <v>28</v>
      </c>
      <c r="W135" s="64">
        <f t="shared" ref="W135:W142" si="194">+S135-M135</f>
        <v>6000</v>
      </c>
      <c r="X135" s="64" t="s">
        <v>36</v>
      </c>
      <c r="Y135" s="64" t="s">
        <v>29</v>
      </c>
      <c r="Z135" s="71">
        <f t="shared" ref="Z135:Z142" si="195">+W135*100/M135</f>
        <v>12.76595744680851</v>
      </c>
      <c r="AA135" s="93"/>
    </row>
    <row r="136" spans="1:27">
      <c r="A136" s="64">
        <f>SUBTOTAL(3,C$2:C136)</f>
        <v>135</v>
      </c>
      <c r="B136" s="64" t="s">
        <v>30</v>
      </c>
      <c r="C136" s="64" t="s">
        <v>124</v>
      </c>
      <c r="D136" s="64" t="s">
        <v>32</v>
      </c>
      <c r="E136" s="64" t="s">
        <v>33</v>
      </c>
      <c r="F136" s="64" t="s">
        <v>122</v>
      </c>
      <c r="G136" s="91" t="s">
        <v>67</v>
      </c>
      <c r="H136" s="92">
        <v>17238</v>
      </c>
      <c r="I136" s="65">
        <v>46121</v>
      </c>
      <c r="J136" s="64">
        <f t="shared" ca="1" si="191"/>
        <v>63</v>
      </c>
      <c r="K136" s="64">
        <f t="shared" si="192"/>
        <v>46139</v>
      </c>
      <c r="L136" s="64" t="s">
        <v>97</v>
      </c>
      <c r="M136" s="64">
        <v>21500</v>
      </c>
      <c r="N136" s="64">
        <v>21500</v>
      </c>
      <c r="O136" s="65">
        <v>46121</v>
      </c>
      <c r="P136" s="64">
        <f t="shared" si="193"/>
        <v>0</v>
      </c>
      <c r="Q136" s="64" t="s">
        <v>33</v>
      </c>
      <c r="R136" s="64" t="s">
        <v>776</v>
      </c>
      <c r="S136" s="64">
        <v>25500</v>
      </c>
      <c r="T136" s="64" t="s">
        <v>825</v>
      </c>
      <c r="U136" s="65">
        <v>46139</v>
      </c>
      <c r="V136" s="64" t="s">
        <v>28</v>
      </c>
      <c r="W136" s="64">
        <f t="shared" si="194"/>
        <v>4000</v>
      </c>
      <c r="X136" s="64" t="s">
        <v>36</v>
      </c>
      <c r="Y136" s="64" t="s">
        <v>29</v>
      </c>
      <c r="Z136" s="71">
        <f t="shared" si="195"/>
        <v>18.604651162790699</v>
      </c>
      <c r="AA136" s="93"/>
    </row>
    <row r="137" spans="1:27">
      <c r="A137" s="64">
        <f>SUBTOTAL(3,C$2:C137)</f>
        <v>136</v>
      </c>
      <c r="B137" s="64" t="s">
        <v>30</v>
      </c>
      <c r="C137" s="64" t="s">
        <v>31</v>
      </c>
      <c r="D137" s="64" t="s">
        <v>32</v>
      </c>
      <c r="E137" s="64" t="s">
        <v>33</v>
      </c>
      <c r="F137" s="64" t="s">
        <v>297</v>
      </c>
      <c r="G137" s="91" t="s">
        <v>34</v>
      </c>
      <c r="H137" s="64">
        <v>17239</v>
      </c>
      <c r="I137" s="65">
        <v>46121</v>
      </c>
      <c r="J137" s="64">
        <f t="shared" ca="1" si="191"/>
        <v>63</v>
      </c>
      <c r="K137" s="64" t="str">
        <f t="shared" si="192"/>
        <v>Pending</v>
      </c>
      <c r="L137" s="64" t="s">
        <v>47</v>
      </c>
      <c r="M137" s="64">
        <v>19000</v>
      </c>
      <c r="N137" s="64">
        <v>17000</v>
      </c>
      <c r="O137" s="65">
        <v>46122</v>
      </c>
      <c r="P137" s="64">
        <f t="shared" si="193"/>
        <v>2000</v>
      </c>
      <c r="Q137" s="64" t="s">
        <v>33</v>
      </c>
      <c r="R137" s="64" t="s">
        <v>39</v>
      </c>
      <c r="S137" s="64">
        <v>21800</v>
      </c>
      <c r="T137" s="64" t="s">
        <v>33</v>
      </c>
      <c r="U137" s="65" t="s">
        <v>33</v>
      </c>
      <c r="V137" s="64" t="s">
        <v>28</v>
      </c>
      <c r="W137" s="64">
        <f t="shared" si="194"/>
        <v>2800</v>
      </c>
      <c r="X137" s="64" t="s">
        <v>36</v>
      </c>
      <c r="Y137" s="64" t="s">
        <v>29</v>
      </c>
      <c r="Z137" s="71">
        <f t="shared" si="195"/>
        <v>14.736842105263158</v>
      </c>
      <c r="AA137" s="93"/>
    </row>
    <row r="138" spans="1:27">
      <c r="A138" s="64">
        <f>SUBTOTAL(3,C$2:C138)</f>
        <v>137</v>
      </c>
      <c r="B138" s="64" t="s">
        <v>30</v>
      </c>
      <c r="C138" s="64" t="s">
        <v>31</v>
      </c>
      <c r="D138" s="64" t="s">
        <v>32</v>
      </c>
      <c r="E138" s="64" t="s">
        <v>33</v>
      </c>
      <c r="F138" s="64" t="s">
        <v>295</v>
      </c>
      <c r="G138" s="91" t="s">
        <v>34</v>
      </c>
      <c r="H138" s="92">
        <v>17240</v>
      </c>
      <c r="I138" s="65">
        <v>46121</v>
      </c>
      <c r="J138" s="64">
        <f t="shared" ref="J138:J141" ca="1" si="196">+TODAY()-I138</f>
        <v>63</v>
      </c>
      <c r="K138" s="64">
        <f t="shared" ref="K138:K141" si="197">+U138</f>
        <v>46127</v>
      </c>
      <c r="L138" s="64" t="s">
        <v>111</v>
      </c>
      <c r="M138" s="64">
        <v>11700</v>
      </c>
      <c r="N138" s="64">
        <v>10700</v>
      </c>
      <c r="O138" s="65">
        <v>46122</v>
      </c>
      <c r="P138" s="64">
        <f t="shared" ref="P138:P141" si="198">+M138-N138</f>
        <v>1000</v>
      </c>
      <c r="Q138" s="64" t="s">
        <v>33</v>
      </c>
      <c r="R138" s="64" t="s">
        <v>112</v>
      </c>
      <c r="S138" s="64">
        <v>13500</v>
      </c>
      <c r="T138" s="64" t="s">
        <v>827</v>
      </c>
      <c r="U138" s="65">
        <v>46127</v>
      </c>
      <c r="V138" s="64" t="s">
        <v>28</v>
      </c>
      <c r="W138" s="64">
        <f t="shared" ref="W138:W141" si="199">+S138-M138</f>
        <v>1800</v>
      </c>
      <c r="X138" s="64" t="s">
        <v>36</v>
      </c>
      <c r="Y138" s="64" t="s">
        <v>29</v>
      </c>
      <c r="Z138" s="71">
        <f t="shared" ref="Z138:Z141" si="200">+W138*100/M138</f>
        <v>15.384615384615385</v>
      </c>
      <c r="AA138" s="93"/>
    </row>
    <row r="139" spans="1:27">
      <c r="A139" s="64">
        <f>SUBTOTAL(3,C$2:C139)</f>
        <v>138</v>
      </c>
      <c r="B139" s="64" t="s">
        <v>30</v>
      </c>
      <c r="C139" s="64" t="s">
        <v>31</v>
      </c>
      <c r="D139" s="64" t="s">
        <v>32</v>
      </c>
      <c r="E139" s="64" t="s">
        <v>33</v>
      </c>
      <c r="F139" s="64" t="s">
        <v>298</v>
      </c>
      <c r="G139" s="91" t="s">
        <v>34</v>
      </c>
      <c r="H139" s="92">
        <v>17241</v>
      </c>
      <c r="I139" s="65">
        <v>46121</v>
      </c>
      <c r="J139" s="64">
        <f t="shared" ca="1" si="196"/>
        <v>63</v>
      </c>
      <c r="K139" s="64">
        <f t="shared" si="197"/>
        <v>46136</v>
      </c>
      <c r="L139" s="64" t="s">
        <v>47</v>
      </c>
      <c r="M139" s="64">
        <v>19000</v>
      </c>
      <c r="N139" s="64">
        <v>17000</v>
      </c>
      <c r="O139" s="65">
        <v>46122</v>
      </c>
      <c r="P139" s="64">
        <f t="shared" si="198"/>
        <v>2000</v>
      </c>
      <c r="Q139" s="65">
        <v>46141</v>
      </c>
      <c r="R139" s="64" t="s">
        <v>39</v>
      </c>
      <c r="S139" s="64">
        <v>21800</v>
      </c>
      <c r="T139" s="64" t="s">
        <v>808</v>
      </c>
      <c r="U139" s="65">
        <v>46136</v>
      </c>
      <c r="V139" s="64" t="s">
        <v>28</v>
      </c>
      <c r="W139" s="64">
        <f t="shared" si="199"/>
        <v>2800</v>
      </c>
      <c r="X139" s="64" t="s">
        <v>36</v>
      </c>
      <c r="Y139" s="64" t="s">
        <v>29</v>
      </c>
      <c r="Z139" s="71">
        <f t="shared" si="200"/>
        <v>14.736842105263158</v>
      </c>
      <c r="AA139" s="93"/>
    </row>
    <row r="140" spans="1:27">
      <c r="A140" s="64">
        <f>SUBTOTAL(3,C$2:C140)</f>
        <v>139</v>
      </c>
      <c r="B140" s="64" t="s">
        <v>30</v>
      </c>
      <c r="C140" s="64" t="s">
        <v>31</v>
      </c>
      <c r="D140" s="64" t="s">
        <v>32</v>
      </c>
      <c r="E140" s="64" t="s">
        <v>33</v>
      </c>
      <c r="F140" s="64" t="s">
        <v>125</v>
      </c>
      <c r="G140" s="91" t="s">
        <v>34</v>
      </c>
      <c r="H140" s="92">
        <v>17242</v>
      </c>
      <c r="I140" s="65">
        <v>46121</v>
      </c>
      <c r="J140" s="64">
        <f t="shared" ca="1" si="196"/>
        <v>63</v>
      </c>
      <c r="K140" s="64">
        <f t="shared" si="197"/>
        <v>46136</v>
      </c>
      <c r="L140" s="64" t="s">
        <v>47</v>
      </c>
      <c r="M140" s="64">
        <v>19000</v>
      </c>
      <c r="N140" s="64">
        <v>17000</v>
      </c>
      <c r="O140" s="65">
        <v>46122</v>
      </c>
      <c r="P140" s="64">
        <f t="shared" si="198"/>
        <v>2000</v>
      </c>
      <c r="Q140" s="65">
        <v>46141</v>
      </c>
      <c r="R140" s="64" t="s">
        <v>39</v>
      </c>
      <c r="S140" s="64">
        <v>21800</v>
      </c>
      <c r="T140" s="64" t="s">
        <v>808</v>
      </c>
      <c r="U140" s="65">
        <v>46136</v>
      </c>
      <c r="V140" s="64" t="s">
        <v>28</v>
      </c>
      <c r="W140" s="64">
        <f t="shared" si="199"/>
        <v>2800</v>
      </c>
      <c r="X140" s="64" t="s">
        <v>36</v>
      </c>
      <c r="Y140" s="64" t="s">
        <v>29</v>
      </c>
      <c r="Z140" s="71">
        <f t="shared" si="200"/>
        <v>14.736842105263158</v>
      </c>
      <c r="AA140" s="93"/>
    </row>
    <row r="141" spans="1:27">
      <c r="A141" s="64">
        <f>SUBTOTAL(3,C$2:C141)</f>
        <v>140</v>
      </c>
      <c r="B141" s="64" t="s">
        <v>30</v>
      </c>
      <c r="C141" s="64" t="s">
        <v>31</v>
      </c>
      <c r="D141" s="64" t="s">
        <v>32</v>
      </c>
      <c r="E141" s="64" t="s">
        <v>33</v>
      </c>
      <c r="F141" s="64" t="s">
        <v>191</v>
      </c>
      <c r="G141" s="91" t="s">
        <v>34</v>
      </c>
      <c r="H141" s="92">
        <v>17243</v>
      </c>
      <c r="I141" s="65">
        <v>46122</v>
      </c>
      <c r="J141" s="64">
        <f t="shared" ca="1" si="196"/>
        <v>62</v>
      </c>
      <c r="K141" s="64">
        <f t="shared" si="197"/>
        <v>46136</v>
      </c>
      <c r="L141" s="64" t="s">
        <v>47</v>
      </c>
      <c r="M141" s="64">
        <v>19000</v>
      </c>
      <c r="N141" s="64">
        <v>17000</v>
      </c>
      <c r="O141" s="65">
        <v>46122</v>
      </c>
      <c r="P141" s="64">
        <f t="shared" si="198"/>
        <v>2000</v>
      </c>
      <c r="Q141" s="65">
        <v>46141</v>
      </c>
      <c r="R141" s="64" t="s">
        <v>39</v>
      </c>
      <c r="S141" s="64">
        <v>21800</v>
      </c>
      <c r="T141" s="64" t="s">
        <v>808</v>
      </c>
      <c r="U141" s="65">
        <v>46136</v>
      </c>
      <c r="V141" s="64" t="s">
        <v>28</v>
      </c>
      <c r="W141" s="64">
        <f t="shared" si="199"/>
        <v>2800</v>
      </c>
      <c r="X141" s="64" t="s">
        <v>36</v>
      </c>
      <c r="Y141" s="64" t="s">
        <v>29</v>
      </c>
      <c r="Z141" s="71">
        <f t="shared" si="200"/>
        <v>14.736842105263158</v>
      </c>
      <c r="AA141" s="93"/>
    </row>
    <row r="142" spans="1:27">
      <c r="A142" s="64">
        <f>SUBTOTAL(3,C$2:C142)</f>
        <v>141</v>
      </c>
      <c r="B142" s="64" t="s">
        <v>30</v>
      </c>
      <c r="C142" s="64" t="s">
        <v>44</v>
      </c>
      <c r="D142" s="64" t="s">
        <v>32</v>
      </c>
      <c r="E142" s="64" t="s">
        <v>33</v>
      </c>
      <c r="F142" s="64" t="s">
        <v>296</v>
      </c>
      <c r="G142" s="91" t="s">
        <v>59</v>
      </c>
      <c r="H142" s="92">
        <v>17244</v>
      </c>
      <c r="I142" s="65">
        <v>46122</v>
      </c>
      <c r="J142" s="64">
        <f t="shared" ca="1" si="191"/>
        <v>62</v>
      </c>
      <c r="K142" s="64">
        <f t="shared" si="192"/>
        <v>46136</v>
      </c>
      <c r="L142" s="64" t="s">
        <v>127</v>
      </c>
      <c r="M142" s="64">
        <v>35000</v>
      </c>
      <c r="N142" s="64">
        <v>32000</v>
      </c>
      <c r="O142" s="65">
        <v>46122</v>
      </c>
      <c r="P142" s="64">
        <f t="shared" si="193"/>
        <v>3000</v>
      </c>
      <c r="Q142" s="65">
        <v>46141</v>
      </c>
      <c r="R142" s="64" t="s">
        <v>37</v>
      </c>
      <c r="S142" s="64">
        <v>38000</v>
      </c>
      <c r="T142" s="64" t="s">
        <v>817</v>
      </c>
      <c r="U142" s="65">
        <v>46136</v>
      </c>
      <c r="V142" s="64" t="s">
        <v>28</v>
      </c>
      <c r="W142" s="64">
        <f t="shared" si="194"/>
        <v>3000</v>
      </c>
      <c r="X142" s="64" t="s">
        <v>36</v>
      </c>
      <c r="Y142" s="64" t="s">
        <v>29</v>
      </c>
      <c r="Z142" s="71">
        <f t="shared" si="195"/>
        <v>8.5714285714285712</v>
      </c>
      <c r="AA142" s="93"/>
    </row>
    <row r="143" spans="1:27">
      <c r="A143" s="64">
        <f>SUBTOTAL(3,C$2:C143)</f>
        <v>142</v>
      </c>
      <c r="B143" s="64" t="s">
        <v>30</v>
      </c>
      <c r="C143" s="64" t="s">
        <v>31</v>
      </c>
      <c r="D143" s="64" t="s">
        <v>32</v>
      </c>
      <c r="E143" s="64" t="s">
        <v>33</v>
      </c>
      <c r="F143" s="64" t="s">
        <v>299</v>
      </c>
      <c r="G143" s="91" t="s">
        <v>34</v>
      </c>
      <c r="H143" s="92">
        <v>17245</v>
      </c>
      <c r="I143" s="65">
        <v>46122</v>
      </c>
      <c r="J143" s="64">
        <f t="shared" ref="J143" ca="1" si="201">+TODAY()-I143</f>
        <v>62</v>
      </c>
      <c r="K143" s="64">
        <f t="shared" ref="K143" si="202">+U143</f>
        <v>46136</v>
      </c>
      <c r="L143" s="64" t="s">
        <v>47</v>
      </c>
      <c r="M143" s="64">
        <v>19000</v>
      </c>
      <c r="N143" s="64">
        <v>17000</v>
      </c>
      <c r="O143" s="65">
        <v>46122</v>
      </c>
      <c r="P143" s="64">
        <f t="shared" ref="P143" si="203">+M143-N143</f>
        <v>2000</v>
      </c>
      <c r="Q143" s="65">
        <v>46141</v>
      </c>
      <c r="R143" s="64" t="s">
        <v>39</v>
      </c>
      <c r="S143" s="64">
        <v>21800</v>
      </c>
      <c r="T143" s="64" t="s">
        <v>808</v>
      </c>
      <c r="U143" s="65">
        <v>46136</v>
      </c>
      <c r="V143" s="64" t="s">
        <v>28</v>
      </c>
      <c r="W143" s="64">
        <f t="shared" ref="W143" si="204">+S143-M143</f>
        <v>2800</v>
      </c>
      <c r="X143" s="64" t="s">
        <v>36</v>
      </c>
      <c r="Y143" s="64" t="s">
        <v>29</v>
      </c>
      <c r="Z143" s="71">
        <f t="shared" ref="Z143" si="205">+W143*100/M143</f>
        <v>14.736842105263158</v>
      </c>
      <c r="AA143" s="93"/>
    </row>
    <row r="144" spans="1:27">
      <c r="A144" s="64">
        <f>SUBTOTAL(3,C$2:C144)</f>
        <v>143</v>
      </c>
      <c r="B144" s="64" t="s">
        <v>30</v>
      </c>
      <c r="C144" s="64" t="s">
        <v>31</v>
      </c>
      <c r="D144" s="64" t="s">
        <v>32</v>
      </c>
      <c r="E144" s="64" t="s">
        <v>33</v>
      </c>
      <c r="F144" s="64" t="s">
        <v>300</v>
      </c>
      <c r="G144" s="91" t="s">
        <v>34</v>
      </c>
      <c r="H144" s="92">
        <v>17246</v>
      </c>
      <c r="I144" s="65">
        <v>46122</v>
      </c>
      <c r="J144" s="64">
        <f t="shared" ref="J144:J146" ca="1" si="206">+TODAY()-I144</f>
        <v>62</v>
      </c>
      <c r="K144" s="64">
        <f t="shared" ref="K144:K146" si="207">+U144</f>
        <v>46136</v>
      </c>
      <c r="L144" s="64" t="s">
        <v>47</v>
      </c>
      <c r="M144" s="64">
        <v>19000</v>
      </c>
      <c r="N144" s="64">
        <v>17000</v>
      </c>
      <c r="O144" s="65">
        <v>46122</v>
      </c>
      <c r="P144" s="64">
        <f t="shared" ref="P144:P146" si="208">+M144-N144</f>
        <v>2000</v>
      </c>
      <c r="Q144" s="65">
        <v>46141</v>
      </c>
      <c r="R144" s="64" t="s">
        <v>39</v>
      </c>
      <c r="S144" s="64">
        <v>21800</v>
      </c>
      <c r="T144" s="64" t="s">
        <v>808</v>
      </c>
      <c r="U144" s="65">
        <v>46136</v>
      </c>
      <c r="V144" s="64" t="s">
        <v>28</v>
      </c>
      <c r="W144" s="64">
        <f t="shared" ref="W144:W146" si="209">+S144-M144</f>
        <v>2800</v>
      </c>
      <c r="X144" s="64" t="s">
        <v>36</v>
      </c>
      <c r="Y144" s="64" t="s">
        <v>29</v>
      </c>
      <c r="Z144" s="71">
        <f t="shared" ref="Z144:Z146" si="210">+W144*100/M144</f>
        <v>14.736842105263158</v>
      </c>
      <c r="AA144" s="93"/>
    </row>
    <row r="145" spans="1:27">
      <c r="A145" s="64">
        <f>SUBTOTAL(3,C$2:C145)</f>
        <v>144</v>
      </c>
      <c r="B145" s="64" t="s">
        <v>30</v>
      </c>
      <c r="C145" s="64" t="s">
        <v>44</v>
      </c>
      <c r="D145" s="64" t="s">
        <v>32</v>
      </c>
      <c r="E145" s="64" t="s">
        <v>33</v>
      </c>
      <c r="F145" s="64" t="s">
        <v>301</v>
      </c>
      <c r="G145" s="91">
        <v>407</v>
      </c>
      <c r="H145" s="92">
        <v>17247</v>
      </c>
      <c r="I145" s="65">
        <v>46122</v>
      </c>
      <c r="J145" s="64">
        <f t="shared" ca="1" si="206"/>
        <v>62</v>
      </c>
      <c r="K145" s="64">
        <f t="shared" si="207"/>
        <v>46148</v>
      </c>
      <c r="L145" s="64" t="s">
        <v>84</v>
      </c>
      <c r="M145" s="64">
        <v>27000</v>
      </c>
      <c r="N145" s="64">
        <v>25000</v>
      </c>
      <c r="O145" s="65">
        <v>46122</v>
      </c>
      <c r="P145" s="64">
        <f t="shared" si="208"/>
        <v>2000</v>
      </c>
      <c r="Q145" s="64" t="s">
        <v>33</v>
      </c>
      <c r="R145" s="64" t="s">
        <v>56</v>
      </c>
      <c r="S145" s="64">
        <v>29800</v>
      </c>
      <c r="T145" s="64" t="s">
        <v>1340</v>
      </c>
      <c r="U145" s="65">
        <v>46148</v>
      </c>
      <c r="V145" s="64" t="s">
        <v>28</v>
      </c>
      <c r="W145" s="64">
        <f t="shared" si="209"/>
        <v>2800</v>
      </c>
      <c r="X145" s="64" t="s">
        <v>36</v>
      </c>
      <c r="Y145" s="64" t="s">
        <v>29</v>
      </c>
      <c r="Z145" s="71">
        <f t="shared" si="210"/>
        <v>10.37037037037037</v>
      </c>
      <c r="AA145" s="93"/>
    </row>
    <row r="146" spans="1:27">
      <c r="A146" s="64">
        <f>SUBTOTAL(3,C$2:C146)</f>
        <v>145</v>
      </c>
      <c r="B146" s="64" t="s">
        <v>30</v>
      </c>
      <c r="C146" s="64" t="s">
        <v>76</v>
      </c>
      <c r="D146" s="64" t="s">
        <v>32</v>
      </c>
      <c r="E146" s="64" t="s">
        <v>33</v>
      </c>
      <c r="F146" s="64" t="s">
        <v>77</v>
      </c>
      <c r="G146" s="91" t="s">
        <v>67</v>
      </c>
      <c r="H146" s="92">
        <v>17248</v>
      </c>
      <c r="I146" s="65">
        <v>46122</v>
      </c>
      <c r="J146" s="64">
        <f t="shared" ca="1" si="206"/>
        <v>62</v>
      </c>
      <c r="K146" s="64">
        <f t="shared" si="207"/>
        <v>46136</v>
      </c>
      <c r="L146" s="64" t="s">
        <v>97</v>
      </c>
      <c r="M146" s="64">
        <f>38500+3000</f>
        <v>41500</v>
      </c>
      <c r="N146" s="64">
        <v>35500</v>
      </c>
      <c r="O146" s="65">
        <v>46122</v>
      </c>
      <c r="P146" s="64">
        <f t="shared" si="208"/>
        <v>6000</v>
      </c>
      <c r="Q146" s="65">
        <v>46141</v>
      </c>
      <c r="R146" s="64" t="s">
        <v>52</v>
      </c>
      <c r="S146" s="64">
        <f>5000+42000</f>
        <v>47000</v>
      </c>
      <c r="T146" s="64" t="s">
        <v>811</v>
      </c>
      <c r="U146" s="65">
        <v>46136</v>
      </c>
      <c r="V146" s="64" t="s">
        <v>28</v>
      </c>
      <c r="W146" s="64">
        <f t="shared" si="209"/>
        <v>5500</v>
      </c>
      <c r="X146" s="64" t="s">
        <v>36</v>
      </c>
      <c r="Y146" s="64" t="s">
        <v>29</v>
      </c>
      <c r="Z146" s="71">
        <f t="shared" si="210"/>
        <v>13.253012048192771</v>
      </c>
      <c r="AA146" s="93"/>
    </row>
    <row r="147" spans="1:27">
      <c r="A147" s="64">
        <f>SUBTOTAL(3,C$2:C147)</f>
        <v>146</v>
      </c>
      <c r="B147" s="64" t="s">
        <v>30</v>
      </c>
      <c r="C147" s="64" t="s">
        <v>44</v>
      </c>
      <c r="D147" s="64" t="s">
        <v>32</v>
      </c>
      <c r="E147" s="64" t="s">
        <v>33</v>
      </c>
      <c r="F147" s="64" t="s">
        <v>128</v>
      </c>
      <c r="G147" s="91" t="s">
        <v>46</v>
      </c>
      <c r="H147" s="92">
        <v>17249</v>
      </c>
      <c r="I147" s="65">
        <v>46121</v>
      </c>
      <c r="J147" s="64">
        <f t="shared" ref="J147:J148" ca="1" si="211">+TODAY()-I147</f>
        <v>63</v>
      </c>
      <c r="K147" s="64">
        <f t="shared" ref="K147:K148" si="212">+U147</f>
        <v>46163</v>
      </c>
      <c r="L147" s="64" t="s">
        <v>303</v>
      </c>
      <c r="M147" s="64">
        <v>14500</v>
      </c>
      <c r="N147" s="64">
        <v>13000</v>
      </c>
      <c r="O147" s="65">
        <v>46122</v>
      </c>
      <c r="P147" s="64">
        <f t="shared" ref="P147:P148" si="213">+M147-N147</f>
        <v>1500</v>
      </c>
      <c r="Q147" s="64" t="s">
        <v>33</v>
      </c>
      <c r="R147" s="64" t="s">
        <v>56</v>
      </c>
      <c r="S147" s="64">
        <v>17500</v>
      </c>
      <c r="T147" s="64" t="s">
        <v>2180</v>
      </c>
      <c r="U147" s="65">
        <v>46163</v>
      </c>
      <c r="V147" s="64" t="s">
        <v>28</v>
      </c>
      <c r="W147" s="64">
        <f t="shared" ref="W147:W148" si="214">+S147-M147</f>
        <v>3000</v>
      </c>
      <c r="X147" s="64" t="s">
        <v>36</v>
      </c>
      <c r="Y147" s="64" t="s">
        <v>29</v>
      </c>
      <c r="Z147" s="71">
        <f t="shared" ref="Z147:Z148" si="215">+W147*100/M147</f>
        <v>20.689655172413794</v>
      </c>
      <c r="AA147" s="93"/>
    </row>
    <row r="148" spans="1:27">
      <c r="A148" s="64">
        <f>SUBTOTAL(3,C$2:C148)</f>
        <v>147</v>
      </c>
      <c r="B148" s="64" t="s">
        <v>30</v>
      </c>
      <c r="C148" s="64" t="s">
        <v>31</v>
      </c>
      <c r="D148" s="64" t="s">
        <v>32</v>
      </c>
      <c r="E148" s="64" t="s">
        <v>33</v>
      </c>
      <c r="F148" s="64" t="s">
        <v>324</v>
      </c>
      <c r="G148" s="91" t="s">
        <v>34</v>
      </c>
      <c r="H148" s="92">
        <v>17250</v>
      </c>
      <c r="I148" s="65">
        <v>46122</v>
      </c>
      <c r="J148" s="64">
        <f t="shared" ca="1" si="211"/>
        <v>62</v>
      </c>
      <c r="K148" s="64">
        <f t="shared" si="212"/>
        <v>46136</v>
      </c>
      <c r="L148" s="64" t="s">
        <v>47</v>
      </c>
      <c r="M148" s="64">
        <v>19000</v>
      </c>
      <c r="N148" s="64">
        <v>17000</v>
      </c>
      <c r="O148" s="65">
        <v>46123</v>
      </c>
      <c r="P148" s="64">
        <f t="shared" si="213"/>
        <v>2000</v>
      </c>
      <c r="Q148" s="65">
        <v>46141</v>
      </c>
      <c r="R148" s="64" t="s">
        <v>39</v>
      </c>
      <c r="S148" s="64">
        <v>21800</v>
      </c>
      <c r="T148" s="64" t="s">
        <v>806</v>
      </c>
      <c r="U148" s="65">
        <v>46136</v>
      </c>
      <c r="V148" s="64" t="s">
        <v>28</v>
      </c>
      <c r="W148" s="64">
        <f t="shared" si="214"/>
        <v>2800</v>
      </c>
      <c r="X148" s="64" t="s">
        <v>36</v>
      </c>
      <c r="Y148" s="64" t="s">
        <v>29</v>
      </c>
      <c r="Z148" s="71">
        <f t="shared" si="215"/>
        <v>14.736842105263158</v>
      </c>
      <c r="AA148" s="93"/>
    </row>
    <row r="149" spans="1:27">
      <c r="A149" s="64">
        <f>SUBTOTAL(3,C$2:C149)</f>
        <v>148</v>
      </c>
      <c r="B149" s="64" t="s">
        <v>30</v>
      </c>
      <c r="C149" s="64" t="s">
        <v>31</v>
      </c>
      <c r="D149" s="64" t="s">
        <v>32</v>
      </c>
      <c r="E149" s="64" t="s">
        <v>33</v>
      </c>
      <c r="F149" s="64" t="s">
        <v>194</v>
      </c>
      <c r="G149" s="91" t="s">
        <v>34</v>
      </c>
      <c r="H149" s="92">
        <v>17251</v>
      </c>
      <c r="I149" s="65">
        <v>46123</v>
      </c>
      <c r="J149" s="64">
        <f t="shared" ref="J149:J150" ca="1" si="216">+TODAY()-I149</f>
        <v>61</v>
      </c>
      <c r="K149" s="64">
        <f t="shared" ref="K149:K150" si="217">+U149</f>
        <v>46136</v>
      </c>
      <c r="L149" s="64" t="s">
        <v>47</v>
      </c>
      <c r="M149" s="64">
        <v>19000</v>
      </c>
      <c r="N149" s="64">
        <v>17000</v>
      </c>
      <c r="O149" s="65">
        <v>46123</v>
      </c>
      <c r="P149" s="64">
        <f t="shared" ref="P149:P150" si="218">+M149-N149</f>
        <v>2000</v>
      </c>
      <c r="Q149" s="65">
        <v>46141</v>
      </c>
      <c r="R149" s="64" t="s">
        <v>39</v>
      </c>
      <c r="S149" s="64">
        <v>21800</v>
      </c>
      <c r="T149" s="64" t="s">
        <v>806</v>
      </c>
      <c r="U149" s="65">
        <v>46136</v>
      </c>
      <c r="V149" s="64" t="s">
        <v>28</v>
      </c>
      <c r="W149" s="64">
        <f t="shared" ref="W149:W150" si="219">+S149-M149</f>
        <v>2800</v>
      </c>
      <c r="X149" s="64" t="s">
        <v>36</v>
      </c>
      <c r="Y149" s="64" t="s">
        <v>29</v>
      </c>
      <c r="Z149" s="71">
        <f t="shared" ref="Z149:Z150" si="220">+W149*100/M149</f>
        <v>14.736842105263158</v>
      </c>
      <c r="AA149" s="93"/>
    </row>
    <row r="150" spans="1:27">
      <c r="A150" s="64">
        <f>SUBTOTAL(3,C$2:C150)</f>
        <v>149</v>
      </c>
      <c r="B150" s="64" t="s">
        <v>30</v>
      </c>
      <c r="C150" s="64" t="s">
        <v>31</v>
      </c>
      <c r="D150" s="64" t="s">
        <v>32</v>
      </c>
      <c r="E150" s="64" t="s">
        <v>33</v>
      </c>
      <c r="F150" s="64" t="s">
        <v>110</v>
      </c>
      <c r="G150" s="91" t="s">
        <v>34</v>
      </c>
      <c r="H150" s="64">
        <v>17253</v>
      </c>
      <c r="I150" s="65">
        <v>46123</v>
      </c>
      <c r="J150" s="64">
        <f t="shared" ca="1" si="216"/>
        <v>61</v>
      </c>
      <c r="K150" s="64" t="str">
        <f t="shared" si="217"/>
        <v>Pending</v>
      </c>
      <c r="L150" s="64" t="s">
        <v>111</v>
      </c>
      <c r="M150" s="64">
        <v>11700</v>
      </c>
      <c r="N150" s="64">
        <v>10700</v>
      </c>
      <c r="O150" s="65">
        <v>46123</v>
      </c>
      <c r="P150" s="64">
        <f t="shared" si="218"/>
        <v>1000</v>
      </c>
      <c r="Q150" s="64" t="s">
        <v>33</v>
      </c>
      <c r="R150" s="64" t="s">
        <v>112</v>
      </c>
      <c r="S150" s="64">
        <v>13500</v>
      </c>
      <c r="T150" s="64" t="s">
        <v>33</v>
      </c>
      <c r="U150" s="65" t="s">
        <v>33</v>
      </c>
      <c r="V150" s="64" t="s">
        <v>28</v>
      </c>
      <c r="W150" s="64">
        <f t="shared" si="219"/>
        <v>1800</v>
      </c>
      <c r="X150" s="64" t="s">
        <v>36</v>
      </c>
      <c r="Y150" s="64" t="s">
        <v>29</v>
      </c>
      <c r="Z150" s="71">
        <f t="shared" si="220"/>
        <v>15.384615384615385</v>
      </c>
      <c r="AA150" s="93"/>
    </row>
    <row r="151" spans="1:27">
      <c r="A151" s="64">
        <f>SUBTOTAL(3,C$2:C151)</f>
        <v>150</v>
      </c>
      <c r="B151" s="64" t="s">
        <v>30</v>
      </c>
      <c r="C151" s="64" t="s">
        <v>31</v>
      </c>
      <c r="D151" s="64" t="s">
        <v>32</v>
      </c>
      <c r="E151" s="64" t="s">
        <v>33</v>
      </c>
      <c r="F151" s="64" t="s">
        <v>147</v>
      </c>
      <c r="G151" s="91" t="s">
        <v>34</v>
      </c>
      <c r="H151" s="92">
        <v>17254</v>
      </c>
      <c r="I151" s="65">
        <v>46122</v>
      </c>
      <c r="J151" s="64">
        <f t="shared" ref="J151" ca="1" si="221">+TODAY()-I151</f>
        <v>62</v>
      </c>
      <c r="K151" s="64">
        <f t="shared" ref="K151" si="222">+U151</f>
        <v>46136</v>
      </c>
      <c r="L151" s="64" t="s">
        <v>47</v>
      </c>
      <c r="M151" s="64">
        <v>19000</v>
      </c>
      <c r="N151" s="64">
        <v>17000</v>
      </c>
      <c r="O151" s="65">
        <v>46123</v>
      </c>
      <c r="P151" s="64">
        <f t="shared" ref="P151" si="223">+M151-N151</f>
        <v>2000</v>
      </c>
      <c r="Q151" s="65">
        <v>46141</v>
      </c>
      <c r="R151" s="64" t="s">
        <v>39</v>
      </c>
      <c r="S151" s="64">
        <v>21800</v>
      </c>
      <c r="T151" s="64" t="s">
        <v>806</v>
      </c>
      <c r="U151" s="65">
        <v>46136</v>
      </c>
      <c r="V151" s="64" t="s">
        <v>28</v>
      </c>
      <c r="W151" s="64">
        <f t="shared" ref="W151" si="224">+S151-M151</f>
        <v>2800</v>
      </c>
      <c r="X151" s="64" t="s">
        <v>36</v>
      </c>
      <c r="Y151" s="64" t="s">
        <v>29</v>
      </c>
      <c r="Z151" s="71">
        <f t="shared" ref="Z151" si="225">+W151*100/M151</f>
        <v>14.736842105263158</v>
      </c>
      <c r="AA151" s="93"/>
    </row>
    <row r="152" spans="1:27">
      <c r="A152" s="64">
        <f>SUBTOTAL(3,C$2:C152)</f>
        <v>151</v>
      </c>
      <c r="B152" s="64" t="s">
        <v>30</v>
      </c>
      <c r="C152" s="64" t="s">
        <v>31</v>
      </c>
      <c r="D152" s="64" t="s">
        <v>32</v>
      </c>
      <c r="E152" s="64" t="s">
        <v>33</v>
      </c>
      <c r="F152" s="64" t="s">
        <v>325</v>
      </c>
      <c r="G152" s="91" t="s">
        <v>34</v>
      </c>
      <c r="H152" s="92">
        <v>17255</v>
      </c>
      <c r="I152" s="65">
        <v>46123</v>
      </c>
      <c r="J152" s="64">
        <f t="shared" ref="J152" ca="1" si="226">+TODAY()-I152</f>
        <v>61</v>
      </c>
      <c r="K152" s="64">
        <f t="shared" ref="K152" si="227">+U152</f>
        <v>46162</v>
      </c>
      <c r="L152" s="64" t="s">
        <v>47</v>
      </c>
      <c r="M152" s="64">
        <v>19000</v>
      </c>
      <c r="N152" s="64">
        <v>17000</v>
      </c>
      <c r="O152" s="65">
        <v>46123</v>
      </c>
      <c r="P152" s="64">
        <f t="shared" ref="P152" si="228">+M152-N152</f>
        <v>2000</v>
      </c>
      <c r="Q152" s="64" t="s">
        <v>33</v>
      </c>
      <c r="R152" s="64" t="s">
        <v>39</v>
      </c>
      <c r="S152" s="64">
        <v>21800</v>
      </c>
      <c r="T152" s="64" t="s">
        <v>2147</v>
      </c>
      <c r="U152" s="65">
        <v>46162</v>
      </c>
      <c r="V152" s="64" t="s">
        <v>28</v>
      </c>
      <c r="W152" s="64">
        <f t="shared" ref="W152" si="229">+S152-M152</f>
        <v>2800</v>
      </c>
      <c r="X152" s="64" t="s">
        <v>36</v>
      </c>
      <c r="Y152" s="64" t="s">
        <v>29</v>
      </c>
      <c r="Z152" s="71">
        <f t="shared" ref="Z152" si="230">+W152*100/M152</f>
        <v>14.736842105263158</v>
      </c>
      <c r="AA152" s="93"/>
    </row>
    <row r="153" spans="1:27">
      <c r="A153" s="64">
        <f>SUBTOTAL(3,C$2:C153)</f>
        <v>152</v>
      </c>
      <c r="B153" s="64" t="s">
        <v>30</v>
      </c>
      <c r="C153" s="64" t="s">
        <v>31</v>
      </c>
      <c r="D153" s="64" t="s">
        <v>32</v>
      </c>
      <c r="E153" s="64" t="s">
        <v>33</v>
      </c>
      <c r="F153" s="64" t="s">
        <v>326</v>
      </c>
      <c r="G153" s="91" t="s">
        <v>34</v>
      </c>
      <c r="H153" s="92">
        <v>17256</v>
      </c>
      <c r="I153" s="65">
        <v>46123</v>
      </c>
      <c r="J153" s="64">
        <f t="shared" ref="J153:J155" ca="1" si="231">+TODAY()-I153</f>
        <v>61</v>
      </c>
      <c r="K153" s="64">
        <f t="shared" ref="K153:K155" si="232">+U153</f>
        <v>46136</v>
      </c>
      <c r="L153" s="64" t="s">
        <v>47</v>
      </c>
      <c r="M153" s="64">
        <v>19000</v>
      </c>
      <c r="N153" s="64">
        <v>17000</v>
      </c>
      <c r="O153" s="65">
        <v>46123</v>
      </c>
      <c r="P153" s="64">
        <f t="shared" ref="P153:P155" si="233">+M153-N153</f>
        <v>2000</v>
      </c>
      <c r="Q153" s="65">
        <v>46141</v>
      </c>
      <c r="R153" s="64" t="s">
        <v>39</v>
      </c>
      <c r="S153" s="64">
        <v>21800</v>
      </c>
      <c r="T153" s="64" t="s">
        <v>806</v>
      </c>
      <c r="U153" s="65">
        <v>46136</v>
      </c>
      <c r="V153" s="64" t="s">
        <v>28</v>
      </c>
      <c r="W153" s="64">
        <f t="shared" ref="W153:W155" si="234">+S153-M153</f>
        <v>2800</v>
      </c>
      <c r="X153" s="64" t="s">
        <v>36</v>
      </c>
      <c r="Y153" s="64" t="s">
        <v>29</v>
      </c>
      <c r="Z153" s="71">
        <f t="shared" ref="Z153:Z155" si="235">+W153*100/M153</f>
        <v>14.736842105263158</v>
      </c>
      <c r="AA153" s="93"/>
    </row>
    <row r="154" spans="1:27">
      <c r="A154" s="64">
        <f>SUBTOTAL(3,C$2:C154)</f>
        <v>153</v>
      </c>
      <c r="B154" s="64" t="s">
        <v>30</v>
      </c>
      <c r="C154" s="64" t="s">
        <v>328</v>
      </c>
      <c r="D154" s="64" t="s">
        <v>32</v>
      </c>
      <c r="E154" s="64" t="s">
        <v>33</v>
      </c>
      <c r="F154" s="64" t="s">
        <v>329</v>
      </c>
      <c r="G154" s="91" t="s">
        <v>50</v>
      </c>
      <c r="H154" s="92">
        <v>17257</v>
      </c>
      <c r="I154" s="65">
        <v>46123</v>
      </c>
      <c r="J154" s="64">
        <f t="shared" ca="1" si="231"/>
        <v>61</v>
      </c>
      <c r="K154" s="64">
        <f t="shared" si="232"/>
        <v>46147</v>
      </c>
      <c r="L154" s="64" t="s">
        <v>239</v>
      </c>
      <c r="M154" s="64">
        <f>3000+44000</f>
        <v>47000</v>
      </c>
      <c r="N154" s="64">
        <v>40000</v>
      </c>
      <c r="O154" s="65">
        <v>46123</v>
      </c>
      <c r="P154" s="64">
        <f t="shared" si="233"/>
        <v>7000</v>
      </c>
      <c r="Q154" s="64" t="s">
        <v>33</v>
      </c>
      <c r="R154" s="64" t="s">
        <v>52</v>
      </c>
      <c r="S154" s="64">
        <f>5000+48000</f>
        <v>53000</v>
      </c>
      <c r="T154" s="64" t="s">
        <v>1321</v>
      </c>
      <c r="U154" s="65">
        <v>46147</v>
      </c>
      <c r="V154" s="64" t="s">
        <v>28</v>
      </c>
      <c r="W154" s="64">
        <f t="shared" si="234"/>
        <v>6000</v>
      </c>
      <c r="X154" s="64" t="s">
        <v>36</v>
      </c>
      <c r="Y154" s="64" t="s">
        <v>29</v>
      </c>
      <c r="Z154" s="71">
        <f t="shared" si="235"/>
        <v>12.76595744680851</v>
      </c>
      <c r="AA154" s="93"/>
    </row>
    <row r="155" spans="1:27">
      <c r="A155" s="64">
        <f>SUBTOTAL(3,C$2:C155)</f>
        <v>154</v>
      </c>
      <c r="B155" s="64" t="s">
        <v>30</v>
      </c>
      <c r="C155" s="64" t="s">
        <v>216</v>
      </c>
      <c r="D155" s="64" t="s">
        <v>32</v>
      </c>
      <c r="E155" s="64" t="s">
        <v>33</v>
      </c>
      <c r="F155" s="64" t="s">
        <v>330</v>
      </c>
      <c r="G155" s="91" t="s">
        <v>50</v>
      </c>
      <c r="H155" s="92">
        <v>17258</v>
      </c>
      <c r="I155" s="65">
        <v>46123</v>
      </c>
      <c r="J155" s="64">
        <f t="shared" ca="1" si="231"/>
        <v>61</v>
      </c>
      <c r="K155" s="64">
        <f t="shared" si="232"/>
        <v>46147</v>
      </c>
      <c r="L155" s="64" t="s">
        <v>219</v>
      </c>
      <c r="M155" s="64">
        <v>44000</v>
      </c>
      <c r="N155" s="64">
        <v>40000</v>
      </c>
      <c r="O155" s="65">
        <v>46123</v>
      </c>
      <c r="P155" s="64">
        <f t="shared" si="233"/>
        <v>4000</v>
      </c>
      <c r="Q155" s="64" t="s">
        <v>33</v>
      </c>
      <c r="R155" s="64" t="s">
        <v>52</v>
      </c>
      <c r="S155" s="64">
        <v>48000</v>
      </c>
      <c r="T155" s="64" t="s">
        <v>1321</v>
      </c>
      <c r="U155" s="65">
        <v>46147</v>
      </c>
      <c r="V155" s="64" t="s">
        <v>28</v>
      </c>
      <c r="W155" s="64">
        <f t="shared" si="234"/>
        <v>4000</v>
      </c>
      <c r="X155" s="64" t="s">
        <v>36</v>
      </c>
      <c r="Y155" s="64" t="s">
        <v>29</v>
      </c>
      <c r="Z155" s="71">
        <f t="shared" si="235"/>
        <v>9.0909090909090917</v>
      </c>
      <c r="AA155" s="93"/>
    </row>
    <row r="156" spans="1:27">
      <c r="A156" s="64">
        <f>SUBTOTAL(3,C$2:C156)</f>
        <v>155</v>
      </c>
      <c r="B156" s="64" t="s">
        <v>30</v>
      </c>
      <c r="C156" s="64" t="s">
        <v>31</v>
      </c>
      <c r="D156" s="64" t="s">
        <v>32</v>
      </c>
      <c r="E156" s="64" t="s">
        <v>33</v>
      </c>
      <c r="F156" s="64" t="s">
        <v>327</v>
      </c>
      <c r="G156" s="91" t="s">
        <v>34</v>
      </c>
      <c r="H156" s="92">
        <v>17259</v>
      </c>
      <c r="I156" s="65">
        <v>46123</v>
      </c>
      <c r="J156" s="64">
        <f t="shared" ref="J156" ca="1" si="236">+TODAY()-I156</f>
        <v>61</v>
      </c>
      <c r="K156" s="64">
        <f t="shared" ref="K156" si="237">+U156</f>
        <v>46136</v>
      </c>
      <c r="L156" s="64" t="s">
        <v>47</v>
      </c>
      <c r="M156" s="64">
        <v>19000</v>
      </c>
      <c r="N156" s="64">
        <v>17000</v>
      </c>
      <c r="O156" s="65">
        <v>46123</v>
      </c>
      <c r="P156" s="64">
        <f t="shared" ref="P156" si="238">+M156-N156</f>
        <v>2000</v>
      </c>
      <c r="Q156" s="65">
        <v>46141</v>
      </c>
      <c r="R156" s="64" t="s">
        <v>39</v>
      </c>
      <c r="S156" s="64">
        <v>21800</v>
      </c>
      <c r="T156" s="64" t="s">
        <v>806</v>
      </c>
      <c r="U156" s="65">
        <v>46136</v>
      </c>
      <c r="V156" s="64" t="s">
        <v>28</v>
      </c>
      <c r="W156" s="64">
        <f t="shared" ref="W156" si="239">+S156-M156</f>
        <v>2800</v>
      </c>
      <c r="X156" s="64" t="s">
        <v>36</v>
      </c>
      <c r="Y156" s="64" t="s">
        <v>29</v>
      </c>
      <c r="Z156" s="71">
        <f t="shared" ref="Z156" si="240">+W156*100/M156</f>
        <v>14.736842105263158</v>
      </c>
      <c r="AA156" s="93"/>
    </row>
    <row r="157" spans="1:27">
      <c r="A157" s="64">
        <f>SUBTOTAL(3,C$2:C157)</f>
        <v>156</v>
      </c>
      <c r="B157" s="64" t="s">
        <v>30</v>
      </c>
      <c r="C157" s="64" t="s">
        <v>44</v>
      </c>
      <c r="D157" s="64" t="s">
        <v>32</v>
      </c>
      <c r="E157" s="64" t="s">
        <v>33</v>
      </c>
      <c r="F157" s="64" t="s">
        <v>331</v>
      </c>
      <c r="G157" s="91" t="s">
        <v>59</v>
      </c>
      <c r="H157" s="92">
        <v>17260</v>
      </c>
      <c r="I157" s="65">
        <v>46123</v>
      </c>
      <c r="J157" s="64">
        <f t="shared" ref="J157" ca="1" si="241">+TODAY()-I157</f>
        <v>61</v>
      </c>
      <c r="K157" s="64">
        <f t="shared" ref="K157" si="242">+U157</f>
        <v>46136</v>
      </c>
      <c r="L157" s="64" t="s">
        <v>127</v>
      </c>
      <c r="M157" s="64">
        <v>35000</v>
      </c>
      <c r="N157" s="64">
        <v>32000</v>
      </c>
      <c r="O157" s="65">
        <v>46123</v>
      </c>
      <c r="P157" s="64">
        <f t="shared" ref="P157" si="243">+M157-N157</f>
        <v>3000</v>
      </c>
      <c r="Q157" s="65">
        <v>46141</v>
      </c>
      <c r="R157" s="64" t="s">
        <v>37</v>
      </c>
      <c r="S157" s="64">
        <v>38000</v>
      </c>
      <c r="T157" s="64" t="s">
        <v>817</v>
      </c>
      <c r="U157" s="65">
        <v>46136</v>
      </c>
      <c r="V157" s="64" t="s">
        <v>28</v>
      </c>
      <c r="W157" s="64">
        <f t="shared" ref="W157" si="244">+S157-M157</f>
        <v>3000</v>
      </c>
      <c r="X157" s="64" t="s">
        <v>36</v>
      </c>
      <c r="Y157" s="64" t="s">
        <v>29</v>
      </c>
      <c r="Z157" s="71">
        <f t="shared" ref="Z157" si="245">+W157*100/M157</f>
        <v>8.5714285714285712</v>
      </c>
      <c r="AA157" s="93"/>
    </row>
    <row r="158" spans="1:27">
      <c r="A158" s="64">
        <f>SUBTOTAL(3,C$2:C158)</f>
        <v>157</v>
      </c>
      <c r="B158" s="64" t="s">
        <v>30</v>
      </c>
      <c r="C158" s="64" t="s">
        <v>44</v>
      </c>
      <c r="D158" s="64" t="s">
        <v>32</v>
      </c>
      <c r="E158" s="64" t="s">
        <v>33</v>
      </c>
      <c r="F158" s="64" t="s">
        <v>332</v>
      </c>
      <c r="G158" s="91">
        <v>407</v>
      </c>
      <c r="H158" s="92">
        <v>17261</v>
      </c>
      <c r="I158" s="65">
        <v>46123</v>
      </c>
      <c r="J158" s="64">
        <f t="shared" ref="J158" ca="1" si="246">+TODAY()-I158</f>
        <v>61</v>
      </c>
      <c r="K158" s="64">
        <f t="shared" ref="K158" si="247">+U158</f>
        <v>46148</v>
      </c>
      <c r="L158" s="64" t="s">
        <v>84</v>
      </c>
      <c r="M158" s="64">
        <v>27000</v>
      </c>
      <c r="N158" s="64">
        <v>25000</v>
      </c>
      <c r="O158" s="65">
        <v>46123</v>
      </c>
      <c r="P158" s="64">
        <f t="shared" ref="P158" si="248">+M158-N158</f>
        <v>2000</v>
      </c>
      <c r="Q158" s="64" t="s">
        <v>33</v>
      </c>
      <c r="R158" s="64" t="s">
        <v>56</v>
      </c>
      <c r="S158" s="64">
        <v>29800</v>
      </c>
      <c r="T158" s="64" t="s">
        <v>1340</v>
      </c>
      <c r="U158" s="65">
        <v>46148</v>
      </c>
      <c r="V158" s="64" t="s">
        <v>28</v>
      </c>
      <c r="W158" s="64">
        <f t="shared" ref="W158" si="249">+S158-M158</f>
        <v>2800</v>
      </c>
      <c r="X158" s="64" t="s">
        <v>36</v>
      </c>
      <c r="Y158" s="64" t="s">
        <v>29</v>
      </c>
      <c r="Z158" s="71">
        <f t="shared" ref="Z158" si="250">+W158*100/M158</f>
        <v>10.37037037037037</v>
      </c>
      <c r="AA158" s="93"/>
    </row>
    <row r="159" spans="1:27">
      <c r="A159" s="64">
        <f>SUBTOTAL(3,C$2:C159)</f>
        <v>158</v>
      </c>
      <c r="B159" s="64" t="s">
        <v>30</v>
      </c>
      <c r="C159" s="64" t="s">
        <v>44</v>
      </c>
      <c r="D159" s="64" t="s">
        <v>32</v>
      </c>
      <c r="E159" s="64" t="s">
        <v>33</v>
      </c>
      <c r="F159" s="64" t="s">
        <v>186</v>
      </c>
      <c r="G159" s="91" t="s">
        <v>67</v>
      </c>
      <c r="H159" s="92">
        <v>17262</v>
      </c>
      <c r="I159" s="65">
        <v>46122</v>
      </c>
      <c r="J159" s="64">
        <f t="shared" ref="J159:J167" ca="1" si="251">+TODAY()-I159</f>
        <v>62</v>
      </c>
      <c r="K159" s="64">
        <f t="shared" ref="K159:K167" si="252">+U159</f>
        <v>46139</v>
      </c>
      <c r="L159" s="64" t="s">
        <v>333</v>
      </c>
      <c r="M159" s="64">
        <v>21500</v>
      </c>
      <c r="N159" s="64">
        <v>21500</v>
      </c>
      <c r="O159" s="65">
        <v>46123</v>
      </c>
      <c r="P159" s="64">
        <f t="shared" ref="P159:P165" si="253">+M159-N159</f>
        <v>0</v>
      </c>
      <c r="Q159" s="64" t="s">
        <v>33</v>
      </c>
      <c r="R159" s="64" t="s">
        <v>78</v>
      </c>
      <c r="S159" s="64">
        <v>25500</v>
      </c>
      <c r="T159" s="64" t="s">
        <v>825</v>
      </c>
      <c r="U159" s="65">
        <v>46139</v>
      </c>
      <c r="V159" s="64" t="s">
        <v>28</v>
      </c>
      <c r="W159" s="64">
        <f t="shared" ref="W159:W167" si="254">+S159-M159</f>
        <v>4000</v>
      </c>
      <c r="X159" s="64" t="s">
        <v>36</v>
      </c>
      <c r="Y159" s="64" t="s">
        <v>29</v>
      </c>
      <c r="Z159" s="71">
        <f t="shared" ref="Z159:Z167" si="255">+W159*100/M159</f>
        <v>18.604651162790699</v>
      </c>
      <c r="AA159" s="93"/>
    </row>
    <row r="160" spans="1:27">
      <c r="A160" s="64">
        <f>SUBTOTAL(3,C$2:C160)</f>
        <v>159</v>
      </c>
      <c r="B160" s="64" t="s">
        <v>30</v>
      </c>
      <c r="C160" s="64" t="s">
        <v>31</v>
      </c>
      <c r="D160" s="64" t="s">
        <v>32</v>
      </c>
      <c r="E160" s="64" t="s">
        <v>33</v>
      </c>
      <c r="F160" s="64" t="s">
        <v>346</v>
      </c>
      <c r="G160" s="91" t="s">
        <v>34</v>
      </c>
      <c r="H160" s="92">
        <v>17263</v>
      </c>
      <c r="I160" s="65">
        <v>46123</v>
      </c>
      <c r="J160" s="64">
        <f t="shared" ca="1" si="251"/>
        <v>61</v>
      </c>
      <c r="K160" s="64">
        <f t="shared" si="252"/>
        <v>46136</v>
      </c>
      <c r="L160" s="64" t="s">
        <v>47</v>
      </c>
      <c r="M160" s="64">
        <v>19000</v>
      </c>
      <c r="N160" s="64">
        <v>17000</v>
      </c>
      <c r="O160" s="65">
        <v>46125</v>
      </c>
      <c r="P160" s="64">
        <f t="shared" si="253"/>
        <v>2000</v>
      </c>
      <c r="Q160" s="65">
        <v>46141</v>
      </c>
      <c r="R160" s="64" t="s">
        <v>39</v>
      </c>
      <c r="S160" s="64">
        <v>21800</v>
      </c>
      <c r="T160" s="64" t="s">
        <v>806</v>
      </c>
      <c r="U160" s="65">
        <v>46136</v>
      </c>
      <c r="V160" s="64" t="s">
        <v>28</v>
      </c>
      <c r="W160" s="64">
        <f t="shared" si="254"/>
        <v>2800</v>
      </c>
      <c r="X160" s="64" t="s">
        <v>36</v>
      </c>
      <c r="Y160" s="64" t="s">
        <v>29</v>
      </c>
      <c r="Z160" s="71">
        <f t="shared" si="255"/>
        <v>14.736842105263158</v>
      </c>
      <c r="AA160" s="93"/>
    </row>
    <row r="161" spans="1:27">
      <c r="A161" s="64">
        <f>SUBTOTAL(3,C$2:C161)</f>
        <v>160</v>
      </c>
      <c r="B161" s="64" t="s">
        <v>30</v>
      </c>
      <c r="C161" s="64" t="s">
        <v>31</v>
      </c>
      <c r="D161" s="64" t="s">
        <v>32</v>
      </c>
      <c r="E161" s="64" t="s">
        <v>33</v>
      </c>
      <c r="F161" s="64" t="s">
        <v>347</v>
      </c>
      <c r="G161" s="91" t="s">
        <v>34</v>
      </c>
      <c r="H161" s="92">
        <v>17264</v>
      </c>
      <c r="I161" s="65">
        <v>46123</v>
      </c>
      <c r="J161" s="64">
        <f t="shared" ca="1" si="251"/>
        <v>61</v>
      </c>
      <c r="K161" s="64">
        <f t="shared" si="252"/>
        <v>46136</v>
      </c>
      <c r="L161" s="64" t="s">
        <v>47</v>
      </c>
      <c r="M161" s="64">
        <v>19000</v>
      </c>
      <c r="N161" s="64">
        <v>17000</v>
      </c>
      <c r="O161" s="65">
        <v>46125</v>
      </c>
      <c r="P161" s="64">
        <f t="shared" si="253"/>
        <v>2000</v>
      </c>
      <c r="Q161" s="65">
        <v>46141</v>
      </c>
      <c r="R161" s="64" t="s">
        <v>39</v>
      </c>
      <c r="S161" s="64">
        <v>21800</v>
      </c>
      <c r="T161" s="64" t="s">
        <v>806</v>
      </c>
      <c r="U161" s="65">
        <v>46136</v>
      </c>
      <c r="V161" s="64" t="s">
        <v>28</v>
      </c>
      <c r="W161" s="64">
        <f t="shared" si="254"/>
        <v>2800</v>
      </c>
      <c r="X161" s="64" t="s">
        <v>36</v>
      </c>
      <c r="Y161" s="64" t="s">
        <v>29</v>
      </c>
      <c r="Z161" s="71">
        <f t="shared" si="255"/>
        <v>14.736842105263158</v>
      </c>
      <c r="AA161" s="93"/>
    </row>
    <row r="162" spans="1:27">
      <c r="A162" s="64">
        <f>SUBTOTAL(3,C$2:C162)</f>
        <v>161</v>
      </c>
      <c r="B162" s="64" t="s">
        <v>30</v>
      </c>
      <c r="C162" s="64" t="s">
        <v>124</v>
      </c>
      <c r="D162" s="64" t="s">
        <v>32</v>
      </c>
      <c r="E162" s="64" t="s">
        <v>33</v>
      </c>
      <c r="F162" s="64" t="s">
        <v>122</v>
      </c>
      <c r="G162" s="91" t="s">
        <v>67</v>
      </c>
      <c r="H162" s="92">
        <v>17265</v>
      </c>
      <c r="I162" s="65">
        <v>46123</v>
      </c>
      <c r="J162" s="64">
        <f t="shared" ref="J162:J163" ca="1" si="256">+TODAY()-I162</f>
        <v>61</v>
      </c>
      <c r="K162" s="64">
        <f t="shared" ref="K162:K163" si="257">+U162</f>
        <v>46148</v>
      </c>
      <c r="L162" s="64" t="s">
        <v>97</v>
      </c>
      <c r="M162" s="64">
        <v>38500</v>
      </c>
      <c r="N162" s="64">
        <f>35500-10000</f>
        <v>25500</v>
      </c>
      <c r="O162" s="65">
        <v>46125</v>
      </c>
      <c r="P162" s="64">
        <f>+M162-N162-10000</f>
        <v>3000</v>
      </c>
      <c r="Q162" s="64" t="s">
        <v>33</v>
      </c>
      <c r="R162" s="64" t="s">
        <v>52</v>
      </c>
      <c r="S162" s="64">
        <v>42000</v>
      </c>
      <c r="T162" s="64" t="s">
        <v>1323</v>
      </c>
      <c r="U162" s="65">
        <v>46148</v>
      </c>
      <c r="V162" s="64" t="s">
        <v>28</v>
      </c>
      <c r="W162" s="64">
        <f t="shared" ref="W162:W163" si="258">+S162-M162</f>
        <v>3500</v>
      </c>
      <c r="X162" s="64" t="s">
        <v>36</v>
      </c>
      <c r="Y162" s="64" t="s">
        <v>29</v>
      </c>
      <c r="Z162" s="71">
        <f t="shared" ref="Z162:Z163" si="259">+W162*100/M162</f>
        <v>9.0909090909090917</v>
      </c>
      <c r="AA162" s="93"/>
    </row>
    <row r="163" spans="1:27">
      <c r="A163" s="64">
        <f>SUBTOTAL(3,C$2:C163)</f>
        <v>162</v>
      </c>
      <c r="B163" s="64" t="s">
        <v>30</v>
      </c>
      <c r="C163" s="64" t="s">
        <v>31</v>
      </c>
      <c r="D163" s="64" t="s">
        <v>32</v>
      </c>
      <c r="E163" s="64" t="s">
        <v>33</v>
      </c>
      <c r="F163" s="64" t="s">
        <v>342</v>
      </c>
      <c r="G163" s="91" t="s">
        <v>34</v>
      </c>
      <c r="H163" s="64">
        <v>17266</v>
      </c>
      <c r="I163" s="65">
        <v>46124</v>
      </c>
      <c r="J163" s="64">
        <f t="shared" ca="1" si="256"/>
        <v>60</v>
      </c>
      <c r="K163" s="64" t="str">
        <f t="shared" si="257"/>
        <v>Pending</v>
      </c>
      <c r="L163" s="64" t="s">
        <v>111</v>
      </c>
      <c r="M163" s="64">
        <v>11700</v>
      </c>
      <c r="N163" s="64">
        <v>10700</v>
      </c>
      <c r="O163" s="65">
        <v>46125</v>
      </c>
      <c r="P163" s="64">
        <f t="shared" ref="P163" si="260">+M163-N163</f>
        <v>1000</v>
      </c>
      <c r="Q163" s="64" t="s">
        <v>33</v>
      </c>
      <c r="R163" s="64" t="s">
        <v>112</v>
      </c>
      <c r="S163" s="64">
        <v>13500</v>
      </c>
      <c r="T163" s="64" t="s">
        <v>33</v>
      </c>
      <c r="U163" s="65" t="s">
        <v>33</v>
      </c>
      <c r="V163" s="64" t="s">
        <v>28</v>
      </c>
      <c r="W163" s="64">
        <f t="shared" si="258"/>
        <v>1800</v>
      </c>
      <c r="X163" s="64" t="s">
        <v>36</v>
      </c>
      <c r="Y163" s="64" t="s">
        <v>29</v>
      </c>
      <c r="Z163" s="71">
        <f t="shared" si="259"/>
        <v>15.384615384615385</v>
      </c>
      <c r="AA163" s="93"/>
    </row>
    <row r="164" spans="1:27">
      <c r="A164" s="64">
        <f>SUBTOTAL(3,C$2:C164)</f>
        <v>163</v>
      </c>
      <c r="B164" s="64" t="s">
        <v>30</v>
      </c>
      <c r="C164" s="64" t="s">
        <v>31</v>
      </c>
      <c r="D164" s="64" t="s">
        <v>32</v>
      </c>
      <c r="E164" s="64" t="s">
        <v>33</v>
      </c>
      <c r="F164" s="64" t="s">
        <v>92</v>
      </c>
      <c r="G164" s="91" t="s">
        <v>34</v>
      </c>
      <c r="H164" s="92">
        <v>17267</v>
      </c>
      <c r="I164" s="65">
        <v>46123</v>
      </c>
      <c r="J164" s="64">
        <f t="shared" ca="1" si="251"/>
        <v>61</v>
      </c>
      <c r="K164" s="64">
        <f t="shared" si="252"/>
        <v>46163</v>
      </c>
      <c r="L164" s="64" t="s">
        <v>47</v>
      </c>
      <c r="M164" s="64">
        <v>19000</v>
      </c>
      <c r="N164" s="64">
        <v>17000</v>
      </c>
      <c r="O164" s="65">
        <v>46125</v>
      </c>
      <c r="P164" s="64">
        <f t="shared" si="253"/>
        <v>2000</v>
      </c>
      <c r="Q164" s="64" t="s">
        <v>33</v>
      </c>
      <c r="R164" s="64" t="s">
        <v>39</v>
      </c>
      <c r="S164" s="64">
        <v>21800</v>
      </c>
      <c r="T164" s="64" t="s">
        <v>2188</v>
      </c>
      <c r="U164" s="65">
        <v>46163</v>
      </c>
      <c r="V164" s="64" t="s">
        <v>28</v>
      </c>
      <c r="W164" s="64">
        <f t="shared" si="254"/>
        <v>2800</v>
      </c>
      <c r="X164" s="64" t="s">
        <v>36</v>
      </c>
      <c r="Y164" s="64" t="s">
        <v>29</v>
      </c>
      <c r="Z164" s="71">
        <f t="shared" si="255"/>
        <v>14.736842105263158</v>
      </c>
      <c r="AA164" s="93"/>
    </row>
    <row r="165" spans="1:27">
      <c r="A165" s="64">
        <f>SUBTOTAL(3,C$2:C165)</f>
        <v>164</v>
      </c>
      <c r="B165" s="64" t="s">
        <v>30</v>
      </c>
      <c r="C165" s="64" t="s">
        <v>31</v>
      </c>
      <c r="D165" s="64" t="s">
        <v>32</v>
      </c>
      <c r="E165" s="64" t="s">
        <v>33</v>
      </c>
      <c r="F165" s="64" t="s">
        <v>348</v>
      </c>
      <c r="G165" s="91" t="s">
        <v>34</v>
      </c>
      <c r="H165" s="92">
        <v>17268</v>
      </c>
      <c r="I165" s="65">
        <v>46124</v>
      </c>
      <c r="J165" s="64">
        <f t="shared" ca="1" si="251"/>
        <v>60</v>
      </c>
      <c r="K165" s="64">
        <f t="shared" si="252"/>
        <v>46163</v>
      </c>
      <c r="L165" s="64" t="s">
        <v>47</v>
      </c>
      <c r="M165" s="64">
        <v>19000</v>
      </c>
      <c r="N165" s="64">
        <v>17000</v>
      </c>
      <c r="O165" s="65">
        <v>46125</v>
      </c>
      <c r="P165" s="64">
        <f t="shared" si="253"/>
        <v>2000</v>
      </c>
      <c r="Q165" s="64" t="s">
        <v>33</v>
      </c>
      <c r="R165" s="64" t="s">
        <v>39</v>
      </c>
      <c r="S165" s="64">
        <v>21800</v>
      </c>
      <c r="T165" s="64" t="s">
        <v>2188</v>
      </c>
      <c r="U165" s="65">
        <v>46163</v>
      </c>
      <c r="V165" s="64" t="s">
        <v>28</v>
      </c>
      <c r="W165" s="64">
        <f t="shared" si="254"/>
        <v>2800</v>
      </c>
      <c r="X165" s="64" t="s">
        <v>36</v>
      </c>
      <c r="Y165" s="64" t="s">
        <v>29</v>
      </c>
      <c r="Z165" s="71">
        <f t="shared" si="255"/>
        <v>14.736842105263158</v>
      </c>
      <c r="AA165" s="93"/>
    </row>
    <row r="166" spans="1:27">
      <c r="A166" s="64">
        <f>SUBTOTAL(3,C$2:C166)</f>
        <v>165</v>
      </c>
      <c r="B166" s="64" t="s">
        <v>30</v>
      </c>
      <c r="C166" s="64" t="s">
        <v>31</v>
      </c>
      <c r="D166" s="64" t="s">
        <v>32</v>
      </c>
      <c r="E166" s="64" t="s">
        <v>33</v>
      </c>
      <c r="F166" s="64" t="s">
        <v>349</v>
      </c>
      <c r="G166" s="91" t="s">
        <v>34</v>
      </c>
      <c r="H166" s="92">
        <v>17269</v>
      </c>
      <c r="I166" s="65">
        <v>46124</v>
      </c>
      <c r="J166" s="64">
        <f t="shared" ca="1" si="251"/>
        <v>60</v>
      </c>
      <c r="K166" s="64">
        <f t="shared" si="252"/>
        <v>46163</v>
      </c>
      <c r="L166" s="64" t="s">
        <v>47</v>
      </c>
      <c r="M166" s="64">
        <v>19000</v>
      </c>
      <c r="N166" s="64">
        <v>17000</v>
      </c>
      <c r="O166" s="65">
        <v>46125</v>
      </c>
      <c r="P166" s="64">
        <f t="shared" ref="P166:P167" si="261">+M166-N166</f>
        <v>2000</v>
      </c>
      <c r="Q166" s="64" t="s">
        <v>33</v>
      </c>
      <c r="R166" s="64" t="s">
        <v>39</v>
      </c>
      <c r="S166" s="64">
        <v>21800</v>
      </c>
      <c r="T166" s="64" t="s">
        <v>2188</v>
      </c>
      <c r="U166" s="65">
        <v>46163</v>
      </c>
      <c r="V166" s="64" t="s">
        <v>28</v>
      </c>
      <c r="W166" s="64">
        <f t="shared" si="254"/>
        <v>2800</v>
      </c>
      <c r="X166" s="64" t="s">
        <v>36</v>
      </c>
      <c r="Y166" s="64" t="s">
        <v>29</v>
      </c>
      <c r="Z166" s="71">
        <f t="shared" si="255"/>
        <v>14.736842105263158</v>
      </c>
      <c r="AA166" s="93"/>
    </row>
    <row r="167" spans="1:27">
      <c r="A167" s="64">
        <f>SUBTOTAL(3,C$2:C167)</f>
        <v>166</v>
      </c>
      <c r="B167" s="64" t="s">
        <v>30</v>
      </c>
      <c r="C167" s="64" t="s">
        <v>31</v>
      </c>
      <c r="D167" s="64" t="s">
        <v>32</v>
      </c>
      <c r="E167" s="64" t="s">
        <v>33</v>
      </c>
      <c r="F167" s="64" t="s">
        <v>350</v>
      </c>
      <c r="G167" s="91" t="s">
        <v>34</v>
      </c>
      <c r="H167" s="92">
        <v>17270</v>
      </c>
      <c r="I167" s="65">
        <v>46124</v>
      </c>
      <c r="J167" s="64">
        <f t="shared" ca="1" si="251"/>
        <v>60</v>
      </c>
      <c r="K167" s="64">
        <f t="shared" si="252"/>
        <v>46163</v>
      </c>
      <c r="L167" s="64" t="s">
        <v>47</v>
      </c>
      <c r="M167" s="64">
        <v>19000</v>
      </c>
      <c r="N167" s="64">
        <v>17000</v>
      </c>
      <c r="O167" s="65">
        <v>46125</v>
      </c>
      <c r="P167" s="64">
        <f t="shared" si="261"/>
        <v>2000</v>
      </c>
      <c r="Q167" s="64" t="s">
        <v>33</v>
      </c>
      <c r="R167" s="64" t="s">
        <v>39</v>
      </c>
      <c r="S167" s="64">
        <v>21800</v>
      </c>
      <c r="T167" s="64" t="s">
        <v>2188</v>
      </c>
      <c r="U167" s="65">
        <v>46163</v>
      </c>
      <c r="V167" s="64" t="s">
        <v>28</v>
      </c>
      <c r="W167" s="64">
        <f t="shared" si="254"/>
        <v>2800</v>
      </c>
      <c r="X167" s="64" t="s">
        <v>36</v>
      </c>
      <c r="Y167" s="64" t="s">
        <v>29</v>
      </c>
      <c r="Z167" s="71">
        <f t="shared" si="255"/>
        <v>14.736842105263158</v>
      </c>
      <c r="AA167" s="93"/>
    </row>
    <row r="168" spans="1:27">
      <c r="A168" s="64">
        <f>SUBTOTAL(3,C$2:C168)</f>
        <v>167</v>
      </c>
      <c r="B168" s="64" t="s">
        <v>30</v>
      </c>
      <c r="C168" s="64" t="s">
        <v>31</v>
      </c>
      <c r="D168" s="64" t="s">
        <v>32</v>
      </c>
      <c r="E168" s="64" t="s">
        <v>33</v>
      </c>
      <c r="F168" s="64" t="s">
        <v>133</v>
      </c>
      <c r="G168" s="91" t="s">
        <v>34</v>
      </c>
      <c r="H168" s="92">
        <v>17271</v>
      </c>
      <c r="I168" s="65">
        <v>46124</v>
      </c>
      <c r="J168" s="64">
        <f t="shared" ref="J168:J169" ca="1" si="262">+TODAY()-I168</f>
        <v>60</v>
      </c>
      <c r="K168" s="64">
        <f t="shared" ref="K168:K169" si="263">+U168</f>
        <v>46137</v>
      </c>
      <c r="L168" s="52" t="s">
        <v>519</v>
      </c>
      <c r="M168" s="64">
        <v>18300</v>
      </c>
      <c r="N168" s="64">
        <v>16500</v>
      </c>
      <c r="O168" s="65">
        <v>46125</v>
      </c>
      <c r="P168" s="64">
        <f t="shared" ref="P168:P169" si="264">+M168-N168</f>
        <v>1800</v>
      </c>
      <c r="Q168" s="65">
        <v>46141</v>
      </c>
      <c r="R168" s="64" t="s">
        <v>37</v>
      </c>
      <c r="S168" s="64">
        <v>21500</v>
      </c>
      <c r="T168" s="64" t="s">
        <v>823</v>
      </c>
      <c r="U168" s="65">
        <v>46137</v>
      </c>
      <c r="V168" s="64" t="s">
        <v>28</v>
      </c>
      <c r="W168" s="64">
        <f t="shared" ref="W168:W169" si="265">+S168-M168</f>
        <v>3200</v>
      </c>
      <c r="X168" s="64" t="s">
        <v>36</v>
      </c>
      <c r="Y168" s="64" t="s">
        <v>29</v>
      </c>
      <c r="Z168" s="71">
        <f t="shared" ref="Z168:Z169" si="266">+W168*100/M168</f>
        <v>17.486338797814209</v>
      </c>
      <c r="AA168" s="93"/>
    </row>
    <row r="169" spans="1:27">
      <c r="A169" s="64">
        <f>SUBTOTAL(3,C$2:C169)</f>
        <v>168</v>
      </c>
      <c r="B169" s="64" t="s">
        <v>30</v>
      </c>
      <c r="C169" s="64" t="s">
        <v>80</v>
      </c>
      <c r="D169" s="64" t="s">
        <v>32</v>
      </c>
      <c r="E169" s="64" t="s">
        <v>33</v>
      </c>
      <c r="F169" s="64" t="s">
        <v>251</v>
      </c>
      <c r="G169" s="91" t="s">
        <v>59</v>
      </c>
      <c r="H169" s="92">
        <v>17272</v>
      </c>
      <c r="I169" s="65">
        <v>46124</v>
      </c>
      <c r="J169" s="64">
        <f t="shared" ca="1" si="262"/>
        <v>60</v>
      </c>
      <c r="K169" s="64">
        <f t="shared" si="263"/>
        <v>46136</v>
      </c>
      <c r="L169" s="64" t="s">
        <v>270</v>
      </c>
      <c r="M169" s="64">
        <v>35000</v>
      </c>
      <c r="N169" s="64">
        <v>32000</v>
      </c>
      <c r="O169" s="65">
        <v>46125</v>
      </c>
      <c r="P169" s="64">
        <f t="shared" si="264"/>
        <v>3000</v>
      </c>
      <c r="Q169" s="65">
        <v>46141</v>
      </c>
      <c r="R169" s="64" t="s">
        <v>37</v>
      </c>
      <c r="S169" s="64">
        <v>38000</v>
      </c>
      <c r="T169" s="64" t="s">
        <v>817</v>
      </c>
      <c r="U169" s="65">
        <v>46136</v>
      </c>
      <c r="V169" s="64" t="s">
        <v>28</v>
      </c>
      <c r="W169" s="64">
        <f t="shared" si="265"/>
        <v>3000</v>
      </c>
      <c r="X169" s="64" t="s">
        <v>36</v>
      </c>
      <c r="Y169" s="64" t="s">
        <v>29</v>
      </c>
      <c r="Z169" s="71">
        <f t="shared" si="266"/>
        <v>8.5714285714285712</v>
      </c>
      <c r="AA169" s="93"/>
    </row>
    <row r="170" spans="1:27">
      <c r="A170" s="64">
        <f>SUBTOTAL(3,C$2:C170)</f>
        <v>169</v>
      </c>
      <c r="B170" s="64" t="s">
        <v>30</v>
      </c>
      <c r="C170" s="64" t="s">
        <v>31</v>
      </c>
      <c r="D170" s="64" t="s">
        <v>32</v>
      </c>
      <c r="E170" s="64" t="s">
        <v>33</v>
      </c>
      <c r="F170" s="64" t="s">
        <v>343</v>
      </c>
      <c r="G170" s="91" t="s">
        <v>34</v>
      </c>
      <c r="H170" s="92">
        <v>17273</v>
      </c>
      <c r="I170" s="65">
        <v>46123</v>
      </c>
      <c r="J170" s="64">
        <f t="shared" ref="J170:J171" ca="1" si="267">+TODAY()-I170</f>
        <v>61</v>
      </c>
      <c r="K170" s="64">
        <f t="shared" ref="K170:K171" si="268">+U170</f>
        <v>46163</v>
      </c>
      <c r="L170" s="64" t="s">
        <v>273</v>
      </c>
      <c r="M170" s="64">
        <v>18000</v>
      </c>
      <c r="N170" s="64">
        <v>16000</v>
      </c>
      <c r="O170" s="65">
        <v>46125</v>
      </c>
      <c r="P170" s="64">
        <f t="shared" ref="P170:P171" si="269">+M170-N170</f>
        <v>2000</v>
      </c>
      <c r="Q170" s="64" t="s">
        <v>33</v>
      </c>
      <c r="R170" s="64" t="s">
        <v>56</v>
      </c>
      <c r="S170" s="64">
        <v>20500</v>
      </c>
      <c r="T170" s="64" t="s">
        <v>2181</v>
      </c>
      <c r="U170" s="65">
        <v>46163</v>
      </c>
      <c r="V170" s="64" t="s">
        <v>28</v>
      </c>
      <c r="W170" s="64">
        <f t="shared" ref="W170:W171" si="270">+S170-M170</f>
        <v>2500</v>
      </c>
      <c r="X170" s="64" t="s">
        <v>36</v>
      </c>
      <c r="Y170" s="64" t="s">
        <v>29</v>
      </c>
      <c r="Z170" s="71">
        <f t="shared" ref="Z170:Z171" si="271">+W170*100/M170</f>
        <v>13.888888888888889</v>
      </c>
      <c r="AA170" s="93"/>
    </row>
    <row r="171" spans="1:27">
      <c r="A171" s="64">
        <f>SUBTOTAL(3,C$2:C171)</f>
        <v>170</v>
      </c>
      <c r="B171" s="64" t="s">
        <v>30</v>
      </c>
      <c r="C171" s="64" t="s">
        <v>44</v>
      </c>
      <c r="D171" s="64" t="s">
        <v>32</v>
      </c>
      <c r="E171" s="64" t="s">
        <v>33</v>
      </c>
      <c r="F171" s="64" t="s">
        <v>135</v>
      </c>
      <c r="G171" s="91" t="s">
        <v>46</v>
      </c>
      <c r="H171" s="92">
        <v>17274</v>
      </c>
      <c r="I171" s="65">
        <v>46124</v>
      </c>
      <c r="J171" s="64">
        <f t="shared" ca="1" si="267"/>
        <v>60</v>
      </c>
      <c r="K171" s="64">
        <f t="shared" si="268"/>
        <v>46136</v>
      </c>
      <c r="L171" s="64" t="s">
        <v>47</v>
      </c>
      <c r="M171" s="64">
        <v>19000</v>
      </c>
      <c r="N171" s="64">
        <v>17000</v>
      </c>
      <c r="O171" s="65">
        <v>46125</v>
      </c>
      <c r="P171" s="64">
        <f t="shared" si="269"/>
        <v>2000</v>
      </c>
      <c r="Q171" s="65">
        <v>46141</v>
      </c>
      <c r="R171" s="64" t="s">
        <v>39</v>
      </c>
      <c r="S171" s="64">
        <v>21800</v>
      </c>
      <c r="T171" s="64" t="s">
        <v>806</v>
      </c>
      <c r="U171" s="65">
        <v>46136</v>
      </c>
      <c r="V171" s="64" t="s">
        <v>28</v>
      </c>
      <c r="W171" s="64">
        <f t="shared" si="270"/>
        <v>2800</v>
      </c>
      <c r="X171" s="64" t="s">
        <v>36</v>
      </c>
      <c r="Y171" s="64" t="s">
        <v>29</v>
      </c>
      <c r="Z171" s="71">
        <f t="shared" si="271"/>
        <v>14.736842105263158</v>
      </c>
      <c r="AA171" s="93"/>
    </row>
    <row r="172" spans="1:27">
      <c r="A172" s="64">
        <f>SUBTOTAL(3,C$2:C172)</f>
        <v>171</v>
      </c>
      <c r="B172" s="64" t="s">
        <v>30</v>
      </c>
      <c r="C172" s="64" t="s">
        <v>31</v>
      </c>
      <c r="D172" s="64" t="s">
        <v>32</v>
      </c>
      <c r="E172" s="64" t="s">
        <v>33</v>
      </c>
      <c r="F172" s="64" t="s">
        <v>128</v>
      </c>
      <c r="G172" s="91" t="s">
        <v>34</v>
      </c>
      <c r="H172" s="92">
        <v>17275</v>
      </c>
      <c r="I172" s="65">
        <v>46124</v>
      </c>
      <c r="J172" s="64">
        <f t="shared" ref="J172" ca="1" si="272">+TODAY()-I172</f>
        <v>60</v>
      </c>
      <c r="K172" s="64">
        <f t="shared" ref="K172" si="273">+U172</f>
        <v>46163</v>
      </c>
      <c r="L172" s="64" t="s">
        <v>273</v>
      </c>
      <c r="M172" s="64">
        <v>18000</v>
      </c>
      <c r="N172" s="64">
        <v>16000</v>
      </c>
      <c r="O172" s="65">
        <v>46125</v>
      </c>
      <c r="P172" s="64">
        <f t="shared" ref="P172" si="274">+M172-N172</f>
        <v>2000</v>
      </c>
      <c r="Q172" s="64" t="s">
        <v>33</v>
      </c>
      <c r="R172" s="64" t="s">
        <v>56</v>
      </c>
      <c r="S172" s="64">
        <v>20500</v>
      </c>
      <c r="T172" s="64" t="s">
        <v>2180</v>
      </c>
      <c r="U172" s="65">
        <v>46163</v>
      </c>
      <c r="V172" s="64" t="s">
        <v>28</v>
      </c>
      <c r="W172" s="64">
        <f t="shared" ref="W172" si="275">+S172-M172</f>
        <v>2500</v>
      </c>
      <c r="X172" s="64" t="s">
        <v>36</v>
      </c>
      <c r="Y172" s="64" t="s">
        <v>29</v>
      </c>
      <c r="Z172" s="71">
        <f t="shared" ref="Z172" si="276">+W172*100/M172</f>
        <v>13.888888888888889</v>
      </c>
      <c r="AA172" s="93"/>
    </row>
    <row r="173" spans="1:27">
      <c r="A173" s="64">
        <f>SUBTOTAL(3,C$2:C173)</f>
        <v>172</v>
      </c>
      <c r="B173" s="64" t="s">
        <v>30</v>
      </c>
      <c r="C173" s="64" t="s">
        <v>344</v>
      </c>
      <c r="D173" s="64" t="s">
        <v>32</v>
      </c>
      <c r="E173" s="64" t="s">
        <v>33</v>
      </c>
      <c r="F173" s="64" t="s">
        <v>345</v>
      </c>
      <c r="G173" s="91" t="s">
        <v>67</v>
      </c>
      <c r="H173" s="92">
        <v>17276</v>
      </c>
      <c r="I173" s="65">
        <v>46124</v>
      </c>
      <c r="J173" s="64">
        <f t="shared" ref="J173" ca="1" si="277">+TODAY()-I173</f>
        <v>60</v>
      </c>
      <c r="K173" s="64">
        <f t="shared" ref="K173" si="278">+U173</f>
        <v>46136</v>
      </c>
      <c r="L173" s="64" t="s">
        <v>97</v>
      </c>
      <c r="M173" s="64">
        <v>38500</v>
      </c>
      <c r="N173" s="64">
        <v>35500</v>
      </c>
      <c r="O173" s="65">
        <v>46125</v>
      </c>
      <c r="P173" s="64">
        <f t="shared" ref="P173" si="279">+M173-N173</f>
        <v>3000</v>
      </c>
      <c r="Q173" s="65">
        <v>46141</v>
      </c>
      <c r="R173" s="64" t="s">
        <v>52</v>
      </c>
      <c r="S173" s="64">
        <v>42000</v>
      </c>
      <c r="T173" s="64" t="s">
        <v>811</v>
      </c>
      <c r="U173" s="65">
        <v>46136</v>
      </c>
      <c r="V173" s="64" t="s">
        <v>28</v>
      </c>
      <c r="W173" s="64">
        <f t="shared" ref="W173" si="280">+S173-M173</f>
        <v>3500</v>
      </c>
      <c r="X173" s="64" t="s">
        <v>36</v>
      </c>
      <c r="Y173" s="64" t="s">
        <v>29</v>
      </c>
      <c r="Z173" s="71">
        <f t="shared" ref="Z173" si="281">+W173*100/M173</f>
        <v>9.0909090909090917</v>
      </c>
      <c r="AA173" s="93"/>
    </row>
    <row r="174" spans="1:27">
      <c r="A174" s="64">
        <f>SUBTOTAL(3,C$2:C174)</f>
        <v>173</v>
      </c>
      <c r="B174" s="64" t="s">
        <v>30</v>
      </c>
      <c r="C174" s="64" t="s">
        <v>44</v>
      </c>
      <c r="D174" s="64" t="s">
        <v>32</v>
      </c>
      <c r="E174" s="64" t="s">
        <v>33</v>
      </c>
      <c r="F174" s="64" t="s">
        <v>351</v>
      </c>
      <c r="G174" s="91">
        <v>407</v>
      </c>
      <c r="H174" s="92">
        <v>17277</v>
      </c>
      <c r="I174" s="65">
        <v>46122</v>
      </c>
      <c r="J174" s="64">
        <f t="shared" ref="J174" ca="1" si="282">+TODAY()-I174</f>
        <v>62</v>
      </c>
      <c r="K174" s="64">
        <f t="shared" ref="K174" si="283">+U174</f>
        <v>46148</v>
      </c>
      <c r="L174" s="64" t="s">
        <v>84</v>
      </c>
      <c r="M174" s="64">
        <v>27000</v>
      </c>
      <c r="N174" s="64">
        <v>25000</v>
      </c>
      <c r="O174" s="65">
        <v>46125</v>
      </c>
      <c r="P174" s="64">
        <f t="shared" ref="P174" si="284">+M174-N174</f>
        <v>2000</v>
      </c>
      <c r="Q174" s="64" t="s">
        <v>33</v>
      </c>
      <c r="R174" s="64" t="s">
        <v>78</v>
      </c>
      <c r="S174" s="64">
        <v>29800</v>
      </c>
      <c r="T174" s="64" t="s">
        <v>1327</v>
      </c>
      <c r="U174" s="65">
        <v>46148</v>
      </c>
      <c r="V174" s="64" t="s">
        <v>28</v>
      </c>
      <c r="W174" s="64">
        <f t="shared" ref="W174" si="285">+S174-M174</f>
        <v>2800</v>
      </c>
      <c r="X174" s="64" t="s">
        <v>36</v>
      </c>
      <c r="Y174" s="64" t="s">
        <v>29</v>
      </c>
      <c r="Z174" s="71">
        <f t="shared" ref="Z174" si="286">+W174*100/M174</f>
        <v>10.37037037037037</v>
      </c>
      <c r="AA174" s="93"/>
    </row>
    <row r="175" spans="1:27">
      <c r="A175" s="64">
        <f>SUBTOTAL(3,C$2:C175)</f>
        <v>174</v>
      </c>
      <c r="B175" s="64" t="s">
        <v>30</v>
      </c>
      <c r="C175" s="64" t="s">
        <v>44</v>
      </c>
      <c r="D175" s="64" t="s">
        <v>32</v>
      </c>
      <c r="E175" s="64" t="s">
        <v>33</v>
      </c>
      <c r="F175" s="64" t="s">
        <v>352</v>
      </c>
      <c r="G175" s="91">
        <v>407</v>
      </c>
      <c r="H175" s="92">
        <v>17278</v>
      </c>
      <c r="I175" s="65">
        <v>46124</v>
      </c>
      <c r="J175" s="64">
        <f t="shared" ref="J175" ca="1" si="287">+TODAY()-I175</f>
        <v>60</v>
      </c>
      <c r="K175" s="64">
        <f t="shared" ref="K175" si="288">+U175</f>
        <v>46148</v>
      </c>
      <c r="L175" s="64" t="s">
        <v>84</v>
      </c>
      <c r="M175" s="64">
        <v>27000</v>
      </c>
      <c r="N175" s="64">
        <v>25000</v>
      </c>
      <c r="O175" s="65">
        <v>46125</v>
      </c>
      <c r="P175" s="64">
        <f t="shared" ref="P175" si="289">+M175-N175</f>
        <v>2000</v>
      </c>
      <c r="Q175" s="64" t="s">
        <v>33</v>
      </c>
      <c r="R175" s="64" t="s">
        <v>78</v>
      </c>
      <c r="S175" s="64">
        <v>29800</v>
      </c>
      <c r="T175" s="64" t="s">
        <v>1327</v>
      </c>
      <c r="U175" s="65">
        <v>46148</v>
      </c>
      <c r="V175" s="64" t="s">
        <v>28</v>
      </c>
      <c r="W175" s="64">
        <f t="shared" ref="W175" si="290">+S175-M175</f>
        <v>2800</v>
      </c>
      <c r="X175" s="64" t="s">
        <v>36</v>
      </c>
      <c r="Y175" s="64" t="s">
        <v>29</v>
      </c>
      <c r="Z175" s="71">
        <f t="shared" ref="Z175" si="291">+W175*100/M175</f>
        <v>10.37037037037037</v>
      </c>
      <c r="AA175" s="93"/>
    </row>
    <row r="176" spans="1:27">
      <c r="A176" s="64">
        <f>SUBTOTAL(3,C$2:C176)</f>
        <v>175</v>
      </c>
      <c r="B176" s="64" t="s">
        <v>30</v>
      </c>
      <c r="C176" s="64" t="s">
        <v>44</v>
      </c>
      <c r="D176" s="64" t="s">
        <v>32</v>
      </c>
      <c r="E176" s="64" t="s">
        <v>33</v>
      </c>
      <c r="F176" s="64" t="s">
        <v>353</v>
      </c>
      <c r="G176" s="91">
        <v>407</v>
      </c>
      <c r="H176" s="92">
        <v>17279</v>
      </c>
      <c r="I176" s="65">
        <v>46124</v>
      </c>
      <c r="J176" s="64">
        <f t="shared" ref="J176" ca="1" si="292">+TODAY()-I176</f>
        <v>60</v>
      </c>
      <c r="K176" s="64">
        <f t="shared" ref="K176" si="293">+U176</f>
        <v>46148</v>
      </c>
      <c r="L176" s="64" t="s">
        <v>84</v>
      </c>
      <c r="M176" s="64">
        <v>27000</v>
      </c>
      <c r="N176" s="64">
        <v>25000</v>
      </c>
      <c r="O176" s="65">
        <v>46125</v>
      </c>
      <c r="P176" s="64">
        <f t="shared" ref="P176" si="294">+M176-N176</f>
        <v>2000</v>
      </c>
      <c r="Q176" s="64" t="s">
        <v>33</v>
      </c>
      <c r="R176" s="64" t="s">
        <v>78</v>
      </c>
      <c r="S176" s="64">
        <v>29800</v>
      </c>
      <c r="T176" s="64" t="s">
        <v>1328</v>
      </c>
      <c r="U176" s="65">
        <v>46148</v>
      </c>
      <c r="V176" s="64" t="s">
        <v>28</v>
      </c>
      <c r="W176" s="64">
        <f t="shared" ref="W176" si="295">+S176-M176</f>
        <v>2800</v>
      </c>
      <c r="X176" s="64" t="s">
        <v>36</v>
      </c>
      <c r="Y176" s="64" t="s">
        <v>29</v>
      </c>
      <c r="Z176" s="71">
        <f t="shared" ref="Z176" si="296">+W176*100/M176</f>
        <v>10.37037037037037</v>
      </c>
      <c r="AA176" s="93"/>
    </row>
    <row r="177" spans="1:27">
      <c r="A177" s="64">
        <f>SUBTOTAL(3,C$2:C177)</f>
        <v>176</v>
      </c>
      <c r="B177" s="64" t="s">
        <v>30</v>
      </c>
      <c r="C177" s="64" t="s">
        <v>31</v>
      </c>
      <c r="D177" s="64" t="s">
        <v>32</v>
      </c>
      <c r="E177" s="64" t="s">
        <v>33</v>
      </c>
      <c r="F177" s="64" t="s">
        <v>354</v>
      </c>
      <c r="G177" s="91" t="s">
        <v>34</v>
      </c>
      <c r="H177" s="92">
        <v>17280</v>
      </c>
      <c r="I177" s="65">
        <v>46124</v>
      </c>
      <c r="J177" s="64">
        <f t="shared" ref="J177" ca="1" si="297">+TODAY()-I177</f>
        <v>60</v>
      </c>
      <c r="K177" s="64">
        <f t="shared" ref="K177" si="298">+U177</f>
        <v>46136</v>
      </c>
      <c r="L177" s="64" t="s">
        <v>47</v>
      </c>
      <c r="M177" s="64">
        <v>19000</v>
      </c>
      <c r="N177" s="64">
        <v>17000</v>
      </c>
      <c r="O177" s="65">
        <v>46125</v>
      </c>
      <c r="P177" s="64">
        <f t="shared" ref="P177" si="299">+M177-N177</f>
        <v>2000</v>
      </c>
      <c r="Q177" s="65">
        <v>46141</v>
      </c>
      <c r="R177" s="64" t="s">
        <v>39</v>
      </c>
      <c r="S177" s="64">
        <v>21800</v>
      </c>
      <c r="T177" s="64" t="s">
        <v>806</v>
      </c>
      <c r="U177" s="65">
        <v>46136</v>
      </c>
      <c r="V177" s="64" t="s">
        <v>28</v>
      </c>
      <c r="W177" s="64">
        <f t="shared" ref="W177" si="300">+S177-M177</f>
        <v>2800</v>
      </c>
      <c r="X177" s="64" t="s">
        <v>36</v>
      </c>
      <c r="Y177" s="64" t="s">
        <v>29</v>
      </c>
      <c r="Z177" s="71">
        <f t="shared" ref="Z177" si="301">+W177*100/M177</f>
        <v>14.736842105263158</v>
      </c>
      <c r="AA177" s="93"/>
    </row>
    <row r="178" spans="1:27">
      <c r="A178" s="64">
        <f>SUBTOTAL(3,C$2:C178)</f>
        <v>177</v>
      </c>
      <c r="B178" s="64" t="s">
        <v>30</v>
      </c>
      <c r="C178" s="64" t="s">
        <v>31</v>
      </c>
      <c r="D178" s="64" t="s">
        <v>32</v>
      </c>
      <c r="E178" s="64" t="s">
        <v>33</v>
      </c>
      <c r="F178" s="64" t="s">
        <v>356</v>
      </c>
      <c r="G178" s="91" t="s">
        <v>34</v>
      </c>
      <c r="H178" s="92">
        <v>17281</v>
      </c>
      <c r="I178" s="65">
        <v>46125</v>
      </c>
      <c r="J178" s="64">
        <f t="shared" ref="J178:J179" ca="1" si="302">+TODAY()-I178</f>
        <v>59</v>
      </c>
      <c r="K178" s="64">
        <f t="shared" ref="K178:K179" si="303">+U178</f>
        <v>46136</v>
      </c>
      <c r="L178" s="64" t="s">
        <v>47</v>
      </c>
      <c r="M178" s="64">
        <v>19000</v>
      </c>
      <c r="N178" s="64">
        <v>17000</v>
      </c>
      <c r="O178" s="65">
        <v>46125</v>
      </c>
      <c r="P178" s="64">
        <f t="shared" ref="P178:P179" si="304">+M178-N178</f>
        <v>2000</v>
      </c>
      <c r="Q178" s="65">
        <v>46141</v>
      </c>
      <c r="R178" s="64" t="s">
        <v>39</v>
      </c>
      <c r="S178" s="64">
        <v>21800</v>
      </c>
      <c r="T178" s="64" t="s">
        <v>806</v>
      </c>
      <c r="U178" s="65">
        <v>46136</v>
      </c>
      <c r="V178" s="64" t="s">
        <v>28</v>
      </c>
      <c r="W178" s="64">
        <f t="shared" ref="W178:W179" si="305">+S178-M178</f>
        <v>2800</v>
      </c>
      <c r="X178" s="64" t="s">
        <v>36</v>
      </c>
      <c r="Y178" s="64" t="s">
        <v>29</v>
      </c>
      <c r="Z178" s="71">
        <f t="shared" ref="Z178:Z179" si="306">+W178*100/M178</f>
        <v>14.736842105263158</v>
      </c>
      <c r="AA178" s="93"/>
    </row>
    <row r="179" spans="1:27">
      <c r="A179" s="64">
        <f>SUBTOTAL(3,C$2:C179)</f>
        <v>178</v>
      </c>
      <c r="B179" s="64" t="s">
        <v>30</v>
      </c>
      <c r="C179" s="64" t="s">
        <v>31</v>
      </c>
      <c r="D179" s="64" t="s">
        <v>32</v>
      </c>
      <c r="E179" s="64" t="s">
        <v>33</v>
      </c>
      <c r="F179" s="64" t="s">
        <v>357</v>
      </c>
      <c r="G179" s="91" t="s">
        <v>34</v>
      </c>
      <c r="H179" s="92">
        <v>17282</v>
      </c>
      <c r="I179" s="65">
        <v>46125</v>
      </c>
      <c r="J179" s="64">
        <f t="shared" ca="1" si="302"/>
        <v>59</v>
      </c>
      <c r="K179" s="64">
        <f t="shared" si="303"/>
        <v>46137</v>
      </c>
      <c r="L179" s="52" t="s">
        <v>519</v>
      </c>
      <c r="M179" s="64">
        <v>18300</v>
      </c>
      <c r="N179" s="64">
        <v>16500</v>
      </c>
      <c r="O179" s="65">
        <v>46125</v>
      </c>
      <c r="P179" s="64">
        <f t="shared" si="304"/>
        <v>1800</v>
      </c>
      <c r="Q179" s="65">
        <v>46141</v>
      </c>
      <c r="R179" s="64" t="s">
        <v>37</v>
      </c>
      <c r="S179" s="64">
        <v>21500</v>
      </c>
      <c r="T179" s="64" t="s">
        <v>823</v>
      </c>
      <c r="U179" s="65">
        <v>46137</v>
      </c>
      <c r="V179" s="64" t="s">
        <v>28</v>
      </c>
      <c r="W179" s="64">
        <f t="shared" si="305"/>
        <v>3200</v>
      </c>
      <c r="X179" s="64" t="s">
        <v>36</v>
      </c>
      <c r="Y179" s="64" t="s">
        <v>29</v>
      </c>
      <c r="Z179" s="71">
        <f t="shared" si="306"/>
        <v>17.486338797814209</v>
      </c>
      <c r="AA179" s="93"/>
    </row>
    <row r="180" spans="1:27">
      <c r="A180" s="64">
        <f>SUBTOTAL(3,C$2:C180)</f>
        <v>179</v>
      </c>
      <c r="B180" s="64" t="s">
        <v>30</v>
      </c>
      <c r="C180" s="64" t="s">
        <v>31</v>
      </c>
      <c r="D180" s="64" t="s">
        <v>32</v>
      </c>
      <c r="E180" s="64" t="s">
        <v>33</v>
      </c>
      <c r="F180" s="64" t="s">
        <v>85</v>
      </c>
      <c r="G180" s="91" t="s">
        <v>34</v>
      </c>
      <c r="H180" s="92">
        <v>17283</v>
      </c>
      <c r="I180" s="65">
        <v>46125</v>
      </c>
      <c r="J180" s="64">
        <f t="shared" ref="J180" ca="1" si="307">+TODAY()-I180</f>
        <v>59</v>
      </c>
      <c r="K180" s="64">
        <f t="shared" ref="K180" si="308">+U180</f>
        <v>46136</v>
      </c>
      <c r="L180" s="64" t="s">
        <v>47</v>
      </c>
      <c r="M180" s="64">
        <v>19000</v>
      </c>
      <c r="N180" s="64">
        <v>17000</v>
      </c>
      <c r="O180" s="65">
        <v>46125</v>
      </c>
      <c r="P180" s="64">
        <f t="shared" ref="P180" si="309">+M180-N180</f>
        <v>2000</v>
      </c>
      <c r="Q180" s="65">
        <v>46141</v>
      </c>
      <c r="R180" s="64" t="s">
        <v>39</v>
      </c>
      <c r="S180" s="64">
        <v>21800</v>
      </c>
      <c r="T180" s="64" t="s">
        <v>806</v>
      </c>
      <c r="U180" s="65">
        <v>46136</v>
      </c>
      <c r="V180" s="64" t="s">
        <v>28</v>
      </c>
      <c r="W180" s="64">
        <f t="shared" ref="W180" si="310">+S180-M180</f>
        <v>2800</v>
      </c>
      <c r="X180" s="64" t="s">
        <v>36</v>
      </c>
      <c r="Y180" s="64" t="s">
        <v>29</v>
      </c>
      <c r="Z180" s="71">
        <f t="shared" ref="Z180" si="311">+W180*100/M180</f>
        <v>14.736842105263158</v>
      </c>
      <c r="AA180" s="93"/>
    </row>
    <row r="181" spans="1:27">
      <c r="A181" s="64">
        <f>SUBTOTAL(3,C$2:C181)</f>
        <v>180</v>
      </c>
      <c r="B181" s="64" t="s">
        <v>30</v>
      </c>
      <c r="C181" s="64" t="s">
        <v>185</v>
      </c>
      <c r="D181" s="64" t="s">
        <v>32</v>
      </c>
      <c r="E181" s="64" t="s">
        <v>33</v>
      </c>
      <c r="F181" s="64" t="s">
        <v>183</v>
      </c>
      <c r="G181" s="91" t="s">
        <v>50</v>
      </c>
      <c r="H181" s="92">
        <v>17284</v>
      </c>
      <c r="I181" s="65">
        <v>46125</v>
      </c>
      <c r="J181" s="64">
        <f t="shared" ref="J181:J185" ca="1" si="312">+TODAY()-I181</f>
        <v>59</v>
      </c>
      <c r="K181" s="64">
        <f t="shared" ref="K181:K185" si="313">+U181</f>
        <v>46136</v>
      </c>
      <c r="L181" s="64" t="s">
        <v>358</v>
      </c>
      <c r="M181" s="64">
        <v>44000</v>
      </c>
      <c r="N181" s="64">
        <v>40000</v>
      </c>
      <c r="O181" s="65">
        <v>46125</v>
      </c>
      <c r="P181" s="64">
        <f t="shared" ref="P181:P185" si="314">+M181-N181</f>
        <v>4000</v>
      </c>
      <c r="Q181" s="65">
        <v>46141</v>
      </c>
      <c r="R181" s="64" t="s">
        <v>52</v>
      </c>
      <c r="S181" s="64">
        <v>48000</v>
      </c>
      <c r="T181" s="64" t="s">
        <v>815</v>
      </c>
      <c r="U181" s="65">
        <v>46136</v>
      </c>
      <c r="V181" s="64" t="s">
        <v>28</v>
      </c>
      <c r="W181" s="64">
        <f t="shared" ref="W181:W185" si="315">+S181-M181</f>
        <v>4000</v>
      </c>
      <c r="X181" s="64" t="s">
        <v>36</v>
      </c>
      <c r="Y181" s="64" t="s">
        <v>29</v>
      </c>
      <c r="Z181" s="71">
        <f t="shared" ref="Z181:Z185" si="316">+W181*100/M181</f>
        <v>9.0909090909090917</v>
      </c>
      <c r="AA181" s="93"/>
    </row>
    <row r="182" spans="1:27">
      <c r="A182" s="64">
        <f>SUBTOTAL(3,C$2:C182)</f>
        <v>181</v>
      </c>
      <c r="B182" s="64" t="s">
        <v>30</v>
      </c>
      <c r="C182" s="64" t="s">
        <v>44</v>
      </c>
      <c r="D182" s="64" t="s">
        <v>32</v>
      </c>
      <c r="E182" s="64" t="s">
        <v>33</v>
      </c>
      <c r="F182" s="64" t="s">
        <v>359</v>
      </c>
      <c r="G182" s="91">
        <v>407</v>
      </c>
      <c r="H182" s="92">
        <v>17285</v>
      </c>
      <c r="I182" s="65">
        <v>46125</v>
      </c>
      <c r="J182" s="64">
        <f t="shared" ca="1" si="312"/>
        <v>59</v>
      </c>
      <c r="K182" s="64">
        <f t="shared" si="313"/>
        <v>46148</v>
      </c>
      <c r="L182" s="64" t="s">
        <v>84</v>
      </c>
      <c r="M182" s="64">
        <v>27000</v>
      </c>
      <c r="N182" s="64">
        <v>25000</v>
      </c>
      <c r="O182" s="65">
        <v>46125</v>
      </c>
      <c r="P182" s="64">
        <f t="shared" si="314"/>
        <v>2000</v>
      </c>
      <c r="Q182" s="64" t="s">
        <v>33</v>
      </c>
      <c r="R182" s="64" t="s">
        <v>56</v>
      </c>
      <c r="S182" s="64">
        <v>30500</v>
      </c>
      <c r="T182" s="64" t="s">
        <v>1343</v>
      </c>
      <c r="U182" s="65">
        <v>46148</v>
      </c>
      <c r="V182" s="64" t="s">
        <v>28</v>
      </c>
      <c r="W182" s="64">
        <f t="shared" si="315"/>
        <v>3500</v>
      </c>
      <c r="X182" s="64" t="s">
        <v>36</v>
      </c>
      <c r="Y182" s="64" t="s">
        <v>29</v>
      </c>
      <c r="Z182" s="71">
        <f t="shared" si="316"/>
        <v>12.962962962962964</v>
      </c>
      <c r="AA182" s="93"/>
    </row>
    <row r="183" spans="1:27">
      <c r="A183" s="64">
        <f>SUBTOTAL(3,C$2:C183)</f>
        <v>182</v>
      </c>
      <c r="B183" s="64" t="s">
        <v>30</v>
      </c>
      <c r="C183" s="64" t="s">
        <v>80</v>
      </c>
      <c r="D183" s="64" t="s">
        <v>32</v>
      </c>
      <c r="E183" s="64" t="s">
        <v>33</v>
      </c>
      <c r="F183" s="64" t="s">
        <v>360</v>
      </c>
      <c r="G183" s="91" t="s">
        <v>59</v>
      </c>
      <c r="H183" s="92">
        <v>17286</v>
      </c>
      <c r="I183" s="65">
        <v>46125</v>
      </c>
      <c r="J183" s="64">
        <f t="shared" ca="1" si="312"/>
        <v>59</v>
      </c>
      <c r="K183" s="64">
        <f t="shared" si="313"/>
        <v>46136</v>
      </c>
      <c r="L183" s="64" t="s">
        <v>155</v>
      </c>
      <c r="M183" s="64">
        <v>35000</v>
      </c>
      <c r="N183" s="64">
        <v>32000</v>
      </c>
      <c r="O183" s="65">
        <v>46125</v>
      </c>
      <c r="P183" s="64">
        <f t="shared" si="314"/>
        <v>3000</v>
      </c>
      <c r="Q183" s="65">
        <v>46141</v>
      </c>
      <c r="R183" s="64" t="s">
        <v>37</v>
      </c>
      <c r="S183" s="64">
        <v>38000</v>
      </c>
      <c r="T183" s="64" t="s">
        <v>817</v>
      </c>
      <c r="U183" s="65">
        <v>46136</v>
      </c>
      <c r="V183" s="64" t="s">
        <v>28</v>
      </c>
      <c r="W183" s="64">
        <f t="shared" si="315"/>
        <v>3000</v>
      </c>
      <c r="X183" s="64" t="s">
        <v>36</v>
      </c>
      <c r="Y183" s="64" t="s">
        <v>29</v>
      </c>
      <c r="Z183" s="71">
        <f t="shared" si="316"/>
        <v>8.5714285714285712</v>
      </c>
      <c r="AA183" s="93"/>
    </row>
    <row r="184" spans="1:27">
      <c r="A184" s="64">
        <f>SUBTOTAL(3,C$2:C184)</f>
        <v>183</v>
      </c>
      <c r="B184" s="64" t="s">
        <v>30</v>
      </c>
      <c r="C184" s="64" t="s">
        <v>216</v>
      </c>
      <c r="D184" s="64" t="s">
        <v>32</v>
      </c>
      <c r="E184" s="64" t="s">
        <v>33</v>
      </c>
      <c r="F184" s="64" t="s">
        <v>215</v>
      </c>
      <c r="G184" s="91" t="s">
        <v>67</v>
      </c>
      <c r="H184" s="66">
        <v>17287</v>
      </c>
      <c r="I184" s="65">
        <v>46125</v>
      </c>
      <c r="J184" s="64">
        <f t="shared" ca="1" si="312"/>
        <v>59</v>
      </c>
      <c r="K184" s="64" t="str">
        <f t="shared" si="313"/>
        <v>Pending</v>
      </c>
      <c r="L184" s="64" t="s">
        <v>97</v>
      </c>
      <c r="M184" s="64">
        <v>38500</v>
      </c>
      <c r="N184" s="64">
        <v>35500</v>
      </c>
      <c r="O184" s="65">
        <v>46126</v>
      </c>
      <c r="P184" s="64">
        <f t="shared" si="314"/>
        <v>3000</v>
      </c>
      <c r="Q184" s="65">
        <v>46141</v>
      </c>
      <c r="R184" s="64" t="s">
        <v>52</v>
      </c>
      <c r="S184" s="64">
        <v>42000</v>
      </c>
      <c r="T184" s="64" t="s">
        <v>33</v>
      </c>
      <c r="U184" s="65" t="s">
        <v>33</v>
      </c>
      <c r="V184" s="64" t="s">
        <v>28</v>
      </c>
      <c r="W184" s="64">
        <f t="shared" si="315"/>
        <v>3500</v>
      </c>
      <c r="X184" s="64" t="s">
        <v>36</v>
      </c>
      <c r="Y184" s="64" t="s">
        <v>29</v>
      </c>
      <c r="Z184" s="71">
        <f t="shared" si="316"/>
        <v>9.0909090909090917</v>
      </c>
      <c r="AA184" s="93"/>
    </row>
    <row r="185" spans="1:27">
      <c r="A185" s="64">
        <f>SUBTOTAL(3,C$2:C185)</f>
        <v>184</v>
      </c>
      <c r="B185" s="64" t="s">
        <v>30</v>
      </c>
      <c r="C185" s="64" t="s">
        <v>31</v>
      </c>
      <c r="D185" s="64" t="s">
        <v>32</v>
      </c>
      <c r="E185" s="64" t="s">
        <v>33</v>
      </c>
      <c r="F185" s="64" t="s">
        <v>375</v>
      </c>
      <c r="G185" s="91" t="s">
        <v>34</v>
      </c>
      <c r="H185" s="92">
        <v>17288</v>
      </c>
      <c r="I185" s="65">
        <v>46125</v>
      </c>
      <c r="J185" s="64">
        <f t="shared" ca="1" si="312"/>
        <v>59</v>
      </c>
      <c r="K185" s="64">
        <f t="shared" si="313"/>
        <v>46136</v>
      </c>
      <c r="L185" s="64" t="s">
        <v>47</v>
      </c>
      <c r="M185" s="64">
        <v>19000</v>
      </c>
      <c r="N185" s="64">
        <v>17000</v>
      </c>
      <c r="O185" s="65">
        <v>46126</v>
      </c>
      <c r="P185" s="64">
        <f t="shared" si="314"/>
        <v>2000</v>
      </c>
      <c r="Q185" s="65">
        <v>46141</v>
      </c>
      <c r="R185" s="64" t="s">
        <v>39</v>
      </c>
      <c r="S185" s="64">
        <v>21800</v>
      </c>
      <c r="T185" s="64" t="s">
        <v>806</v>
      </c>
      <c r="U185" s="65">
        <v>46136</v>
      </c>
      <c r="V185" s="64" t="s">
        <v>28</v>
      </c>
      <c r="W185" s="64">
        <f t="shared" si="315"/>
        <v>2800</v>
      </c>
      <c r="X185" s="64" t="s">
        <v>36</v>
      </c>
      <c r="Y185" s="64" t="s">
        <v>29</v>
      </c>
      <c r="Z185" s="71">
        <f t="shared" si="316"/>
        <v>14.736842105263158</v>
      </c>
      <c r="AA185" s="93"/>
    </row>
    <row r="186" spans="1:27">
      <c r="A186" s="64">
        <f>SUBTOTAL(3,C$2:C186)</f>
        <v>185</v>
      </c>
      <c r="B186" s="64" t="s">
        <v>30</v>
      </c>
      <c r="C186" s="64" t="s">
        <v>227</v>
      </c>
      <c r="D186" s="64" t="s">
        <v>32</v>
      </c>
      <c r="E186" s="64" t="s">
        <v>33</v>
      </c>
      <c r="F186" s="64" t="s">
        <v>228</v>
      </c>
      <c r="G186" s="91" t="s">
        <v>67</v>
      </c>
      <c r="H186" s="92" t="s">
        <v>1421</v>
      </c>
      <c r="I186" s="65">
        <v>46125</v>
      </c>
      <c r="J186" s="64">
        <f t="shared" ref="J186:J188" ca="1" si="317">+TODAY()-I186</f>
        <v>59</v>
      </c>
      <c r="K186" s="64">
        <f t="shared" ref="K186:K188" si="318">+U186</f>
        <v>46153</v>
      </c>
      <c r="L186" s="64" t="s">
        <v>229</v>
      </c>
      <c r="M186" s="64">
        <v>17800</v>
      </c>
      <c r="N186" s="64">
        <v>15800</v>
      </c>
      <c r="O186" s="65">
        <v>46126</v>
      </c>
      <c r="P186" s="64">
        <f t="shared" ref="P186:P188" si="319">+M186-N186</f>
        <v>2000</v>
      </c>
      <c r="Q186" s="64" t="s">
        <v>33</v>
      </c>
      <c r="R186" s="64" t="s">
        <v>112</v>
      </c>
      <c r="S186" s="64">
        <v>20050</v>
      </c>
      <c r="T186" s="64" t="s">
        <v>1482</v>
      </c>
      <c r="U186" s="65">
        <v>46153</v>
      </c>
      <c r="V186" s="64" t="s">
        <v>28</v>
      </c>
      <c r="W186" s="64">
        <f t="shared" ref="W186:W188" si="320">+S186-M186</f>
        <v>2250</v>
      </c>
      <c r="X186" s="64" t="s">
        <v>36</v>
      </c>
      <c r="Y186" s="64" t="s">
        <v>29</v>
      </c>
      <c r="Z186" s="71">
        <f t="shared" ref="Z186:Z188" si="321">+W186*100/M186</f>
        <v>12.640449438202246</v>
      </c>
      <c r="AA186" s="93"/>
    </row>
    <row r="187" spans="1:27">
      <c r="A187" s="64">
        <f>SUBTOTAL(3,C$2:C187)</f>
        <v>186</v>
      </c>
      <c r="B187" s="64" t="s">
        <v>30</v>
      </c>
      <c r="C187" s="64" t="s">
        <v>31</v>
      </c>
      <c r="D187" s="64" t="s">
        <v>32</v>
      </c>
      <c r="E187" s="64" t="s">
        <v>33</v>
      </c>
      <c r="F187" s="64" t="s">
        <v>205</v>
      </c>
      <c r="G187" s="91" t="s">
        <v>34</v>
      </c>
      <c r="H187" s="92">
        <v>17292</v>
      </c>
      <c r="I187" s="65">
        <v>46125</v>
      </c>
      <c r="J187" s="64">
        <f t="shared" ca="1" si="317"/>
        <v>59</v>
      </c>
      <c r="K187" s="64">
        <f t="shared" si="318"/>
        <v>46136</v>
      </c>
      <c r="L187" s="64" t="s">
        <v>47</v>
      </c>
      <c r="M187" s="64">
        <v>19000</v>
      </c>
      <c r="N187" s="64">
        <v>17000</v>
      </c>
      <c r="O187" s="65">
        <v>46126</v>
      </c>
      <c r="P187" s="64">
        <f t="shared" si="319"/>
        <v>2000</v>
      </c>
      <c r="Q187" s="65">
        <v>46141</v>
      </c>
      <c r="R187" s="64" t="s">
        <v>39</v>
      </c>
      <c r="S187" s="64">
        <v>21800</v>
      </c>
      <c r="T187" s="64" t="s">
        <v>806</v>
      </c>
      <c r="U187" s="65">
        <v>46136</v>
      </c>
      <c r="V187" s="64" t="s">
        <v>28</v>
      </c>
      <c r="W187" s="64">
        <f t="shared" si="320"/>
        <v>2800</v>
      </c>
      <c r="X187" s="64" t="s">
        <v>36</v>
      </c>
      <c r="Y187" s="64" t="s">
        <v>29</v>
      </c>
      <c r="Z187" s="71">
        <f t="shared" si="321"/>
        <v>14.736842105263158</v>
      </c>
      <c r="AA187" s="93"/>
    </row>
    <row r="188" spans="1:27">
      <c r="A188" s="64">
        <f>SUBTOTAL(3,C$2:C188)</f>
        <v>187</v>
      </c>
      <c r="B188" s="64" t="s">
        <v>30</v>
      </c>
      <c r="C188" s="64" t="s">
        <v>76</v>
      </c>
      <c r="D188" s="64" t="s">
        <v>32</v>
      </c>
      <c r="E188" s="64" t="s">
        <v>33</v>
      </c>
      <c r="F188" s="64" t="s">
        <v>77</v>
      </c>
      <c r="G188" s="91" t="s">
        <v>67</v>
      </c>
      <c r="H188" s="92">
        <v>17293</v>
      </c>
      <c r="I188" s="65">
        <v>46123</v>
      </c>
      <c r="J188" s="64">
        <f t="shared" ca="1" si="317"/>
        <v>61</v>
      </c>
      <c r="K188" s="64">
        <f t="shared" si="318"/>
        <v>46139</v>
      </c>
      <c r="L188" s="64" t="s">
        <v>97</v>
      </c>
      <c r="M188" s="64">
        <v>21500</v>
      </c>
      <c r="N188" s="64">
        <v>21500</v>
      </c>
      <c r="O188" s="65">
        <v>46126</v>
      </c>
      <c r="P188" s="64">
        <f t="shared" si="319"/>
        <v>0</v>
      </c>
      <c r="Q188" s="64" t="s">
        <v>33</v>
      </c>
      <c r="R188" s="64" t="s">
        <v>78</v>
      </c>
      <c r="S188" s="64">
        <v>25500</v>
      </c>
      <c r="T188" s="64" t="s">
        <v>825</v>
      </c>
      <c r="U188" s="65">
        <v>46139</v>
      </c>
      <c r="V188" s="64" t="s">
        <v>28</v>
      </c>
      <c r="W188" s="64">
        <f t="shared" si="320"/>
        <v>4000</v>
      </c>
      <c r="X188" s="64" t="s">
        <v>36</v>
      </c>
      <c r="Y188" s="64" t="s">
        <v>29</v>
      </c>
      <c r="Z188" s="71">
        <f t="shared" si="321"/>
        <v>18.604651162790699</v>
      </c>
      <c r="AA188" s="93"/>
    </row>
    <row r="189" spans="1:27">
      <c r="A189" s="64">
        <f>SUBTOTAL(3,C$2:C189)</f>
        <v>188</v>
      </c>
      <c r="B189" s="64" t="s">
        <v>30</v>
      </c>
      <c r="C189" s="64" t="s">
        <v>76</v>
      </c>
      <c r="D189" s="64" t="s">
        <v>32</v>
      </c>
      <c r="E189" s="64" t="s">
        <v>33</v>
      </c>
      <c r="F189" s="64" t="s">
        <v>373</v>
      </c>
      <c r="G189" s="91" t="s">
        <v>67</v>
      </c>
      <c r="H189" s="92">
        <v>17294</v>
      </c>
      <c r="I189" s="65">
        <v>46125</v>
      </c>
      <c r="J189" s="64">
        <f t="shared" ref="J189:J190" ca="1" si="322">+TODAY()-I189</f>
        <v>59</v>
      </c>
      <c r="K189" s="64">
        <f t="shared" ref="K189:K190" si="323">+U189</f>
        <v>46136</v>
      </c>
      <c r="L189" s="64" t="s">
        <v>97</v>
      </c>
      <c r="M189" s="64">
        <f>3000+38500</f>
        <v>41500</v>
      </c>
      <c r="N189" s="64">
        <v>35500</v>
      </c>
      <c r="O189" s="65">
        <v>46126</v>
      </c>
      <c r="P189" s="64">
        <f t="shared" ref="P189:P190" si="324">+M189-N189</f>
        <v>6000</v>
      </c>
      <c r="Q189" s="64" t="s">
        <v>33</v>
      </c>
      <c r="R189" s="64" t="s">
        <v>52</v>
      </c>
      <c r="S189" s="64">
        <f>5000+42000</f>
        <v>47000</v>
      </c>
      <c r="T189" s="64" t="s">
        <v>811</v>
      </c>
      <c r="U189" s="65">
        <v>46136</v>
      </c>
      <c r="V189" s="64" t="s">
        <v>28</v>
      </c>
      <c r="W189" s="64">
        <f t="shared" ref="W189:W190" si="325">+S189-M189</f>
        <v>5500</v>
      </c>
      <c r="X189" s="64" t="s">
        <v>36</v>
      </c>
      <c r="Y189" s="64" t="s">
        <v>29</v>
      </c>
      <c r="Z189" s="71">
        <f t="shared" ref="Z189:Z190" si="326">+W189*100/M189</f>
        <v>13.253012048192771</v>
      </c>
      <c r="AA189" s="93"/>
    </row>
    <row r="190" spans="1:27">
      <c r="A190" s="64">
        <f>SUBTOTAL(3,C$2:C190)</f>
        <v>189</v>
      </c>
      <c r="B190" s="64" t="s">
        <v>30</v>
      </c>
      <c r="C190" s="64" t="s">
        <v>31</v>
      </c>
      <c r="D190" s="64" t="s">
        <v>32</v>
      </c>
      <c r="E190" s="64" t="s">
        <v>33</v>
      </c>
      <c r="F190" s="64" t="s">
        <v>374</v>
      </c>
      <c r="G190" s="91" t="s">
        <v>34</v>
      </c>
      <c r="H190" s="64">
        <v>17295</v>
      </c>
      <c r="I190" s="65">
        <v>46126</v>
      </c>
      <c r="J190" s="64">
        <f t="shared" ca="1" si="322"/>
        <v>58</v>
      </c>
      <c r="K190" s="64" t="str">
        <f t="shared" si="323"/>
        <v>Pending</v>
      </c>
      <c r="L190" s="64" t="s">
        <v>111</v>
      </c>
      <c r="M190" s="64">
        <v>11700</v>
      </c>
      <c r="N190" s="64">
        <v>10700</v>
      </c>
      <c r="O190" s="65">
        <v>46126</v>
      </c>
      <c r="P190" s="64">
        <f t="shared" si="324"/>
        <v>1000</v>
      </c>
      <c r="Q190" s="64" t="s">
        <v>33</v>
      </c>
      <c r="R190" s="64" t="s">
        <v>112</v>
      </c>
      <c r="S190" s="64">
        <v>13500</v>
      </c>
      <c r="T190" s="64" t="s">
        <v>33</v>
      </c>
      <c r="U190" s="65" t="s">
        <v>33</v>
      </c>
      <c r="V190" s="64" t="s">
        <v>28</v>
      </c>
      <c r="W190" s="64">
        <f t="shared" si="325"/>
        <v>1800</v>
      </c>
      <c r="X190" s="64" t="s">
        <v>36</v>
      </c>
      <c r="Y190" s="64" t="s">
        <v>29</v>
      </c>
      <c r="Z190" s="71">
        <f t="shared" si="326"/>
        <v>15.384615384615385</v>
      </c>
      <c r="AA190" s="93"/>
    </row>
    <row r="191" spans="1:27">
      <c r="A191" s="64">
        <f>SUBTOTAL(3,C$2:C191)</f>
        <v>190</v>
      </c>
      <c r="B191" s="64" t="s">
        <v>30</v>
      </c>
      <c r="C191" s="64" t="s">
        <v>31</v>
      </c>
      <c r="D191" s="64" t="s">
        <v>32</v>
      </c>
      <c r="E191" s="64" t="s">
        <v>33</v>
      </c>
      <c r="F191" s="64" t="s">
        <v>377</v>
      </c>
      <c r="G191" s="91" t="s">
        <v>34</v>
      </c>
      <c r="H191" s="92">
        <v>17296</v>
      </c>
      <c r="I191" s="65">
        <v>46126</v>
      </c>
      <c r="J191" s="64">
        <f t="shared" ref="J191" ca="1" si="327">+TODAY()-I191</f>
        <v>58</v>
      </c>
      <c r="K191" s="64">
        <f t="shared" ref="K191" si="328">+U191</f>
        <v>46136</v>
      </c>
      <c r="L191" s="64" t="s">
        <v>47</v>
      </c>
      <c r="M191" s="64">
        <v>19000</v>
      </c>
      <c r="N191" s="64">
        <v>17000</v>
      </c>
      <c r="O191" s="65">
        <v>46126</v>
      </c>
      <c r="P191" s="64">
        <f t="shared" ref="P191" si="329">+M191-N191</f>
        <v>2000</v>
      </c>
      <c r="Q191" s="65">
        <v>46141</v>
      </c>
      <c r="R191" s="64" t="s">
        <v>39</v>
      </c>
      <c r="S191" s="64">
        <v>21800</v>
      </c>
      <c r="T191" s="64" t="s">
        <v>806</v>
      </c>
      <c r="U191" s="65">
        <v>46136</v>
      </c>
      <c r="V191" s="64" t="s">
        <v>28</v>
      </c>
      <c r="W191" s="64">
        <f t="shared" ref="W191" si="330">+S191-M191</f>
        <v>2800</v>
      </c>
      <c r="X191" s="64" t="s">
        <v>36</v>
      </c>
      <c r="Y191" s="64" t="s">
        <v>29</v>
      </c>
      <c r="Z191" s="71">
        <f t="shared" ref="Z191" si="331">+W191*100/M191</f>
        <v>14.736842105263158</v>
      </c>
      <c r="AA191" s="93"/>
    </row>
    <row r="192" spans="1:27">
      <c r="A192" s="64">
        <f>SUBTOTAL(3,C$2:C192)</f>
        <v>191</v>
      </c>
      <c r="B192" s="64" t="s">
        <v>30</v>
      </c>
      <c r="C192" s="64" t="s">
        <v>31</v>
      </c>
      <c r="D192" s="64" t="s">
        <v>32</v>
      </c>
      <c r="E192" s="64" t="s">
        <v>33</v>
      </c>
      <c r="F192" s="64" t="s">
        <v>248</v>
      </c>
      <c r="G192" s="91" t="s">
        <v>34</v>
      </c>
      <c r="H192" s="92">
        <v>17297</v>
      </c>
      <c r="I192" s="65">
        <v>46126</v>
      </c>
      <c r="J192" s="64">
        <f t="shared" ref="J192:J193" ca="1" si="332">+TODAY()-I192</f>
        <v>58</v>
      </c>
      <c r="K192" s="64">
        <f t="shared" ref="K192:K193" si="333">+U192</f>
        <v>46136</v>
      </c>
      <c r="L192" s="64" t="s">
        <v>47</v>
      </c>
      <c r="M192" s="64">
        <v>19000</v>
      </c>
      <c r="N192" s="64">
        <v>17000</v>
      </c>
      <c r="O192" s="65">
        <v>46126</v>
      </c>
      <c r="P192" s="64">
        <f t="shared" ref="P192:P193" si="334">+M192-N192</f>
        <v>2000</v>
      </c>
      <c r="Q192" s="65">
        <v>46141</v>
      </c>
      <c r="R192" s="64" t="s">
        <v>39</v>
      </c>
      <c r="S192" s="64">
        <v>21800</v>
      </c>
      <c r="T192" s="64" t="s">
        <v>806</v>
      </c>
      <c r="U192" s="65">
        <v>46136</v>
      </c>
      <c r="V192" s="64" t="s">
        <v>28</v>
      </c>
      <c r="W192" s="64">
        <f t="shared" ref="W192:W193" si="335">+S192-M192</f>
        <v>2800</v>
      </c>
      <c r="X192" s="64" t="s">
        <v>36</v>
      </c>
      <c r="Y192" s="64" t="s">
        <v>29</v>
      </c>
      <c r="Z192" s="71">
        <f t="shared" ref="Z192:Z193" si="336">+W192*100/M192</f>
        <v>14.736842105263158</v>
      </c>
      <c r="AA192" s="93"/>
    </row>
    <row r="193" spans="1:27">
      <c r="A193" s="64">
        <f>SUBTOTAL(3,C$2:C193)</f>
        <v>192</v>
      </c>
      <c r="B193" s="64" t="s">
        <v>30</v>
      </c>
      <c r="C193" s="64" t="s">
        <v>44</v>
      </c>
      <c r="D193" s="64" t="s">
        <v>32</v>
      </c>
      <c r="E193" s="64" t="s">
        <v>33</v>
      </c>
      <c r="F193" s="64" t="s">
        <v>378</v>
      </c>
      <c r="G193" s="91" t="s">
        <v>46</v>
      </c>
      <c r="H193" s="92">
        <v>17298</v>
      </c>
      <c r="I193" s="65">
        <v>46126</v>
      </c>
      <c r="J193" s="64">
        <f t="shared" ca="1" si="332"/>
        <v>58</v>
      </c>
      <c r="K193" s="64">
        <f t="shared" si="333"/>
        <v>46162</v>
      </c>
      <c r="L193" s="64" t="s">
        <v>47</v>
      </c>
      <c r="M193" s="64">
        <v>19000</v>
      </c>
      <c r="N193" s="64">
        <v>17000</v>
      </c>
      <c r="O193" s="65">
        <v>46126</v>
      </c>
      <c r="P193" s="64">
        <f t="shared" si="334"/>
        <v>2000</v>
      </c>
      <c r="Q193" s="64" t="s">
        <v>33</v>
      </c>
      <c r="R193" s="64" t="s">
        <v>39</v>
      </c>
      <c r="S193" s="64">
        <v>21800</v>
      </c>
      <c r="T193" s="64" t="s">
        <v>2144</v>
      </c>
      <c r="U193" s="65">
        <v>46162</v>
      </c>
      <c r="V193" s="64" t="s">
        <v>28</v>
      </c>
      <c r="W193" s="64">
        <f t="shared" si="335"/>
        <v>2800</v>
      </c>
      <c r="X193" s="64" t="s">
        <v>36</v>
      </c>
      <c r="Y193" s="64" t="s">
        <v>29</v>
      </c>
      <c r="Z193" s="71">
        <f t="shared" si="336"/>
        <v>14.736842105263158</v>
      </c>
      <c r="AA193" s="93"/>
    </row>
    <row r="194" spans="1:27">
      <c r="A194" s="64">
        <f>SUBTOTAL(3,C$2:C194)</f>
        <v>193</v>
      </c>
      <c r="B194" s="64" t="s">
        <v>30</v>
      </c>
      <c r="C194" s="64" t="s">
        <v>31</v>
      </c>
      <c r="D194" s="64" t="s">
        <v>32</v>
      </c>
      <c r="E194" s="64" t="s">
        <v>33</v>
      </c>
      <c r="F194" s="64" t="s">
        <v>379</v>
      </c>
      <c r="G194" s="91" t="s">
        <v>34</v>
      </c>
      <c r="H194" s="92">
        <v>17299</v>
      </c>
      <c r="I194" s="65">
        <v>46126</v>
      </c>
      <c r="J194" s="64">
        <f t="shared" ref="J194:J195" ca="1" si="337">+TODAY()-I194</f>
        <v>58</v>
      </c>
      <c r="K194" s="64">
        <f t="shared" ref="K194:K195" si="338">+U194</f>
        <v>46137</v>
      </c>
      <c r="L194" s="64" t="s">
        <v>47</v>
      </c>
      <c r="M194" s="64">
        <v>18300</v>
      </c>
      <c r="N194" s="64">
        <v>16500</v>
      </c>
      <c r="O194" s="65">
        <v>46126</v>
      </c>
      <c r="P194" s="64">
        <f t="shared" ref="P194:P195" si="339">+M194-N194</f>
        <v>1800</v>
      </c>
      <c r="Q194" s="65">
        <v>46141</v>
      </c>
      <c r="R194" s="64" t="s">
        <v>37</v>
      </c>
      <c r="S194" s="64">
        <v>21500</v>
      </c>
      <c r="T194" s="64" t="s">
        <v>823</v>
      </c>
      <c r="U194" s="65">
        <v>46137</v>
      </c>
      <c r="V194" s="64" t="s">
        <v>28</v>
      </c>
      <c r="W194" s="64">
        <f t="shared" ref="W194:W195" si="340">+S194-M194</f>
        <v>3200</v>
      </c>
      <c r="X194" s="64" t="s">
        <v>36</v>
      </c>
      <c r="Y194" s="64" t="s">
        <v>29</v>
      </c>
      <c r="Z194" s="71">
        <f t="shared" ref="Z194:Z195" si="341">+W194*100/M194</f>
        <v>17.486338797814209</v>
      </c>
      <c r="AA194" s="93"/>
    </row>
    <row r="195" spans="1:27">
      <c r="A195" s="64">
        <f>SUBTOTAL(3,C$2:C195)</f>
        <v>194</v>
      </c>
      <c r="B195" s="64" t="s">
        <v>30</v>
      </c>
      <c r="C195" s="64" t="s">
        <v>44</v>
      </c>
      <c r="D195" s="64" t="s">
        <v>32</v>
      </c>
      <c r="E195" s="64" t="s">
        <v>33</v>
      </c>
      <c r="F195" s="64" t="s">
        <v>380</v>
      </c>
      <c r="G195" s="91">
        <v>407</v>
      </c>
      <c r="H195" s="92">
        <v>17300</v>
      </c>
      <c r="I195" s="65">
        <v>46126</v>
      </c>
      <c r="J195" s="64">
        <f t="shared" ca="1" si="337"/>
        <v>58</v>
      </c>
      <c r="K195" s="64">
        <f t="shared" si="338"/>
        <v>46170</v>
      </c>
      <c r="L195" s="64" t="s">
        <v>381</v>
      </c>
      <c r="M195" s="64">
        <v>27500</v>
      </c>
      <c r="N195" s="64">
        <v>25500</v>
      </c>
      <c r="O195" s="65">
        <v>46126</v>
      </c>
      <c r="P195" s="64">
        <f t="shared" si="339"/>
        <v>2000</v>
      </c>
      <c r="Q195" s="64" t="s">
        <v>33</v>
      </c>
      <c r="R195" s="64" t="s">
        <v>56</v>
      </c>
      <c r="S195" s="64">
        <v>30800</v>
      </c>
      <c r="T195" s="64" t="s">
        <v>2661</v>
      </c>
      <c r="U195" s="65">
        <v>46170</v>
      </c>
      <c r="V195" s="64" t="s">
        <v>28</v>
      </c>
      <c r="W195" s="64">
        <f t="shared" si="340"/>
        <v>3300</v>
      </c>
      <c r="X195" s="64" t="s">
        <v>36</v>
      </c>
      <c r="Y195" s="64" t="s">
        <v>29</v>
      </c>
      <c r="Z195" s="71">
        <f t="shared" si="341"/>
        <v>12</v>
      </c>
      <c r="AA195" s="93"/>
    </row>
    <row r="196" spans="1:27">
      <c r="A196" s="64">
        <f>SUBTOTAL(3,C$2:C196)</f>
        <v>195</v>
      </c>
      <c r="B196" s="64" t="s">
        <v>30</v>
      </c>
      <c r="C196" s="64" t="s">
        <v>31</v>
      </c>
      <c r="D196" s="64" t="s">
        <v>32</v>
      </c>
      <c r="E196" s="64" t="s">
        <v>33</v>
      </c>
      <c r="F196" s="64" t="s">
        <v>382</v>
      </c>
      <c r="G196" s="91" t="s">
        <v>34</v>
      </c>
      <c r="H196" s="92" t="s">
        <v>1169</v>
      </c>
      <c r="I196" s="65">
        <v>46126</v>
      </c>
      <c r="J196" s="64">
        <f t="shared" ref="J196:J200" ca="1" si="342">+TODAY()-I196</f>
        <v>58</v>
      </c>
      <c r="K196" s="64">
        <f t="shared" ref="K196:K200" si="343">+U196</f>
        <v>46148</v>
      </c>
      <c r="L196" s="64" t="s">
        <v>273</v>
      </c>
      <c r="M196" s="64">
        <v>18000</v>
      </c>
      <c r="N196" s="64">
        <v>16000</v>
      </c>
      <c r="O196" s="65">
        <v>46126</v>
      </c>
      <c r="P196" s="64">
        <f t="shared" ref="P196:P200" si="344">+M196-N196</f>
        <v>2000</v>
      </c>
      <c r="Q196" s="64" t="s">
        <v>33</v>
      </c>
      <c r="R196" s="64" t="s">
        <v>56</v>
      </c>
      <c r="S196" s="64">
        <v>20500</v>
      </c>
      <c r="T196" s="64" t="s">
        <v>1339</v>
      </c>
      <c r="U196" s="65">
        <v>46148</v>
      </c>
      <c r="V196" s="64" t="s">
        <v>28</v>
      </c>
      <c r="W196" s="64">
        <f t="shared" ref="W196:W200" si="345">+S196-M196</f>
        <v>2500</v>
      </c>
      <c r="X196" s="64" t="s">
        <v>36</v>
      </c>
      <c r="Y196" s="64" t="s">
        <v>29</v>
      </c>
      <c r="Z196" s="71">
        <f t="shared" ref="Z196:Z200" si="346">+W196*100/M196</f>
        <v>13.888888888888889</v>
      </c>
      <c r="AA196" s="93"/>
    </row>
    <row r="197" spans="1:27">
      <c r="A197" s="64">
        <f>SUBTOTAL(3,C$2:C197)</f>
        <v>196</v>
      </c>
      <c r="B197" s="64" t="s">
        <v>30</v>
      </c>
      <c r="C197" s="64" t="s">
        <v>31</v>
      </c>
      <c r="D197" s="64" t="s">
        <v>32</v>
      </c>
      <c r="E197" s="64" t="s">
        <v>33</v>
      </c>
      <c r="F197" s="64" t="s">
        <v>384</v>
      </c>
      <c r="G197" s="91" t="s">
        <v>34</v>
      </c>
      <c r="H197" s="92" t="s">
        <v>1170</v>
      </c>
      <c r="I197" s="65">
        <v>46126</v>
      </c>
      <c r="J197" s="64">
        <f t="shared" ca="1" si="342"/>
        <v>58</v>
      </c>
      <c r="K197" s="64">
        <f t="shared" si="343"/>
        <v>46148</v>
      </c>
      <c r="L197" s="64" t="s">
        <v>273</v>
      </c>
      <c r="M197" s="64">
        <v>18000</v>
      </c>
      <c r="N197" s="64">
        <v>16000</v>
      </c>
      <c r="O197" s="65">
        <v>46126</v>
      </c>
      <c r="P197" s="64">
        <f t="shared" si="344"/>
        <v>2000</v>
      </c>
      <c r="Q197" s="64" t="s">
        <v>33</v>
      </c>
      <c r="R197" s="64" t="s">
        <v>56</v>
      </c>
      <c r="S197" s="64">
        <v>20500</v>
      </c>
      <c r="T197" s="64" t="s">
        <v>1339</v>
      </c>
      <c r="U197" s="65">
        <v>46148</v>
      </c>
      <c r="V197" s="64" t="s">
        <v>28</v>
      </c>
      <c r="W197" s="64">
        <f t="shared" si="345"/>
        <v>2500</v>
      </c>
      <c r="X197" s="64" t="s">
        <v>36</v>
      </c>
      <c r="Y197" s="64" t="s">
        <v>29</v>
      </c>
      <c r="Z197" s="71">
        <f t="shared" si="346"/>
        <v>13.888888888888889</v>
      </c>
      <c r="AA197" s="93"/>
    </row>
    <row r="198" spans="1:27">
      <c r="A198" s="64">
        <f>SUBTOTAL(3,C$2:C198)</f>
        <v>197</v>
      </c>
      <c r="B198" s="64" t="s">
        <v>30</v>
      </c>
      <c r="C198" s="64" t="s">
        <v>80</v>
      </c>
      <c r="D198" s="64" t="s">
        <v>32</v>
      </c>
      <c r="E198" s="64" t="s">
        <v>33</v>
      </c>
      <c r="F198" s="64" t="s">
        <v>386</v>
      </c>
      <c r="G198" s="91" t="s">
        <v>59</v>
      </c>
      <c r="H198" s="92" t="s">
        <v>1192</v>
      </c>
      <c r="I198" s="65">
        <v>46123</v>
      </c>
      <c r="J198" s="64">
        <f t="shared" ca="1" si="342"/>
        <v>61</v>
      </c>
      <c r="K198" s="64">
        <f t="shared" si="343"/>
        <v>46169</v>
      </c>
      <c r="L198" s="66" t="s">
        <v>121</v>
      </c>
      <c r="M198" s="64">
        <v>22500</v>
      </c>
      <c r="N198" s="64">
        <v>22500</v>
      </c>
      <c r="O198" s="65">
        <v>46126</v>
      </c>
      <c r="P198" s="64">
        <f t="shared" si="344"/>
        <v>0</v>
      </c>
      <c r="Q198" s="64" t="s">
        <v>33</v>
      </c>
      <c r="R198" s="64" t="s">
        <v>39</v>
      </c>
      <c r="S198" s="64">
        <v>25200</v>
      </c>
      <c r="T198" s="64" t="s">
        <v>2656</v>
      </c>
      <c r="U198" s="65">
        <v>46169</v>
      </c>
      <c r="V198" s="64" t="s">
        <v>28</v>
      </c>
      <c r="W198" s="64">
        <f t="shared" si="345"/>
        <v>2700</v>
      </c>
      <c r="X198" s="64" t="s">
        <v>36</v>
      </c>
      <c r="Y198" s="64" t="s">
        <v>29</v>
      </c>
      <c r="Z198" s="71">
        <f t="shared" si="346"/>
        <v>12</v>
      </c>
      <c r="AA198" s="93"/>
    </row>
    <row r="199" spans="1:27">
      <c r="A199" s="64">
        <f>SUBTOTAL(3,C$2:C199)</f>
        <v>198</v>
      </c>
      <c r="B199" s="64" t="s">
        <v>30</v>
      </c>
      <c r="C199" s="64" t="s">
        <v>31</v>
      </c>
      <c r="D199" s="64" t="s">
        <v>32</v>
      </c>
      <c r="E199" s="64" t="s">
        <v>33</v>
      </c>
      <c r="F199" s="64" t="s">
        <v>388</v>
      </c>
      <c r="G199" s="91" t="s">
        <v>34</v>
      </c>
      <c r="H199" s="92" t="s">
        <v>1317</v>
      </c>
      <c r="I199" s="65">
        <v>46126</v>
      </c>
      <c r="J199" s="64">
        <f t="shared" ca="1" si="342"/>
        <v>58</v>
      </c>
      <c r="K199" s="64" t="str">
        <f t="shared" si="343"/>
        <v>Pending</v>
      </c>
      <c r="L199" s="64" t="s">
        <v>88</v>
      </c>
      <c r="M199" s="64">
        <v>23300</v>
      </c>
      <c r="N199" s="64">
        <v>21500</v>
      </c>
      <c r="O199" s="65">
        <v>46126</v>
      </c>
      <c r="P199" s="64">
        <f t="shared" si="344"/>
        <v>1800</v>
      </c>
      <c r="Q199" s="64" t="s">
        <v>33</v>
      </c>
      <c r="R199" s="64" t="s">
        <v>37</v>
      </c>
      <c r="S199" s="64">
        <v>26000</v>
      </c>
      <c r="T199" s="64" t="s">
        <v>33</v>
      </c>
      <c r="U199" s="65" t="s">
        <v>33</v>
      </c>
      <c r="V199" s="64" t="s">
        <v>28</v>
      </c>
      <c r="W199" s="64">
        <f t="shared" si="345"/>
        <v>2700</v>
      </c>
      <c r="X199" s="64" t="s">
        <v>36</v>
      </c>
      <c r="Y199" s="64" t="s">
        <v>29</v>
      </c>
      <c r="Z199" s="71">
        <f t="shared" si="346"/>
        <v>11.587982832618026</v>
      </c>
      <c r="AA199" s="93"/>
    </row>
    <row r="200" spans="1:27">
      <c r="A200" s="64">
        <f>SUBTOTAL(3,C$2:C200)</f>
        <v>199</v>
      </c>
      <c r="B200" s="64" t="s">
        <v>30</v>
      </c>
      <c r="C200" s="64" t="s">
        <v>31</v>
      </c>
      <c r="D200" s="64" t="s">
        <v>32</v>
      </c>
      <c r="E200" s="64" t="s">
        <v>33</v>
      </c>
      <c r="F200" s="64" t="s">
        <v>296</v>
      </c>
      <c r="G200" s="91" t="s">
        <v>34</v>
      </c>
      <c r="H200" s="92" t="s">
        <v>390</v>
      </c>
      <c r="I200" s="65">
        <v>46126</v>
      </c>
      <c r="J200" s="64">
        <f t="shared" ca="1" si="342"/>
        <v>58</v>
      </c>
      <c r="K200" s="64">
        <f t="shared" si="343"/>
        <v>46139</v>
      </c>
      <c r="L200" s="64" t="s">
        <v>88</v>
      </c>
      <c r="M200" s="64">
        <v>28500</v>
      </c>
      <c r="N200" s="64">
        <v>26500</v>
      </c>
      <c r="O200" s="65">
        <v>46126</v>
      </c>
      <c r="P200" s="64">
        <f t="shared" si="344"/>
        <v>2000</v>
      </c>
      <c r="Q200" s="65">
        <v>46141</v>
      </c>
      <c r="R200" s="64" t="s">
        <v>118</v>
      </c>
      <c r="S200" s="64">
        <v>30500</v>
      </c>
      <c r="T200" s="64" t="s">
        <v>826</v>
      </c>
      <c r="U200" s="65">
        <v>46139</v>
      </c>
      <c r="V200" s="64" t="s">
        <v>28</v>
      </c>
      <c r="W200" s="64">
        <f t="shared" si="345"/>
        <v>2000</v>
      </c>
      <c r="X200" s="64" t="s">
        <v>36</v>
      </c>
      <c r="Y200" s="64" t="s">
        <v>29</v>
      </c>
      <c r="Z200" s="71">
        <f t="shared" si="346"/>
        <v>7.0175438596491224</v>
      </c>
      <c r="AA200" s="93"/>
    </row>
    <row r="201" spans="1:27">
      <c r="A201" s="64">
        <f>SUBTOTAL(3,C$2:C201)</f>
        <v>200</v>
      </c>
      <c r="B201" s="64" t="s">
        <v>30</v>
      </c>
      <c r="C201" s="64" t="s">
        <v>137</v>
      </c>
      <c r="D201" s="64" t="s">
        <v>32</v>
      </c>
      <c r="E201" s="64" t="s">
        <v>33</v>
      </c>
      <c r="F201" s="64" t="s">
        <v>138</v>
      </c>
      <c r="G201" s="91" t="s">
        <v>50</v>
      </c>
      <c r="H201" s="92" t="s">
        <v>1171</v>
      </c>
      <c r="I201" s="65">
        <v>46126</v>
      </c>
      <c r="J201" s="64">
        <f t="shared" ref="J201:J208" ca="1" si="347">+TODAY()-I201</f>
        <v>58</v>
      </c>
      <c r="K201" s="64">
        <f t="shared" ref="K201:K208" si="348">+U201</f>
        <v>46136</v>
      </c>
      <c r="L201" s="64" t="s">
        <v>97</v>
      </c>
      <c r="M201" s="64">
        <f>3000+44000</f>
        <v>47000</v>
      </c>
      <c r="N201" s="64">
        <v>40000</v>
      </c>
      <c r="O201" s="65">
        <v>46126</v>
      </c>
      <c r="P201" s="64">
        <f t="shared" ref="P201:P208" si="349">+M201-N201</f>
        <v>7000</v>
      </c>
      <c r="Q201" s="65">
        <v>46141</v>
      </c>
      <c r="R201" s="64" t="s">
        <v>52</v>
      </c>
      <c r="S201" s="64">
        <f>3000+48000</f>
        <v>51000</v>
      </c>
      <c r="T201" s="64" t="s">
        <v>815</v>
      </c>
      <c r="U201" s="65">
        <v>46136</v>
      </c>
      <c r="V201" s="64" t="s">
        <v>28</v>
      </c>
      <c r="W201" s="64">
        <f t="shared" ref="W201:W208" si="350">+S201-M201</f>
        <v>4000</v>
      </c>
      <c r="X201" s="64" t="s">
        <v>36</v>
      </c>
      <c r="Y201" s="64" t="s">
        <v>29</v>
      </c>
      <c r="Z201" s="71">
        <f t="shared" ref="Z201:Z208" si="351">+W201*100/M201</f>
        <v>8.5106382978723403</v>
      </c>
      <c r="AA201" s="93"/>
    </row>
    <row r="202" spans="1:27">
      <c r="A202" s="64">
        <f>SUBTOTAL(3,C$2:C202)</f>
        <v>201</v>
      </c>
      <c r="B202" s="64" t="s">
        <v>30</v>
      </c>
      <c r="C202" s="64" t="s">
        <v>31</v>
      </c>
      <c r="D202" s="64" t="s">
        <v>32</v>
      </c>
      <c r="E202" s="64" t="s">
        <v>33</v>
      </c>
      <c r="F202" s="64" t="s">
        <v>391</v>
      </c>
      <c r="G202" s="91" t="s">
        <v>34</v>
      </c>
      <c r="H202" s="64" t="s">
        <v>392</v>
      </c>
      <c r="I202" s="65">
        <v>46126</v>
      </c>
      <c r="J202" s="64">
        <f t="shared" ca="1" si="347"/>
        <v>58</v>
      </c>
      <c r="K202" s="64">
        <f t="shared" si="348"/>
        <v>46136</v>
      </c>
      <c r="L202" s="64" t="s">
        <v>47</v>
      </c>
      <c r="M202" s="64">
        <v>19000</v>
      </c>
      <c r="N202" s="64">
        <v>17000</v>
      </c>
      <c r="O202" s="65">
        <v>46126</v>
      </c>
      <c r="P202" s="64">
        <f t="shared" si="349"/>
        <v>2000</v>
      </c>
      <c r="Q202" s="65">
        <v>46141</v>
      </c>
      <c r="R202" s="64" t="s">
        <v>39</v>
      </c>
      <c r="S202" s="64">
        <v>21800</v>
      </c>
      <c r="T202" s="64" t="s">
        <v>804</v>
      </c>
      <c r="U202" s="65">
        <v>46136</v>
      </c>
      <c r="V202" s="64" t="s">
        <v>28</v>
      </c>
      <c r="W202" s="64">
        <f t="shared" si="350"/>
        <v>2800</v>
      </c>
      <c r="X202" s="64" t="s">
        <v>36</v>
      </c>
      <c r="Y202" s="64" t="s">
        <v>29</v>
      </c>
      <c r="Z202" s="71">
        <f t="shared" si="351"/>
        <v>14.736842105263158</v>
      </c>
      <c r="AA202" s="93"/>
    </row>
    <row r="203" spans="1:27">
      <c r="A203" s="64">
        <f>SUBTOTAL(3,C$2:C203)</f>
        <v>202</v>
      </c>
      <c r="B203" s="64" t="s">
        <v>30</v>
      </c>
      <c r="C203" s="64" t="s">
        <v>44</v>
      </c>
      <c r="D203" s="64" t="s">
        <v>32</v>
      </c>
      <c r="E203" s="64" t="s">
        <v>33</v>
      </c>
      <c r="F203" s="64" t="s">
        <v>393</v>
      </c>
      <c r="G203" s="91" t="s">
        <v>46</v>
      </c>
      <c r="H203" s="64" t="s">
        <v>394</v>
      </c>
      <c r="I203" s="65">
        <v>46119</v>
      </c>
      <c r="J203" s="64">
        <f t="shared" ca="1" si="347"/>
        <v>65</v>
      </c>
      <c r="K203" s="64" t="str">
        <f t="shared" si="348"/>
        <v>Pending</v>
      </c>
      <c r="L203" s="64" t="s">
        <v>181</v>
      </c>
      <c r="M203" s="64">
        <v>12500</v>
      </c>
      <c r="N203" s="64">
        <v>11500</v>
      </c>
      <c r="O203" s="65">
        <v>46126</v>
      </c>
      <c r="P203" s="64">
        <f t="shared" si="349"/>
        <v>1000</v>
      </c>
      <c r="Q203" s="64" t="s">
        <v>33</v>
      </c>
      <c r="R203" s="64" t="s">
        <v>112</v>
      </c>
      <c r="S203" s="64">
        <v>14500</v>
      </c>
      <c r="T203" s="64" t="s">
        <v>33</v>
      </c>
      <c r="U203" s="65" t="s">
        <v>33</v>
      </c>
      <c r="V203" s="64" t="s">
        <v>28</v>
      </c>
      <c r="W203" s="64">
        <f t="shared" si="350"/>
        <v>2000</v>
      </c>
      <c r="X203" s="64" t="s">
        <v>36</v>
      </c>
      <c r="Y203" s="64" t="s">
        <v>29</v>
      </c>
      <c r="Z203" s="71">
        <f t="shared" si="351"/>
        <v>16</v>
      </c>
      <c r="AA203" s="93"/>
    </row>
    <row r="204" spans="1:27">
      <c r="A204" s="64">
        <f>SUBTOTAL(3,C$2:C204)</f>
        <v>203</v>
      </c>
      <c r="B204" s="64" t="s">
        <v>30</v>
      </c>
      <c r="C204" s="64" t="s">
        <v>31</v>
      </c>
      <c r="D204" s="64" t="s">
        <v>32</v>
      </c>
      <c r="E204" s="64" t="s">
        <v>33</v>
      </c>
      <c r="F204" s="64" t="s">
        <v>403</v>
      </c>
      <c r="G204" s="91" t="s">
        <v>34</v>
      </c>
      <c r="H204" s="92" t="s">
        <v>1172</v>
      </c>
      <c r="I204" s="65">
        <v>46126</v>
      </c>
      <c r="J204" s="64">
        <f t="shared" ca="1" si="347"/>
        <v>58</v>
      </c>
      <c r="K204" s="64">
        <f t="shared" si="348"/>
        <v>46148</v>
      </c>
      <c r="L204" s="64" t="s">
        <v>273</v>
      </c>
      <c r="M204" s="64">
        <v>18000</v>
      </c>
      <c r="N204" s="64">
        <v>16000</v>
      </c>
      <c r="O204" s="65">
        <v>46127</v>
      </c>
      <c r="P204" s="64">
        <f t="shared" si="349"/>
        <v>2000</v>
      </c>
      <c r="Q204" s="64" t="s">
        <v>33</v>
      </c>
      <c r="R204" s="64" t="s">
        <v>56</v>
      </c>
      <c r="S204" s="64">
        <v>20500</v>
      </c>
      <c r="T204" s="64" t="s">
        <v>1339</v>
      </c>
      <c r="U204" s="65">
        <v>46148</v>
      </c>
      <c r="V204" s="64" t="s">
        <v>28</v>
      </c>
      <c r="W204" s="64">
        <f t="shared" si="350"/>
        <v>2500</v>
      </c>
      <c r="X204" s="64" t="s">
        <v>36</v>
      </c>
      <c r="Y204" s="64" t="s">
        <v>29</v>
      </c>
      <c r="Z204" s="71">
        <f t="shared" si="351"/>
        <v>13.888888888888889</v>
      </c>
      <c r="AA204" s="93"/>
    </row>
    <row r="205" spans="1:27">
      <c r="A205" s="64">
        <f>SUBTOTAL(3,C$2:C205)</f>
        <v>204</v>
      </c>
      <c r="B205" s="64" t="s">
        <v>30</v>
      </c>
      <c r="C205" s="64" t="s">
        <v>31</v>
      </c>
      <c r="D205" s="64" t="s">
        <v>32</v>
      </c>
      <c r="E205" s="64" t="s">
        <v>33</v>
      </c>
      <c r="F205" s="64" t="s">
        <v>405</v>
      </c>
      <c r="G205" s="91" t="s">
        <v>34</v>
      </c>
      <c r="H205" s="92" t="s">
        <v>1173</v>
      </c>
      <c r="I205" s="65">
        <v>46126</v>
      </c>
      <c r="J205" s="64">
        <f t="shared" ca="1" si="347"/>
        <v>58</v>
      </c>
      <c r="K205" s="64">
        <f t="shared" si="348"/>
        <v>46148</v>
      </c>
      <c r="L205" s="64" t="s">
        <v>273</v>
      </c>
      <c r="M205" s="64">
        <v>18000</v>
      </c>
      <c r="N205" s="64">
        <v>16000</v>
      </c>
      <c r="O205" s="65">
        <v>46127</v>
      </c>
      <c r="P205" s="64">
        <f t="shared" si="349"/>
        <v>2000</v>
      </c>
      <c r="Q205" s="64" t="s">
        <v>33</v>
      </c>
      <c r="R205" s="64" t="s">
        <v>56</v>
      </c>
      <c r="S205" s="64">
        <v>20500</v>
      </c>
      <c r="T205" s="64" t="s">
        <v>1339</v>
      </c>
      <c r="U205" s="65">
        <v>46148</v>
      </c>
      <c r="V205" s="64" t="s">
        <v>28</v>
      </c>
      <c r="W205" s="64">
        <f t="shared" si="350"/>
        <v>2500</v>
      </c>
      <c r="X205" s="64" t="s">
        <v>36</v>
      </c>
      <c r="Y205" s="64" t="s">
        <v>29</v>
      </c>
      <c r="Z205" s="71">
        <f t="shared" si="351"/>
        <v>13.888888888888889</v>
      </c>
      <c r="AA205" s="93"/>
    </row>
    <row r="206" spans="1:27">
      <c r="A206" s="64">
        <f>SUBTOTAL(3,C$2:C206)</f>
        <v>205</v>
      </c>
      <c r="B206" s="64" t="s">
        <v>30</v>
      </c>
      <c r="C206" s="64" t="s">
        <v>31</v>
      </c>
      <c r="D206" s="64" t="s">
        <v>32</v>
      </c>
      <c r="E206" s="64" t="s">
        <v>33</v>
      </c>
      <c r="F206" s="64" t="s">
        <v>407</v>
      </c>
      <c r="G206" s="91" t="s">
        <v>34</v>
      </c>
      <c r="H206" s="92" t="s">
        <v>1174</v>
      </c>
      <c r="I206" s="65">
        <v>46126</v>
      </c>
      <c r="J206" s="64">
        <f t="shared" ca="1" si="347"/>
        <v>58</v>
      </c>
      <c r="K206" s="64">
        <f t="shared" si="348"/>
        <v>46148</v>
      </c>
      <c r="L206" s="64" t="s">
        <v>273</v>
      </c>
      <c r="M206" s="64">
        <v>18000</v>
      </c>
      <c r="N206" s="64">
        <v>16000</v>
      </c>
      <c r="O206" s="65">
        <v>46127</v>
      </c>
      <c r="P206" s="64">
        <f t="shared" si="349"/>
        <v>2000</v>
      </c>
      <c r="Q206" s="64" t="s">
        <v>33</v>
      </c>
      <c r="R206" s="64" t="s">
        <v>56</v>
      </c>
      <c r="S206" s="64">
        <v>20500</v>
      </c>
      <c r="T206" s="64" t="s">
        <v>1339</v>
      </c>
      <c r="U206" s="65">
        <v>46148</v>
      </c>
      <c r="V206" s="64" t="s">
        <v>28</v>
      </c>
      <c r="W206" s="64">
        <f t="shared" si="350"/>
        <v>2500</v>
      </c>
      <c r="X206" s="64" t="s">
        <v>36</v>
      </c>
      <c r="Y206" s="64" t="s">
        <v>29</v>
      </c>
      <c r="Z206" s="71">
        <f t="shared" si="351"/>
        <v>13.888888888888889</v>
      </c>
      <c r="AA206" s="93"/>
    </row>
    <row r="207" spans="1:27">
      <c r="A207" s="64">
        <f>SUBTOTAL(3,C$2:C207)</f>
        <v>206</v>
      </c>
      <c r="B207" s="64" t="s">
        <v>30</v>
      </c>
      <c r="C207" s="64" t="s">
        <v>31</v>
      </c>
      <c r="D207" s="64" t="s">
        <v>32</v>
      </c>
      <c r="E207" s="64" t="s">
        <v>33</v>
      </c>
      <c r="F207" s="64" t="s">
        <v>418</v>
      </c>
      <c r="G207" s="91" t="s">
        <v>34</v>
      </c>
      <c r="H207" s="92" t="s">
        <v>1175</v>
      </c>
      <c r="I207" s="65">
        <v>46126</v>
      </c>
      <c r="J207" s="64">
        <f t="shared" ca="1" si="347"/>
        <v>58</v>
      </c>
      <c r="K207" s="64">
        <f t="shared" si="348"/>
        <v>46136</v>
      </c>
      <c r="L207" s="64" t="s">
        <v>47</v>
      </c>
      <c r="M207" s="64">
        <v>19000</v>
      </c>
      <c r="N207" s="64">
        <v>17000</v>
      </c>
      <c r="O207" s="65">
        <v>46127</v>
      </c>
      <c r="P207" s="64">
        <f t="shared" si="349"/>
        <v>2000</v>
      </c>
      <c r="Q207" s="65">
        <v>46141</v>
      </c>
      <c r="R207" s="64" t="s">
        <v>39</v>
      </c>
      <c r="S207" s="64">
        <v>21800</v>
      </c>
      <c r="T207" s="64" t="s">
        <v>816</v>
      </c>
      <c r="U207" s="65">
        <v>46136</v>
      </c>
      <c r="V207" s="64" t="s">
        <v>28</v>
      </c>
      <c r="W207" s="64">
        <f t="shared" si="350"/>
        <v>2800</v>
      </c>
      <c r="X207" s="64" t="s">
        <v>36</v>
      </c>
      <c r="Y207" s="64" t="s">
        <v>29</v>
      </c>
      <c r="Z207" s="71">
        <f t="shared" si="351"/>
        <v>14.736842105263158</v>
      </c>
      <c r="AA207" s="93"/>
    </row>
    <row r="208" spans="1:27">
      <c r="A208" s="64">
        <f>SUBTOTAL(3,C$2:C208)</f>
        <v>207</v>
      </c>
      <c r="B208" s="64" t="s">
        <v>30</v>
      </c>
      <c r="C208" s="64" t="s">
        <v>31</v>
      </c>
      <c r="D208" s="64" t="s">
        <v>32</v>
      </c>
      <c r="E208" s="64" t="s">
        <v>33</v>
      </c>
      <c r="F208" s="64" t="s">
        <v>409</v>
      </c>
      <c r="G208" s="91" t="s">
        <v>34</v>
      </c>
      <c r="H208" s="92" t="s">
        <v>1176</v>
      </c>
      <c r="I208" s="65">
        <v>46126</v>
      </c>
      <c r="J208" s="64">
        <f t="shared" ca="1" si="347"/>
        <v>58</v>
      </c>
      <c r="K208" s="64">
        <f t="shared" si="348"/>
        <v>46148</v>
      </c>
      <c r="L208" s="64" t="s">
        <v>273</v>
      </c>
      <c r="M208" s="64">
        <v>18000</v>
      </c>
      <c r="N208" s="64">
        <v>16000</v>
      </c>
      <c r="O208" s="65">
        <v>46127</v>
      </c>
      <c r="P208" s="64">
        <f t="shared" si="349"/>
        <v>2000</v>
      </c>
      <c r="Q208" s="64" t="s">
        <v>33</v>
      </c>
      <c r="R208" s="64" t="s">
        <v>56</v>
      </c>
      <c r="S208" s="64">
        <v>20500</v>
      </c>
      <c r="T208" s="64" t="s">
        <v>1339</v>
      </c>
      <c r="U208" s="65">
        <v>46148</v>
      </c>
      <c r="V208" s="64" t="s">
        <v>28</v>
      </c>
      <c r="W208" s="64">
        <f t="shared" si="350"/>
        <v>2500</v>
      </c>
      <c r="X208" s="64" t="s">
        <v>36</v>
      </c>
      <c r="Y208" s="64" t="s">
        <v>29</v>
      </c>
      <c r="Z208" s="71">
        <f t="shared" si="351"/>
        <v>13.888888888888889</v>
      </c>
      <c r="AA208" s="93"/>
    </row>
    <row r="209" spans="1:27">
      <c r="A209" s="64">
        <f>SUBTOTAL(3,C$2:C209)</f>
        <v>208</v>
      </c>
      <c r="B209" s="64" t="s">
        <v>30</v>
      </c>
      <c r="C209" s="64" t="s">
        <v>31</v>
      </c>
      <c r="D209" s="64" t="s">
        <v>32</v>
      </c>
      <c r="E209" s="64" t="s">
        <v>33</v>
      </c>
      <c r="F209" s="64" t="s">
        <v>398</v>
      </c>
      <c r="G209" s="91" t="s">
        <v>34</v>
      </c>
      <c r="H209" s="92" t="s">
        <v>399</v>
      </c>
      <c r="I209" s="65">
        <v>46127</v>
      </c>
      <c r="J209" s="64">
        <f t="shared" ref="J209:J210" ca="1" si="352">+TODAY()-I209</f>
        <v>57</v>
      </c>
      <c r="K209" s="64" t="str">
        <f t="shared" ref="K209:K210" si="353">+U209</f>
        <v>Pending</v>
      </c>
      <c r="L209" s="64" t="s">
        <v>88</v>
      </c>
      <c r="M209" s="64">
        <v>23300</v>
      </c>
      <c r="N209" s="64">
        <v>21500</v>
      </c>
      <c r="O209" s="65">
        <v>46127</v>
      </c>
      <c r="P209" s="64">
        <f t="shared" ref="P209:P210" si="354">+M209-N209</f>
        <v>1800</v>
      </c>
      <c r="Q209" s="64" t="s">
        <v>33</v>
      </c>
      <c r="R209" s="64" t="s">
        <v>37</v>
      </c>
      <c r="S209" s="64">
        <v>26000</v>
      </c>
      <c r="T209" s="64" t="s">
        <v>33</v>
      </c>
      <c r="U209" s="65" t="s">
        <v>33</v>
      </c>
      <c r="V209" s="64" t="s">
        <v>28</v>
      </c>
      <c r="W209" s="64">
        <f t="shared" ref="W209:W210" si="355">+S209-M209</f>
        <v>2700</v>
      </c>
      <c r="X209" s="64" t="s">
        <v>36</v>
      </c>
      <c r="Y209" s="64" t="s">
        <v>29</v>
      </c>
      <c r="Z209" s="71">
        <f t="shared" ref="Z209:Z210" si="356">+W209*100/M209</f>
        <v>11.587982832618026</v>
      </c>
      <c r="AA209" s="93"/>
    </row>
    <row r="210" spans="1:27">
      <c r="A210" s="64">
        <f>SUBTOTAL(3,C$2:C210)</f>
        <v>209</v>
      </c>
      <c r="B210" s="64" t="s">
        <v>30</v>
      </c>
      <c r="C210" s="64" t="s">
        <v>31</v>
      </c>
      <c r="D210" s="64" t="s">
        <v>32</v>
      </c>
      <c r="E210" s="64" t="s">
        <v>33</v>
      </c>
      <c r="F210" s="64" t="s">
        <v>419</v>
      </c>
      <c r="G210" s="91" t="s">
        <v>34</v>
      </c>
      <c r="H210" s="92" t="s">
        <v>1177</v>
      </c>
      <c r="I210" s="65">
        <v>46127</v>
      </c>
      <c r="J210" s="64">
        <f t="shared" ca="1" si="352"/>
        <v>57</v>
      </c>
      <c r="K210" s="64">
        <f t="shared" si="353"/>
        <v>46136</v>
      </c>
      <c r="L210" s="64" t="s">
        <v>47</v>
      </c>
      <c r="M210" s="64">
        <v>19000</v>
      </c>
      <c r="N210" s="64">
        <v>17000</v>
      </c>
      <c r="O210" s="65">
        <v>46127</v>
      </c>
      <c r="P210" s="64">
        <f t="shared" si="354"/>
        <v>2000</v>
      </c>
      <c r="Q210" s="65">
        <v>46141</v>
      </c>
      <c r="R210" s="64" t="s">
        <v>39</v>
      </c>
      <c r="S210" s="64">
        <v>21800</v>
      </c>
      <c r="T210" s="64" t="s">
        <v>804</v>
      </c>
      <c r="U210" s="65">
        <v>46136</v>
      </c>
      <c r="V210" s="64" t="s">
        <v>28</v>
      </c>
      <c r="W210" s="64">
        <f t="shared" si="355"/>
        <v>2800</v>
      </c>
      <c r="X210" s="64" t="s">
        <v>36</v>
      </c>
      <c r="Y210" s="64" t="s">
        <v>29</v>
      </c>
      <c r="Z210" s="71">
        <f t="shared" si="356"/>
        <v>14.736842105263158</v>
      </c>
      <c r="AA210" s="93"/>
    </row>
    <row r="211" spans="1:27">
      <c r="A211" s="64">
        <f>SUBTOTAL(3,C$2:C211)</f>
        <v>210</v>
      </c>
      <c r="B211" s="64" t="s">
        <v>30</v>
      </c>
      <c r="C211" s="64" t="s">
        <v>31</v>
      </c>
      <c r="D211" s="64" t="s">
        <v>32</v>
      </c>
      <c r="E211" s="64" t="s">
        <v>33</v>
      </c>
      <c r="F211" s="64" t="s">
        <v>401</v>
      </c>
      <c r="G211" s="91" t="s">
        <v>34</v>
      </c>
      <c r="H211" s="92" t="s">
        <v>402</v>
      </c>
      <c r="I211" s="65">
        <v>46127</v>
      </c>
      <c r="J211" s="64">
        <f t="shared" ref="J211" ca="1" si="357">+TODAY()-I211</f>
        <v>57</v>
      </c>
      <c r="K211" s="64">
        <f t="shared" ref="K211" si="358">+U211</f>
        <v>46137</v>
      </c>
      <c r="L211" s="64" t="s">
        <v>88</v>
      </c>
      <c r="M211" s="64">
        <v>23300</v>
      </c>
      <c r="N211" s="64">
        <v>21500</v>
      </c>
      <c r="O211" s="65">
        <v>46127</v>
      </c>
      <c r="P211" s="64">
        <f t="shared" ref="P211" si="359">+M211-N211</f>
        <v>1800</v>
      </c>
      <c r="Q211" s="65">
        <v>46141</v>
      </c>
      <c r="R211" s="64" t="s">
        <v>37</v>
      </c>
      <c r="S211" s="64">
        <v>26000</v>
      </c>
      <c r="T211" s="64" t="s">
        <v>822</v>
      </c>
      <c r="U211" s="65">
        <v>46137</v>
      </c>
      <c r="V211" s="64" t="s">
        <v>28</v>
      </c>
      <c r="W211" s="64">
        <f t="shared" ref="W211" si="360">+S211-M211</f>
        <v>2700</v>
      </c>
      <c r="X211" s="64" t="s">
        <v>36</v>
      </c>
      <c r="Y211" s="64" t="s">
        <v>29</v>
      </c>
      <c r="Z211" s="71">
        <f t="shared" ref="Z211" si="361">+W211*100/M211</f>
        <v>11.587982832618026</v>
      </c>
      <c r="AA211" s="93"/>
    </row>
    <row r="212" spans="1:27">
      <c r="A212" s="64">
        <f>SUBTOTAL(3,C$2:C212)</f>
        <v>211</v>
      </c>
      <c r="B212" s="64" t="s">
        <v>30</v>
      </c>
      <c r="C212" s="64" t="s">
        <v>31</v>
      </c>
      <c r="D212" s="64" t="s">
        <v>32</v>
      </c>
      <c r="E212" s="64" t="s">
        <v>33</v>
      </c>
      <c r="F212" s="64" t="s">
        <v>411</v>
      </c>
      <c r="G212" s="91" t="s">
        <v>34</v>
      </c>
      <c r="H212" s="92" t="s">
        <v>1178</v>
      </c>
      <c r="I212" s="65">
        <v>46127</v>
      </c>
      <c r="J212" s="64">
        <f t="shared" ref="J212:J213" ca="1" si="362">+TODAY()-I212</f>
        <v>57</v>
      </c>
      <c r="K212" s="64">
        <f t="shared" ref="K212:K213" si="363">+U212</f>
        <v>46163</v>
      </c>
      <c r="L212" s="64" t="s">
        <v>273</v>
      </c>
      <c r="M212" s="64">
        <v>18000</v>
      </c>
      <c r="N212" s="64">
        <v>16000</v>
      </c>
      <c r="O212" s="65">
        <v>46127</v>
      </c>
      <c r="P212" s="64">
        <f t="shared" ref="P212:P213" si="364">+M212-N212</f>
        <v>2000</v>
      </c>
      <c r="Q212" s="64" t="s">
        <v>33</v>
      </c>
      <c r="R212" s="64" t="s">
        <v>56</v>
      </c>
      <c r="S212" s="64">
        <v>20500</v>
      </c>
      <c r="T212" s="64" t="s">
        <v>2180</v>
      </c>
      <c r="U212" s="65">
        <v>46163</v>
      </c>
      <c r="V212" s="64" t="s">
        <v>28</v>
      </c>
      <c r="W212" s="64">
        <f t="shared" ref="W212:W213" si="365">+S212-M212</f>
        <v>2500</v>
      </c>
      <c r="X212" s="64" t="s">
        <v>36</v>
      </c>
      <c r="Y212" s="64" t="s">
        <v>29</v>
      </c>
      <c r="Z212" s="71">
        <f t="shared" ref="Z212:Z213" si="366">+W212*100/M212</f>
        <v>13.888888888888889</v>
      </c>
      <c r="AA212" s="93"/>
    </row>
    <row r="213" spans="1:27">
      <c r="A213" s="64">
        <f>SUBTOTAL(3,C$2:C213)</f>
        <v>212</v>
      </c>
      <c r="B213" s="64" t="s">
        <v>30</v>
      </c>
      <c r="C213" s="64" t="s">
        <v>44</v>
      </c>
      <c r="D213" s="64" t="s">
        <v>32</v>
      </c>
      <c r="E213" s="64" t="s">
        <v>33</v>
      </c>
      <c r="F213" s="64" t="s">
        <v>414</v>
      </c>
      <c r="G213" s="91">
        <v>407</v>
      </c>
      <c r="H213" s="92" t="s">
        <v>1319</v>
      </c>
      <c r="I213" s="65">
        <v>46127</v>
      </c>
      <c r="J213" s="64">
        <f t="shared" ca="1" si="362"/>
        <v>57</v>
      </c>
      <c r="K213" s="64">
        <f t="shared" si="363"/>
        <v>46148</v>
      </c>
      <c r="L213" s="64" t="s">
        <v>381</v>
      </c>
      <c r="M213" s="64">
        <v>27500</v>
      </c>
      <c r="N213" s="64">
        <v>25500</v>
      </c>
      <c r="O213" s="65">
        <v>46127</v>
      </c>
      <c r="P213" s="64">
        <f t="shared" si="364"/>
        <v>2000</v>
      </c>
      <c r="Q213" s="64" t="s">
        <v>33</v>
      </c>
      <c r="R213" s="64" t="s">
        <v>56</v>
      </c>
      <c r="S213" s="64">
        <v>30800</v>
      </c>
      <c r="T213" s="64" t="s">
        <v>1343</v>
      </c>
      <c r="U213" s="65">
        <v>46148</v>
      </c>
      <c r="V213" s="64" t="s">
        <v>28</v>
      </c>
      <c r="W213" s="64">
        <f t="shared" si="365"/>
        <v>3300</v>
      </c>
      <c r="X213" s="64" t="s">
        <v>36</v>
      </c>
      <c r="Y213" s="64" t="s">
        <v>29</v>
      </c>
      <c r="Z213" s="71">
        <f t="shared" si="366"/>
        <v>12</v>
      </c>
      <c r="AA213" s="93"/>
    </row>
    <row r="214" spans="1:27">
      <c r="A214" s="64">
        <f>SUBTOTAL(3,C$2:C214)</f>
        <v>213</v>
      </c>
      <c r="B214" s="64" t="s">
        <v>30</v>
      </c>
      <c r="C214" s="64" t="s">
        <v>31</v>
      </c>
      <c r="D214" s="64" t="s">
        <v>32</v>
      </c>
      <c r="E214" s="64" t="s">
        <v>33</v>
      </c>
      <c r="F214" s="64" t="s">
        <v>182</v>
      </c>
      <c r="G214" s="91" t="s">
        <v>34</v>
      </c>
      <c r="H214" s="92" t="s">
        <v>1179</v>
      </c>
      <c r="I214" s="65">
        <v>46127</v>
      </c>
      <c r="J214" s="64">
        <f t="shared" ref="J214" ca="1" si="367">+TODAY()-I214</f>
        <v>57</v>
      </c>
      <c r="K214" s="64">
        <f t="shared" ref="K214" si="368">+U214</f>
        <v>46148</v>
      </c>
      <c r="L214" s="64" t="s">
        <v>273</v>
      </c>
      <c r="M214" s="64">
        <v>18000</v>
      </c>
      <c r="N214" s="64">
        <v>16000</v>
      </c>
      <c r="O214" s="65">
        <v>46127</v>
      </c>
      <c r="P214" s="64">
        <f t="shared" ref="P214" si="369">+M214-N214</f>
        <v>2000</v>
      </c>
      <c r="Q214" s="64" t="s">
        <v>33</v>
      </c>
      <c r="R214" s="64" t="s">
        <v>56</v>
      </c>
      <c r="S214" s="64">
        <v>20500</v>
      </c>
      <c r="T214" s="64" t="s">
        <v>1339</v>
      </c>
      <c r="U214" s="65">
        <v>46148</v>
      </c>
      <c r="V214" s="64" t="s">
        <v>28</v>
      </c>
      <c r="W214" s="64">
        <f t="shared" ref="W214" si="370">+S214-M214</f>
        <v>2500</v>
      </c>
      <c r="X214" s="64" t="s">
        <v>36</v>
      </c>
      <c r="Y214" s="64" t="s">
        <v>29</v>
      </c>
      <c r="Z214" s="71">
        <f t="shared" ref="Z214" si="371">+W214*100/M214</f>
        <v>13.888888888888889</v>
      </c>
      <c r="AA214" s="93"/>
    </row>
    <row r="215" spans="1:27">
      <c r="A215" s="64">
        <f>SUBTOTAL(3,C$2:C215)</f>
        <v>214</v>
      </c>
      <c r="B215" s="64" t="s">
        <v>30</v>
      </c>
      <c r="C215" s="64" t="s">
        <v>31</v>
      </c>
      <c r="D215" s="64" t="s">
        <v>32</v>
      </c>
      <c r="E215" s="64" t="s">
        <v>33</v>
      </c>
      <c r="F215" s="64" t="s">
        <v>420</v>
      </c>
      <c r="G215" s="91" t="s">
        <v>34</v>
      </c>
      <c r="H215" s="92" t="s">
        <v>1180</v>
      </c>
      <c r="I215" s="65">
        <v>46127</v>
      </c>
      <c r="J215" s="64">
        <f t="shared" ref="J215:J217" ca="1" si="372">+TODAY()-I215</f>
        <v>57</v>
      </c>
      <c r="K215" s="64">
        <f t="shared" ref="K215:K217" si="373">+U215</f>
        <v>46162</v>
      </c>
      <c r="L215" s="64" t="s">
        <v>47</v>
      </c>
      <c r="M215" s="64">
        <v>19000</v>
      </c>
      <c r="N215" s="64">
        <v>17000</v>
      </c>
      <c r="O215" s="65">
        <v>46127</v>
      </c>
      <c r="P215" s="64">
        <f t="shared" ref="P215:P217" si="374">+M215-N215</f>
        <v>2000</v>
      </c>
      <c r="Q215" s="64" t="s">
        <v>33</v>
      </c>
      <c r="R215" s="64" t="s">
        <v>39</v>
      </c>
      <c r="S215" s="64">
        <v>21800</v>
      </c>
      <c r="T215" s="64" t="s">
        <v>2144</v>
      </c>
      <c r="U215" s="65">
        <v>46162</v>
      </c>
      <c r="V215" s="64" t="s">
        <v>28</v>
      </c>
      <c r="W215" s="64">
        <f t="shared" ref="W215:W217" si="375">+S215-M215</f>
        <v>2800</v>
      </c>
      <c r="X215" s="64" t="s">
        <v>36</v>
      </c>
      <c r="Y215" s="64" t="s">
        <v>29</v>
      </c>
      <c r="Z215" s="71">
        <f t="shared" ref="Z215:Z217" si="376">+W215*100/M215</f>
        <v>14.736842105263158</v>
      </c>
      <c r="AA215" s="93"/>
    </row>
    <row r="216" spans="1:27">
      <c r="A216" s="64">
        <f>SUBTOTAL(3,C$2:C216)</f>
        <v>215</v>
      </c>
      <c r="B216" s="64" t="s">
        <v>30</v>
      </c>
      <c r="C216" s="64" t="s">
        <v>94</v>
      </c>
      <c r="D216" s="64" t="s">
        <v>32</v>
      </c>
      <c r="E216" s="64" t="s">
        <v>33</v>
      </c>
      <c r="F216" s="64" t="s">
        <v>95</v>
      </c>
      <c r="G216" s="91" t="s">
        <v>67</v>
      </c>
      <c r="H216" s="92" t="s">
        <v>422</v>
      </c>
      <c r="I216" s="65">
        <v>46127</v>
      </c>
      <c r="J216" s="64">
        <f t="shared" ca="1" si="372"/>
        <v>57</v>
      </c>
      <c r="K216" s="64">
        <f t="shared" si="373"/>
        <v>46136</v>
      </c>
      <c r="L216" s="64" t="s">
        <v>97</v>
      </c>
      <c r="M216" s="64">
        <f>3000+38500</f>
        <v>41500</v>
      </c>
      <c r="N216" s="64">
        <v>35500</v>
      </c>
      <c r="O216" s="65">
        <v>46127</v>
      </c>
      <c r="P216" s="64">
        <f t="shared" si="374"/>
        <v>6000</v>
      </c>
      <c r="Q216" s="65">
        <v>46141</v>
      </c>
      <c r="R216" s="64" t="s">
        <v>52</v>
      </c>
      <c r="S216" s="64">
        <f>5000+42000</f>
        <v>47000</v>
      </c>
      <c r="T216" s="64" t="s">
        <v>812</v>
      </c>
      <c r="U216" s="65">
        <v>46136</v>
      </c>
      <c r="V216" s="64" t="s">
        <v>28</v>
      </c>
      <c r="W216" s="64">
        <f t="shared" si="375"/>
        <v>5500</v>
      </c>
      <c r="X216" s="64" t="s">
        <v>36</v>
      </c>
      <c r="Y216" s="64" t="s">
        <v>29</v>
      </c>
      <c r="Z216" s="71">
        <f t="shared" si="376"/>
        <v>13.253012048192771</v>
      </c>
      <c r="AA216" s="93"/>
    </row>
    <row r="217" spans="1:27">
      <c r="A217" s="64">
        <f>SUBTOTAL(3,C$2:C217)</f>
        <v>216</v>
      </c>
      <c r="B217" s="64" t="s">
        <v>30</v>
      </c>
      <c r="C217" s="64" t="s">
        <v>44</v>
      </c>
      <c r="D217" s="64" t="s">
        <v>32</v>
      </c>
      <c r="E217" s="64" t="s">
        <v>33</v>
      </c>
      <c r="F217" s="52" t="s">
        <v>424</v>
      </c>
      <c r="G217" s="91">
        <v>407</v>
      </c>
      <c r="H217" s="52" t="s">
        <v>1318</v>
      </c>
      <c r="I217" s="65">
        <v>46125</v>
      </c>
      <c r="J217" s="64">
        <f t="shared" ca="1" si="372"/>
        <v>59</v>
      </c>
      <c r="K217" s="64" t="str">
        <f t="shared" si="373"/>
        <v>Pending</v>
      </c>
      <c r="L217" s="64" t="s">
        <v>84</v>
      </c>
      <c r="M217" s="64">
        <v>27000</v>
      </c>
      <c r="N217" s="64">
        <v>25000</v>
      </c>
      <c r="O217" s="65">
        <v>46127</v>
      </c>
      <c r="P217" s="64">
        <f t="shared" si="374"/>
        <v>2000</v>
      </c>
      <c r="Q217" s="64" t="s">
        <v>33</v>
      </c>
      <c r="R217" s="64" t="s">
        <v>78</v>
      </c>
      <c r="S217" s="64">
        <v>29800</v>
      </c>
      <c r="T217" s="64" t="s">
        <v>33</v>
      </c>
      <c r="U217" s="65" t="s">
        <v>33</v>
      </c>
      <c r="V217" s="64" t="s">
        <v>28</v>
      </c>
      <c r="W217" s="64">
        <f t="shared" si="375"/>
        <v>2800</v>
      </c>
      <c r="X217" s="64" t="s">
        <v>36</v>
      </c>
      <c r="Y217" s="64" t="s">
        <v>29</v>
      </c>
      <c r="Z217" s="71">
        <f t="shared" si="376"/>
        <v>10.37037037037037</v>
      </c>
      <c r="AA217" s="93"/>
    </row>
    <row r="218" spans="1:27">
      <c r="A218" s="64">
        <f>SUBTOTAL(3,C$2:C218)</f>
        <v>217</v>
      </c>
      <c r="B218" s="64" t="s">
        <v>30</v>
      </c>
      <c r="C218" s="64" t="s">
        <v>44</v>
      </c>
      <c r="D218" s="64" t="s">
        <v>32</v>
      </c>
      <c r="E218" s="64" t="s">
        <v>33</v>
      </c>
      <c r="F218" s="52" t="s">
        <v>426</v>
      </c>
      <c r="G218" s="91">
        <v>407</v>
      </c>
      <c r="H218" s="95" t="s">
        <v>427</v>
      </c>
      <c r="I218" s="65">
        <v>46126</v>
      </c>
      <c r="J218" s="64">
        <f t="shared" ref="J218:J227" ca="1" si="377">+TODAY()-I218</f>
        <v>58</v>
      </c>
      <c r="K218" s="64">
        <f t="shared" ref="K218:K227" si="378">+U218</f>
        <v>46170</v>
      </c>
      <c r="L218" s="64" t="s">
        <v>84</v>
      </c>
      <c r="M218" s="64">
        <v>27000</v>
      </c>
      <c r="N218" s="64">
        <v>25000</v>
      </c>
      <c r="O218" s="65">
        <v>46127</v>
      </c>
      <c r="P218" s="64">
        <f t="shared" ref="P218:P227" si="379">+M218-N218</f>
        <v>2000</v>
      </c>
      <c r="Q218" s="64" t="s">
        <v>33</v>
      </c>
      <c r="R218" s="64" t="s">
        <v>78</v>
      </c>
      <c r="S218" s="64">
        <v>29800</v>
      </c>
      <c r="T218" s="64" t="s">
        <v>2662</v>
      </c>
      <c r="U218" s="65">
        <v>46170</v>
      </c>
      <c r="V218" s="64" t="s">
        <v>28</v>
      </c>
      <c r="W218" s="64">
        <f t="shared" ref="W218:W227" si="380">+S218-M218</f>
        <v>2800</v>
      </c>
      <c r="X218" s="64" t="s">
        <v>36</v>
      </c>
      <c r="Y218" s="64" t="s">
        <v>29</v>
      </c>
      <c r="Z218" s="71">
        <f t="shared" ref="Z218:Z227" si="381">+W218*100/M218</f>
        <v>10.37037037037037</v>
      </c>
      <c r="AA218" s="93"/>
    </row>
    <row r="219" spans="1:27">
      <c r="A219" s="64">
        <f>SUBTOTAL(3,C$2:C219)</f>
        <v>218</v>
      </c>
      <c r="B219" s="64" t="s">
        <v>30</v>
      </c>
      <c r="C219" s="64" t="s">
        <v>44</v>
      </c>
      <c r="D219" s="64" t="s">
        <v>32</v>
      </c>
      <c r="E219" s="64" t="s">
        <v>33</v>
      </c>
      <c r="F219" s="52" t="s">
        <v>446</v>
      </c>
      <c r="G219" s="91" t="s">
        <v>59</v>
      </c>
      <c r="H219" s="95" t="s">
        <v>447</v>
      </c>
      <c r="I219" s="65">
        <v>46128</v>
      </c>
      <c r="J219" s="64">
        <f t="shared" ca="1" si="377"/>
        <v>56</v>
      </c>
      <c r="K219" s="64">
        <f t="shared" si="378"/>
        <v>46136</v>
      </c>
      <c r="L219" s="52" t="s">
        <v>127</v>
      </c>
      <c r="M219" s="64">
        <v>35000</v>
      </c>
      <c r="N219" s="64">
        <v>32000</v>
      </c>
      <c r="O219" s="65">
        <v>46128</v>
      </c>
      <c r="P219" s="64">
        <f t="shared" si="379"/>
        <v>3000</v>
      </c>
      <c r="Q219" s="65">
        <v>46141</v>
      </c>
      <c r="R219" s="64" t="s">
        <v>37</v>
      </c>
      <c r="S219" s="64">
        <v>38000</v>
      </c>
      <c r="T219" s="64" t="s">
        <v>817</v>
      </c>
      <c r="U219" s="65">
        <v>46136</v>
      </c>
      <c r="V219" s="64" t="s">
        <v>28</v>
      </c>
      <c r="W219" s="64">
        <f t="shared" si="380"/>
        <v>3000</v>
      </c>
      <c r="X219" s="64" t="s">
        <v>36</v>
      </c>
      <c r="Y219" s="64" t="s">
        <v>29</v>
      </c>
      <c r="Z219" s="71">
        <f t="shared" si="381"/>
        <v>8.5714285714285712</v>
      </c>
      <c r="AA219" s="93"/>
    </row>
    <row r="220" spans="1:27">
      <c r="A220" s="64">
        <f>SUBTOTAL(3,C$2:C220)</f>
        <v>219</v>
      </c>
      <c r="B220" s="64" t="s">
        <v>30</v>
      </c>
      <c r="C220" s="64" t="s">
        <v>44</v>
      </c>
      <c r="D220" s="64" t="s">
        <v>32</v>
      </c>
      <c r="E220" s="64" t="s">
        <v>33</v>
      </c>
      <c r="F220" s="52" t="s">
        <v>45</v>
      </c>
      <c r="G220" s="91" t="s">
        <v>46</v>
      </c>
      <c r="H220" s="95" t="s">
        <v>444</v>
      </c>
      <c r="I220" s="65">
        <v>46127</v>
      </c>
      <c r="J220" s="64">
        <f t="shared" ca="1" si="377"/>
        <v>57</v>
      </c>
      <c r="K220" s="64">
        <f t="shared" si="378"/>
        <v>46137</v>
      </c>
      <c r="L220" s="52" t="s">
        <v>445</v>
      </c>
      <c r="M220" s="64">
        <v>23300</v>
      </c>
      <c r="N220" s="64">
        <v>21300</v>
      </c>
      <c r="O220" s="65">
        <v>46128</v>
      </c>
      <c r="P220" s="64">
        <f t="shared" si="379"/>
        <v>2000</v>
      </c>
      <c r="Q220" s="65">
        <v>46141</v>
      </c>
      <c r="R220" s="64" t="s">
        <v>39</v>
      </c>
      <c r="S220" s="64">
        <v>26000</v>
      </c>
      <c r="T220" s="64" t="s">
        <v>822</v>
      </c>
      <c r="U220" s="65">
        <v>46137</v>
      </c>
      <c r="V220" s="64" t="s">
        <v>28</v>
      </c>
      <c r="W220" s="64">
        <f t="shared" si="380"/>
        <v>2700</v>
      </c>
      <c r="X220" s="64" t="s">
        <v>36</v>
      </c>
      <c r="Y220" s="64" t="s">
        <v>29</v>
      </c>
      <c r="Z220" s="71">
        <f t="shared" si="381"/>
        <v>11.587982832618026</v>
      </c>
      <c r="AA220" s="93"/>
    </row>
    <row r="221" spans="1:27">
      <c r="A221" s="64">
        <f>SUBTOTAL(3,C$2:C221)</f>
        <v>220</v>
      </c>
      <c r="B221" s="64" t="s">
        <v>30</v>
      </c>
      <c r="C221" s="64" t="s">
        <v>31</v>
      </c>
      <c r="D221" s="64" t="s">
        <v>32</v>
      </c>
      <c r="E221" s="64" t="s">
        <v>33</v>
      </c>
      <c r="F221" s="52" t="s">
        <v>450</v>
      </c>
      <c r="G221" s="91" t="s">
        <v>34</v>
      </c>
      <c r="H221" s="95" t="s">
        <v>449</v>
      </c>
      <c r="I221" s="65">
        <v>46127</v>
      </c>
      <c r="J221" s="64">
        <f t="shared" ca="1" si="377"/>
        <v>57</v>
      </c>
      <c r="K221" s="64">
        <f t="shared" si="378"/>
        <v>46136</v>
      </c>
      <c r="L221" s="64" t="s">
        <v>47</v>
      </c>
      <c r="M221" s="64">
        <v>19000</v>
      </c>
      <c r="N221" s="64">
        <v>17000</v>
      </c>
      <c r="O221" s="65">
        <v>46128</v>
      </c>
      <c r="P221" s="64">
        <f t="shared" si="379"/>
        <v>2000</v>
      </c>
      <c r="Q221" s="65">
        <v>46141</v>
      </c>
      <c r="R221" s="64" t="s">
        <v>39</v>
      </c>
      <c r="S221" s="64">
        <v>21800</v>
      </c>
      <c r="T221" s="64" t="s">
        <v>804</v>
      </c>
      <c r="U221" s="65">
        <v>46136</v>
      </c>
      <c r="V221" s="64" t="s">
        <v>28</v>
      </c>
      <c r="W221" s="64">
        <f t="shared" si="380"/>
        <v>2800</v>
      </c>
      <c r="X221" s="64" t="s">
        <v>36</v>
      </c>
      <c r="Y221" s="64" t="s">
        <v>29</v>
      </c>
      <c r="Z221" s="71">
        <f t="shared" si="381"/>
        <v>14.736842105263158</v>
      </c>
      <c r="AA221" s="93"/>
    </row>
    <row r="222" spans="1:27">
      <c r="A222" s="64">
        <f>SUBTOTAL(3,C$2:C222)</f>
        <v>221</v>
      </c>
      <c r="B222" s="64" t="s">
        <v>30</v>
      </c>
      <c r="C222" s="64" t="s">
        <v>31</v>
      </c>
      <c r="D222" s="64" t="s">
        <v>32</v>
      </c>
      <c r="E222" s="64" t="s">
        <v>33</v>
      </c>
      <c r="F222" s="52" t="s">
        <v>231</v>
      </c>
      <c r="G222" s="91" t="s">
        <v>34</v>
      </c>
      <c r="H222" s="95" t="s">
        <v>448</v>
      </c>
      <c r="I222" s="65">
        <v>46128</v>
      </c>
      <c r="J222" s="64">
        <f t="shared" ca="1" si="377"/>
        <v>56</v>
      </c>
      <c r="K222" s="64">
        <f t="shared" si="378"/>
        <v>46136</v>
      </c>
      <c r="L222" s="64" t="s">
        <v>47</v>
      </c>
      <c r="M222" s="64">
        <v>19000</v>
      </c>
      <c r="N222" s="64">
        <v>17000</v>
      </c>
      <c r="O222" s="65">
        <v>46128</v>
      </c>
      <c r="P222" s="64">
        <f t="shared" si="379"/>
        <v>2000</v>
      </c>
      <c r="Q222" s="65">
        <v>46141</v>
      </c>
      <c r="R222" s="64" t="s">
        <v>39</v>
      </c>
      <c r="S222" s="64">
        <v>21800</v>
      </c>
      <c r="T222" s="64" t="s">
        <v>804</v>
      </c>
      <c r="U222" s="65">
        <v>46136</v>
      </c>
      <c r="V222" s="64" t="s">
        <v>28</v>
      </c>
      <c r="W222" s="64">
        <f t="shared" si="380"/>
        <v>2800</v>
      </c>
      <c r="X222" s="64" t="s">
        <v>36</v>
      </c>
      <c r="Y222" s="64" t="s">
        <v>29</v>
      </c>
      <c r="Z222" s="71">
        <f t="shared" si="381"/>
        <v>14.736842105263158</v>
      </c>
      <c r="AA222" s="93"/>
    </row>
    <row r="223" spans="1:27">
      <c r="A223" s="64">
        <f>SUBTOTAL(3,C$2:C223)</f>
        <v>222</v>
      </c>
      <c r="B223" s="64" t="s">
        <v>30</v>
      </c>
      <c r="C223" s="64" t="s">
        <v>31</v>
      </c>
      <c r="D223" s="64" t="s">
        <v>32</v>
      </c>
      <c r="E223" s="64" t="s">
        <v>33</v>
      </c>
      <c r="F223" s="52" t="s">
        <v>347</v>
      </c>
      <c r="G223" s="91" t="s">
        <v>34</v>
      </c>
      <c r="H223" s="95" t="s">
        <v>443</v>
      </c>
      <c r="I223" s="65">
        <v>46128</v>
      </c>
      <c r="J223" s="64">
        <f t="shared" ca="1" si="377"/>
        <v>56</v>
      </c>
      <c r="K223" s="64">
        <f t="shared" si="378"/>
        <v>46137</v>
      </c>
      <c r="L223" s="52" t="s">
        <v>639</v>
      </c>
      <c r="M223" s="64">
        <v>18300</v>
      </c>
      <c r="N223" s="64">
        <v>16500</v>
      </c>
      <c r="O223" s="65">
        <v>46128</v>
      </c>
      <c r="P223" s="64">
        <f t="shared" si="379"/>
        <v>1800</v>
      </c>
      <c r="Q223" s="65">
        <v>46141</v>
      </c>
      <c r="R223" s="64" t="s">
        <v>37</v>
      </c>
      <c r="S223" s="64">
        <v>21500</v>
      </c>
      <c r="T223" s="64" t="s">
        <v>823</v>
      </c>
      <c r="U223" s="65">
        <v>46137</v>
      </c>
      <c r="V223" s="64" t="s">
        <v>28</v>
      </c>
      <c r="W223" s="64">
        <f t="shared" si="380"/>
        <v>3200</v>
      </c>
      <c r="X223" s="64" t="s">
        <v>36</v>
      </c>
      <c r="Y223" s="64" t="s">
        <v>29</v>
      </c>
      <c r="Z223" s="71">
        <f t="shared" si="381"/>
        <v>17.486338797814209</v>
      </c>
      <c r="AA223" s="93"/>
    </row>
    <row r="224" spans="1:27">
      <c r="A224" s="64">
        <f>SUBTOTAL(3,C$2:C224)</f>
        <v>223</v>
      </c>
      <c r="B224" s="64" t="s">
        <v>30</v>
      </c>
      <c r="C224" s="64" t="s">
        <v>44</v>
      </c>
      <c r="D224" s="64" t="s">
        <v>32</v>
      </c>
      <c r="E224" s="64" t="s">
        <v>33</v>
      </c>
      <c r="F224" s="52" t="s">
        <v>116</v>
      </c>
      <c r="G224" s="91" t="s">
        <v>46</v>
      </c>
      <c r="H224" s="95" t="s">
        <v>442</v>
      </c>
      <c r="I224" s="65">
        <v>46128</v>
      </c>
      <c r="J224" s="64">
        <f t="shared" ca="1" si="377"/>
        <v>56</v>
      </c>
      <c r="K224" s="64">
        <f t="shared" si="378"/>
        <v>46162</v>
      </c>
      <c r="L224" s="64" t="s">
        <v>47</v>
      </c>
      <c r="M224" s="64">
        <v>19000</v>
      </c>
      <c r="N224" s="64">
        <v>17000</v>
      </c>
      <c r="O224" s="65">
        <v>46128</v>
      </c>
      <c r="P224" s="64">
        <f t="shared" si="379"/>
        <v>2000</v>
      </c>
      <c r="Q224" s="64" t="s">
        <v>33</v>
      </c>
      <c r="R224" s="64" t="s">
        <v>39</v>
      </c>
      <c r="S224" s="64">
        <v>21800</v>
      </c>
      <c r="T224" s="64" t="s">
        <v>2144</v>
      </c>
      <c r="U224" s="65">
        <v>46162</v>
      </c>
      <c r="V224" s="64" t="s">
        <v>28</v>
      </c>
      <c r="W224" s="64">
        <f t="shared" si="380"/>
        <v>2800</v>
      </c>
      <c r="X224" s="64" t="s">
        <v>36</v>
      </c>
      <c r="Y224" s="64" t="s">
        <v>29</v>
      </c>
      <c r="Z224" s="71">
        <f t="shared" si="381"/>
        <v>14.736842105263158</v>
      </c>
      <c r="AA224" s="93"/>
    </row>
    <row r="225" spans="1:27">
      <c r="A225" s="64">
        <f>SUBTOTAL(3,C$2:C225)</f>
        <v>224</v>
      </c>
      <c r="B225" s="64" t="s">
        <v>30</v>
      </c>
      <c r="C225" s="64" t="s">
        <v>119</v>
      </c>
      <c r="D225" s="64" t="s">
        <v>32</v>
      </c>
      <c r="E225" s="64" t="s">
        <v>33</v>
      </c>
      <c r="F225" s="52" t="s">
        <v>437</v>
      </c>
      <c r="G225" s="91" t="s">
        <v>50</v>
      </c>
      <c r="H225" s="95" t="s">
        <v>438</v>
      </c>
      <c r="I225" s="65">
        <v>46128</v>
      </c>
      <c r="J225" s="64">
        <f t="shared" ca="1" si="377"/>
        <v>56</v>
      </c>
      <c r="K225" s="64">
        <f t="shared" si="378"/>
        <v>46162</v>
      </c>
      <c r="L225" s="64" t="s">
        <v>47</v>
      </c>
      <c r="M225" s="64">
        <f>3000+44000</f>
        <v>47000</v>
      </c>
      <c r="N225" s="64">
        <v>40000</v>
      </c>
      <c r="O225" s="65">
        <v>46128</v>
      </c>
      <c r="P225" s="64">
        <f t="shared" si="379"/>
        <v>7000</v>
      </c>
      <c r="Q225" s="64" t="s">
        <v>33</v>
      </c>
      <c r="R225" s="64" t="s">
        <v>52</v>
      </c>
      <c r="S225" s="64">
        <f>5000+48000</f>
        <v>53000</v>
      </c>
      <c r="T225" s="64" t="s">
        <v>2155</v>
      </c>
      <c r="U225" s="65">
        <v>46162</v>
      </c>
      <c r="V225" s="64" t="s">
        <v>28</v>
      </c>
      <c r="W225" s="64">
        <f t="shared" si="380"/>
        <v>6000</v>
      </c>
      <c r="X225" s="64" t="s">
        <v>36</v>
      </c>
      <c r="Y225" s="64" t="s">
        <v>29</v>
      </c>
      <c r="Z225" s="71">
        <f t="shared" si="381"/>
        <v>12.76595744680851</v>
      </c>
      <c r="AA225" s="93"/>
    </row>
    <row r="226" spans="1:27">
      <c r="A226" s="64">
        <f>SUBTOTAL(3,C$2:C226)</f>
        <v>225</v>
      </c>
      <c r="B226" s="64" t="s">
        <v>30</v>
      </c>
      <c r="C226" s="64" t="s">
        <v>31</v>
      </c>
      <c r="D226" s="64" t="s">
        <v>32</v>
      </c>
      <c r="E226" s="64" t="s">
        <v>33</v>
      </c>
      <c r="F226" s="52" t="s">
        <v>435</v>
      </c>
      <c r="G226" s="91" t="s">
        <v>34</v>
      </c>
      <c r="H226" s="95" t="s">
        <v>436</v>
      </c>
      <c r="I226" s="65">
        <v>46128</v>
      </c>
      <c r="J226" s="64">
        <f t="shared" ca="1" si="377"/>
        <v>56</v>
      </c>
      <c r="K226" s="64">
        <f t="shared" si="378"/>
        <v>46137</v>
      </c>
      <c r="L226" s="64" t="s">
        <v>88</v>
      </c>
      <c r="M226" s="64">
        <v>23300</v>
      </c>
      <c r="N226" s="64">
        <v>21500</v>
      </c>
      <c r="O226" s="65">
        <v>46128</v>
      </c>
      <c r="P226" s="64">
        <f t="shared" si="379"/>
        <v>1800</v>
      </c>
      <c r="Q226" s="65">
        <v>46141</v>
      </c>
      <c r="R226" s="64" t="s">
        <v>37</v>
      </c>
      <c r="S226" s="64">
        <v>26000</v>
      </c>
      <c r="T226" s="64" t="s">
        <v>822</v>
      </c>
      <c r="U226" s="65">
        <v>46137</v>
      </c>
      <c r="V226" s="64" t="s">
        <v>28</v>
      </c>
      <c r="W226" s="64">
        <f t="shared" si="380"/>
        <v>2700</v>
      </c>
      <c r="X226" s="64" t="s">
        <v>36</v>
      </c>
      <c r="Y226" s="64" t="s">
        <v>29</v>
      </c>
      <c r="Z226" s="71">
        <f t="shared" si="381"/>
        <v>11.587982832618026</v>
      </c>
      <c r="AA226" s="93"/>
    </row>
    <row r="227" spans="1:27">
      <c r="A227" s="64">
        <f>SUBTOTAL(3,C$2:C227)</f>
        <v>226</v>
      </c>
      <c r="B227" s="64" t="s">
        <v>30</v>
      </c>
      <c r="C227" s="64" t="s">
        <v>44</v>
      </c>
      <c r="D227" s="64" t="s">
        <v>32</v>
      </c>
      <c r="E227" s="64" t="s">
        <v>33</v>
      </c>
      <c r="F227" s="52" t="s">
        <v>439</v>
      </c>
      <c r="G227" s="91" t="s">
        <v>46</v>
      </c>
      <c r="H227" s="52" t="s">
        <v>440</v>
      </c>
      <c r="I227" s="65">
        <v>46128</v>
      </c>
      <c r="J227" s="64">
        <f t="shared" ca="1" si="377"/>
        <v>56</v>
      </c>
      <c r="K227" s="64" t="str">
        <f t="shared" si="378"/>
        <v>Pending</v>
      </c>
      <c r="L227" s="64" t="s">
        <v>47</v>
      </c>
      <c r="M227" s="64">
        <v>19000</v>
      </c>
      <c r="N227" s="64">
        <v>17000</v>
      </c>
      <c r="O227" s="65">
        <v>46128</v>
      </c>
      <c r="P227" s="64">
        <f t="shared" si="379"/>
        <v>2000</v>
      </c>
      <c r="Q227" s="64" t="s">
        <v>33</v>
      </c>
      <c r="R227" s="64" t="s">
        <v>39</v>
      </c>
      <c r="S227" s="64">
        <v>21800</v>
      </c>
      <c r="T227" s="64" t="s">
        <v>33</v>
      </c>
      <c r="U227" s="65" t="s">
        <v>33</v>
      </c>
      <c r="V227" s="64" t="s">
        <v>28</v>
      </c>
      <c r="W227" s="64">
        <f t="shared" si="380"/>
        <v>2800</v>
      </c>
      <c r="X227" s="64" t="s">
        <v>36</v>
      </c>
      <c r="Y227" s="64" t="s">
        <v>29</v>
      </c>
      <c r="Z227" s="71">
        <f t="shared" si="381"/>
        <v>14.736842105263158</v>
      </c>
      <c r="AA227" s="93"/>
    </row>
    <row r="228" spans="1:27">
      <c r="A228" s="64">
        <f>SUBTOTAL(3,C$2:C228)</f>
        <v>227</v>
      </c>
      <c r="B228" s="64" t="s">
        <v>30</v>
      </c>
      <c r="C228" s="64" t="s">
        <v>44</v>
      </c>
      <c r="D228" s="64" t="s">
        <v>32</v>
      </c>
      <c r="E228" s="64" t="s">
        <v>33</v>
      </c>
      <c r="F228" s="52" t="s">
        <v>433</v>
      </c>
      <c r="G228" s="91">
        <v>407</v>
      </c>
      <c r="H228" s="95" t="s">
        <v>434</v>
      </c>
      <c r="I228" s="65">
        <v>46127</v>
      </c>
      <c r="J228" s="64">
        <f t="shared" ref="J228" ca="1" si="382">+TODAY()-I228</f>
        <v>57</v>
      </c>
      <c r="K228" s="64">
        <f t="shared" ref="K228" si="383">+U228</f>
        <v>46170</v>
      </c>
      <c r="L228" s="64" t="s">
        <v>84</v>
      </c>
      <c r="M228" s="64">
        <v>27000</v>
      </c>
      <c r="N228" s="64">
        <v>25000</v>
      </c>
      <c r="O228" s="65">
        <v>46128</v>
      </c>
      <c r="P228" s="64">
        <f t="shared" ref="P228" si="384">+M228-N228</f>
        <v>2000</v>
      </c>
      <c r="Q228" s="64" t="s">
        <v>33</v>
      </c>
      <c r="R228" s="64" t="s">
        <v>78</v>
      </c>
      <c r="S228" s="64">
        <v>29800</v>
      </c>
      <c r="T228" s="64" t="s">
        <v>2662</v>
      </c>
      <c r="U228" s="65">
        <v>46170</v>
      </c>
      <c r="V228" s="64" t="s">
        <v>28</v>
      </c>
      <c r="W228" s="64">
        <f t="shared" ref="W228" si="385">+S228-M228</f>
        <v>2800</v>
      </c>
      <c r="X228" s="64" t="s">
        <v>36</v>
      </c>
      <c r="Y228" s="64" t="s">
        <v>29</v>
      </c>
      <c r="Z228" s="71">
        <f t="shared" ref="Z228" si="386">+W228*100/M228</f>
        <v>10.37037037037037</v>
      </c>
      <c r="AA228" s="93"/>
    </row>
    <row r="229" spans="1:27">
      <c r="A229" s="64">
        <f>SUBTOTAL(3,C$2:C229)</f>
        <v>228</v>
      </c>
      <c r="B229" s="64" t="s">
        <v>30</v>
      </c>
      <c r="C229" s="64" t="s">
        <v>31</v>
      </c>
      <c r="D229" s="64" t="s">
        <v>32</v>
      </c>
      <c r="E229" s="64" t="s">
        <v>33</v>
      </c>
      <c r="F229" s="52" t="s">
        <v>87</v>
      </c>
      <c r="G229" s="91" t="s">
        <v>34</v>
      </c>
      <c r="H229" s="95" t="s">
        <v>1181</v>
      </c>
      <c r="I229" s="65">
        <v>46128</v>
      </c>
      <c r="J229" s="64">
        <f t="shared" ref="J229" ca="1" si="387">+TODAY()-I229</f>
        <v>56</v>
      </c>
      <c r="K229" s="64">
        <f t="shared" ref="K229" si="388">+U229</f>
        <v>46148</v>
      </c>
      <c r="L229" s="64" t="s">
        <v>47</v>
      </c>
      <c r="M229" s="64">
        <v>18000</v>
      </c>
      <c r="N229" s="64">
        <v>16000</v>
      </c>
      <c r="O229" s="65">
        <v>46128</v>
      </c>
      <c r="P229" s="64">
        <f t="shared" ref="P229" si="389">+M229-N229</f>
        <v>2000</v>
      </c>
      <c r="Q229" s="64" t="s">
        <v>33</v>
      </c>
      <c r="R229" s="64" t="s">
        <v>56</v>
      </c>
      <c r="S229" s="64">
        <v>20500</v>
      </c>
      <c r="T229" s="64" t="s">
        <v>1342</v>
      </c>
      <c r="U229" s="65">
        <v>46148</v>
      </c>
      <c r="V229" s="64" t="s">
        <v>28</v>
      </c>
      <c r="W229" s="64">
        <f t="shared" ref="W229" si="390">+S229-M229</f>
        <v>2500</v>
      </c>
      <c r="X229" s="64" t="s">
        <v>36</v>
      </c>
      <c r="Y229" s="64" t="s">
        <v>29</v>
      </c>
      <c r="Z229" s="71">
        <f t="shared" ref="Z229" si="391">+W229*100/M229</f>
        <v>13.888888888888889</v>
      </c>
      <c r="AA229" s="93"/>
    </row>
    <row r="230" spans="1:27">
      <c r="A230" s="64">
        <f>SUBTOTAL(3,C$2:C230)</f>
        <v>229</v>
      </c>
      <c r="B230" s="64" t="s">
        <v>30</v>
      </c>
      <c r="C230" s="64" t="s">
        <v>31</v>
      </c>
      <c r="D230" s="64" t="s">
        <v>32</v>
      </c>
      <c r="E230" s="64" t="s">
        <v>33</v>
      </c>
      <c r="F230" s="52" t="s">
        <v>452</v>
      </c>
      <c r="G230" s="91" t="s">
        <v>34</v>
      </c>
      <c r="H230" s="52" t="s">
        <v>453</v>
      </c>
      <c r="I230" s="65">
        <v>46127</v>
      </c>
      <c r="J230" s="64">
        <f t="shared" ref="J230:J233" ca="1" si="392">+TODAY()-I230</f>
        <v>57</v>
      </c>
      <c r="K230" s="64" t="str">
        <f t="shared" ref="K230:K233" si="393">+U230</f>
        <v>Pending</v>
      </c>
      <c r="L230" s="64" t="s">
        <v>111</v>
      </c>
      <c r="M230" s="64">
        <v>11700</v>
      </c>
      <c r="N230" s="64">
        <v>10700</v>
      </c>
      <c r="O230" s="65">
        <v>46128</v>
      </c>
      <c r="P230" s="64">
        <f t="shared" ref="P230:P233" si="394">+M230-N230</f>
        <v>1000</v>
      </c>
      <c r="Q230" s="64" t="s">
        <v>33</v>
      </c>
      <c r="R230" s="64" t="s">
        <v>112</v>
      </c>
      <c r="S230" s="64">
        <v>13500</v>
      </c>
      <c r="T230" s="64" t="s">
        <v>33</v>
      </c>
      <c r="U230" s="65" t="s">
        <v>33</v>
      </c>
      <c r="V230" s="64" t="s">
        <v>28</v>
      </c>
      <c r="W230" s="64">
        <f t="shared" ref="W230:W233" si="395">+S230-M230</f>
        <v>1800</v>
      </c>
      <c r="X230" s="64" t="s">
        <v>36</v>
      </c>
      <c r="Y230" s="64" t="s">
        <v>29</v>
      </c>
      <c r="Z230" s="71">
        <f t="shared" ref="Z230:Z233" si="396">+W230*100/M230</f>
        <v>15.384615384615385</v>
      </c>
      <c r="AA230" s="93"/>
    </row>
    <row r="231" spans="1:27">
      <c r="A231" s="64">
        <f>SUBTOTAL(3,C$2:C231)</f>
        <v>230</v>
      </c>
      <c r="B231" s="64" t="s">
        <v>30</v>
      </c>
      <c r="C231" s="64" t="s">
        <v>344</v>
      </c>
      <c r="D231" s="64" t="s">
        <v>32</v>
      </c>
      <c r="E231" s="64" t="s">
        <v>33</v>
      </c>
      <c r="F231" s="52" t="s">
        <v>345</v>
      </c>
      <c r="G231" s="91" t="s">
        <v>67</v>
      </c>
      <c r="H231" s="96" t="s">
        <v>460</v>
      </c>
      <c r="I231" s="65">
        <v>46128</v>
      </c>
      <c r="J231" s="64">
        <f t="shared" ca="1" si="392"/>
        <v>56</v>
      </c>
      <c r="K231" s="64">
        <f t="shared" si="393"/>
        <v>46139</v>
      </c>
      <c r="L231" s="64" t="s">
        <v>97</v>
      </c>
      <c r="M231" s="64">
        <v>21500</v>
      </c>
      <c r="N231" s="64">
        <v>21500</v>
      </c>
      <c r="O231" s="65">
        <v>46128</v>
      </c>
      <c r="P231" s="64">
        <f t="shared" si="394"/>
        <v>0</v>
      </c>
      <c r="Q231" s="64" t="s">
        <v>33</v>
      </c>
      <c r="R231" s="64" t="s">
        <v>78</v>
      </c>
      <c r="S231" s="64">
        <v>25500</v>
      </c>
      <c r="T231" s="64" t="s">
        <v>825</v>
      </c>
      <c r="U231" s="65">
        <v>46139</v>
      </c>
      <c r="V231" s="64" t="s">
        <v>28</v>
      </c>
      <c r="W231" s="64">
        <f t="shared" si="395"/>
        <v>4000</v>
      </c>
      <c r="X231" s="64" t="s">
        <v>36</v>
      </c>
      <c r="Y231" s="64" t="s">
        <v>29</v>
      </c>
      <c r="Z231" s="71">
        <f t="shared" si="396"/>
        <v>18.604651162790699</v>
      </c>
      <c r="AA231" s="93"/>
    </row>
    <row r="232" spans="1:27">
      <c r="A232" s="64">
        <f>SUBTOTAL(3,C$2:C232)</f>
        <v>231</v>
      </c>
      <c r="B232" s="64" t="s">
        <v>30</v>
      </c>
      <c r="C232" s="64" t="s">
        <v>76</v>
      </c>
      <c r="D232" s="64" t="s">
        <v>32</v>
      </c>
      <c r="E232" s="64" t="s">
        <v>33</v>
      </c>
      <c r="F232" s="52" t="s">
        <v>77</v>
      </c>
      <c r="G232" s="91" t="s">
        <v>67</v>
      </c>
      <c r="H232" s="95" t="s">
        <v>461</v>
      </c>
      <c r="I232" s="65">
        <v>46126</v>
      </c>
      <c r="J232" s="64">
        <f t="shared" ca="1" si="392"/>
        <v>58</v>
      </c>
      <c r="K232" s="64">
        <f t="shared" si="393"/>
        <v>46148</v>
      </c>
      <c r="L232" s="64" t="s">
        <v>97</v>
      </c>
      <c r="M232" s="64">
        <v>21500</v>
      </c>
      <c r="N232" s="64">
        <v>21500</v>
      </c>
      <c r="O232" s="65">
        <v>46128</v>
      </c>
      <c r="P232" s="64">
        <f t="shared" si="394"/>
        <v>0</v>
      </c>
      <c r="Q232" s="64" t="s">
        <v>33</v>
      </c>
      <c r="R232" s="64" t="s">
        <v>78</v>
      </c>
      <c r="S232" s="64">
        <v>25500</v>
      </c>
      <c r="T232" s="64" t="s">
        <v>1329</v>
      </c>
      <c r="U232" s="65">
        <v>46148</v>
      </c>
      <c r="V232" s="64" t="s">
        <v>28</v>
      </c>
      <c r="W232" s="64">
        <f t="shared" si="395"/>
        <v>4000</v>
      </c>
      <c r="X232" s="64" t="s">
        <v>36</v>
      </c>
      <c r="Y232" s="64" t="s">
        <v>29</v>
      </c>
      <c r="Z232" s="71">
        <f t="shared" si="396"/>
        <v>18.604651162790699</v>
      </c>
      <c r="AA232" s="93"/>
    </row>
    <row r="233" spans="1:27">
      <c r="A233" s="64">
        <f>SUBTOTAL(3,C$2:C233)</f>
        <v>232</v>
      </c>
      <c r="B233" s="64" t="s">
        <v>30</v>
      </c>
      <c r="C233" s="64" t="s">
        <v>44</v>
      </c>
      <c r="D233" s="64" t="s">
        <v>32</v>
      </c>
      <c r="E233" s="64" t="s">
        <v>33</v>
      </c>
      <c r="F233" s="52" t="s">
        <v>359</v>
      </c>
      <c r="G233" s="91">
        <v>407</v>
      </c>
      <c r="H233" s="95" t="s">
        <v>470</v>
      </c>
      <c r="I233" s="65">
        <v>46128</v>
      </c>
      <c r="J233" s="64">
        <f t="shared" ca="1" si="392"/>
        <v>56</v>
      </c>
      <c r="K233" s="64">
        <f t="shared" si="393"/>
        <v>46148</v>
      </c>
      <c r="L233" s="52" t="s">
        <v>381</v>
      </c>
      <c r="M233" s="64">
        <v>28000</v>
      </c>
      <c r="N233" s="64">
        <v>25000</v>
      </c>
      <c r="O233" s="65">
        <v>46129</v>
      </c>
      <c r="P233" s="64">
        <f t="shared" si="394"/>
        <v>3000</v>
      </c>
      <c r="Q233" s="64" t="s">
        <v>33</v>
      </c>
      <c r="R233" s="64" t="s">
        <v>56</v>
      </c>
      <c r="S233" s="64">
        <v>30800</v>
      </c>
      <c r="T233" s="64" t="s">
        <v>1343</v>
      </c>
      <c r="U233" s="65">
        <v>46148</v>
      </c>
      <c r="V233" s="64" t="s">
        <v>28</v>
      </c>
      <c r="W233" s="64">
        <f t="shared" si="395"/>
        <v>2800</v>
      </c>
      <c r="X233" s="64" t="s">
        <v>36</v>
      </c>
      <c r="Y233" s="64" t="s">
        <v>29</v>
      </c>
      <c r="Z233" s="71">
        <f t="shared" si="396"/>
        <v>10</v>
      </c>
      <c r="AA233" s="93"/>
    </row>
    <row r="234" spans="1:27">
      <c r="A234" s="64">
        <f>SUBTOTAL(3,C$2:C234)</f>
        <v>233</v>
      </c>
      <c r="B234" s="64" t="s">
        <v>30</v>
      </c>
      <c r="C234" s="64" t="s">
        <v>31</v>
      </c>
      <c r="D234" s="64" t="s">
        <v>32</v>
      </c>
      <c r="E234" s="64" t="s">
        <v>33</v>
      </c>
      <c r="F234" s="52" t="s">
        <v>465</v>
      </c>
      <c r="G234" s="91" t="s">
        <v>34</v>
      </c>
      <c r="H234" s="95" t="s">
        <v>466</v>
      </c>
      <c r="I234" s="65">
        <v>46128</v>
      </c>
      <c r="J234" s="64">
        <f t="shared" ref="J234:J235" ca="1" si="397">+TODAY()-I234</f>
        <v>56</v>
      </c>
      <c r="K234" s="64">
        <f t="shared" ref="K234:K235" si="398">+U234</f>
        <v>46162</v>
      </c>
      <c r="L234" s="64" t="s">
        <v>47</v>
      </c>
      <c r="M234" s="64">
        <v>19000</v>
      </c>
      <c r="N234" s="64">
        <v>17000</v>
      </c>
      <c r="O234" s="65">
        <v>46129</v>
      </c>
      <c r="P234" s="64">
        <f t="shared" ref="P234:P235" si="399">+M234-N234</f>
        <v>2000</v>
      </c>
      <c r="Q234" s="64" t="s">
        <v>33</v>
      </c>
      <c r="R234" s="64" t="s">
        <v>39</v>
      </c>
      <c r="S234" s="64">
        <v>21800</v>
      </c>
      <c r="T234" s="64" t="s">
        <v>2144</v>
      </c>
      <c r="U234" s="65">
        <v>46162</v>
      </c>
      <c r="V234" s="64" t="s">
        <v>28</v>
      </c>
      <c r="W234" s="64">
        <f t="shared" ref="W234:W235" si="400">+S234-M234</f>
        <v>2800</v>
      </c>
      <c r="X234" s="64" t="s">
        <v>36</v>
      </c>
      <c r="Y234" s="64" t="s">
        <v>29</v>
      </c>
      <c r="Z234" s="71">
        <f t="shared" ref="Z234:Z235" si="401">+W234*100/M234</f>
        <v>14.736842105263158</v>
      </c>
      <c r="AA234" s="93"/>
    </row>
    <row r="235" spans="1:27">
      <c r="A235" s="64">
        <f>SUBTOTAL(3,C$2:C235)</f>
        <v>234</v>
      </c>
      <c r="B235" s="64" t="s">
        <v>30</v>
      </c>
      <c r="C235" s="64" t="s">
        <v>156</v>
      </c>
      <c r="D235" s="64" t="s">
        <v>32</v>
      </c>
      <c r="E235" s="64" t="s">
        <v>33</v>
      </c>
      <c r="F235" s="52" t="s">
        <v>164</v>
      </c>
      <c r="G235" s="91" t="s">
        <v>67</v>
      </c>
      <c r="H235" s="95" t="s">
        <v>469</v>
      </c>
      <c r="I235" s="65">
        <v>46128</v>
      </c>
      <c r="J235" s="64">
        <f t="shared" ca="1" si="397"/>
        <v>56</v>
      </c>
      <c r="K235" s="64">
        <f t="shared" si="398"/>
        <v>46136</v>
      </c>
      <c r="L235" s="64" t="s">
        <v>97</v>
      </c>
      <c r="M235" s="64">
        <f>38500+3000</f>
        <v>41500</v>
      </c>
      <c r="N235" s="64">
        <v>35500</v>
      </c>
      <c r="O235" s="65">
        <v>46129</v>
      </c>
      <c r="P235" s="64">
        <f t="shared" si="399"/>
        <v>6000</v>
      </c>
      <c r="Q235" s="65">
        <v>0</v>
      </c>
      <c r="R235" s="64" t="s">
        <v>52</v>
      </c>
      <c r="S235" s="64">
        <f>42000+5000</f>
        <v>47000</v>
      </c>
      <c r="T235" s="64" t="s">
        <v>812</v>
      </c>
      <c r="U235" s="65">
        <v>46136</v>
      </c>
      <c r="V235" s="64" t="s">
        <v>28</v>
      </c>
      <c r="W235" s="64">
        <f t="shared" si="400"/>
        <v>5500</v>
      </c>
      <c r="X235" s="64" t="s">
        <v>36</v>
      </c>
      <c r="Y235" s="64" t="s">
        <v>29</v>
      </c>
      <c r="Z235" s="71">
        <f t="shared" si="401"/>
        <v>13.253012048192771</v>
      </c>
      <c r="AA235" s="93"/>
    </row>
    <row r="236" spans="1:27">
      <c r="A236" s="64">
        <f>SUBTOTAL(3,C$2:C236)</f>
        <v>235</v>
      </c>
      <c r="B236" s="64" t="s">
        <v>30</v>
      </c>
      <c r="C236" s="64" t="s">
        <v>31</v>
      </c>
      <c r="D236" s="64" t="s">
        <v>32</v>
      </c>
      <c r="E236" s="64" t="s">
        <v>33</v>
      </c>
      <c r="F236" s="52" t="s">
        <v>467</v>
      </c>
      <c r="G236" s="91" t="s">
        <v>34</v>
      </c>
      <c r="H236" s="95" t="s">
        <v>468</v>
      </c>
      <c r="I236" s="65">
        <v>46128</v>
      </c>
      <c r="J236" s="64">
        <f t="shared" ref="J236" ca="1" si="402">+TODAY()-I236</f>
        <v>56</v>
      </c>
      <c r="K236" s="64">
        <f t="shared" ref="K236" si="403">+U236</f>
        <v>46148</v>
      </c>
      <c r="L236" s="64" t="s">
        <v>273</v>
      </c>
      <c r="M236" s="64">
        <v>18000</v>
      </c>
      <c r="N236" s="64">
        <v>16000</v>
      </c>
      <c r="O236" s="65">
        <v>46129</v>
      </c>
      <c r="P236" s="64">
        <f t="shared" ref="P236" si="404">+M236-N236</f>
        <v>2000</v>
      </c>
      <c r="Q236" s="64" t="s">
        <v>33</v>
      </c>
      <c r="R236" s="64" t="s">
        <v>56</v>
      </c>
      <c r="S236" s="64">
        <v>20500</v>
      </c>
      <c r="T236" s="64" t="s">
        <v>1339</v>
      </c>
      <c r="U236" s="65">
        <v>46148</v>
      </c>
      <c r="V236" s="64" t="s">
        <v>28</v>
      </c>
      <c r="W236" s="64">
        <f t="shared" ref="W236" si="405">+S236-M236</f>
        <v>2500</v>
      </c>
      <c r="X236" s="64" t="s">
        <v>36</v>
      </c>
      <c r="Y236" s="64" t="s">
        <v>29</v>
      </c>
      <c r="Z236" s="71">
        <f t="shared" ref="Z236" si="406">+W236*100/M236</f>
        <v>13.888888888888889</v>
      </c>
      <c r="AA236" s="93"/>
    </row>
    <row r="237" spans="1:27">
      <c r="A237" s="64">
        <f>SUBTOTAL(3,C$2:C237)</f>
        <v>236</v>
      </c>
      <c r="B237" s="64" t="s">
        <v>30</v>
      </c>
      <c r="C237" s="64" t="s">
        <v>44</v>
      </c>
      <c r="D237" s="64" t="s">
        <v>32</v>
      </c>
      <c r="E237" s="64" t="s">
        <v>33</v>
      </c>
      <c r="F237" s="52" t="s">
        <v>471</v>
      </c>
      <c r="G237" s="91">
        <v>407</v>
      </c>
      <c r="H237" s="95" t="s">
        <v>472</v>
      </c>
      <c r="I237" s="65">
        <v>46128</v>
      </c>
      <c r="J237" s="64">
        <f t="shared" ref="J237:J238" ca="1" si="407">+TODAY()-I237</f>
        <v>56</v>
      </c>
      <c r="K237" s="64">
        <f t="shared" ref="K237:K238" si="408">+U237</f>
        <v>46170</v>
      </c>
      <c r="L237" s="64" t="s">
        <v>84</v>
      </c>
      <c r="M237" s="64">
        <v>27000</v>
      </c>
      <c r="N237" s="64">
        <v>25000</v>
      </c>
      <c r="O237" s="65">
        <v>46129</v>
      </c>
      <c r="P237" s="64">
        <f t="shared" ref="P237:P238" si="409">+M237-N237</f>
        <v>2000</v>
      </c>
      <c r="Q237" s="64" t="s">
        <v>33</v>
      </c>
      <c r="R237" s="64" t="s">
        <v>56</v>
      </c>
      <c r="S237" s="64">
        <v>29800</v>
      </c>
      <c r="T237" s="64" t="s">
        <v>2663</v>
      </c>
      <c r="U237" s="65">
        <v>46170</v>
      </c>
      <c r="V237" s="64" t="s">
        <v>28</v>
      </c>
      <c r="W237" s="64">
        <f t="shared" ref="W237:W238" si="410">+S237-M237</f>
        <v>2800</v>
      </c>
      <c r="X237" s="64" t="s">
        <v>36</v>
      </c>
      <c r="Y237" s="64" t="s">
        <v>29</v>
      </c>
      <c r="Z237" s="71">
        <f t="shared" ref="Z237:Z238" si="411">+W237*100/M237</f>
        <v>10.37037037037037</v>
      </c>
      <c r="AA237" s="93"/>
    </row>
    <row r="238" spans="1:27">
      <c r="A238" s="64">
        <f>SUBTOTAL(3,C$2:C238)</f>
        <v>237</v>
      </c>
      <c r="B238" s="64" t="s">
        <v>30</v>
      </c>
      <c r="C238" s="64" t="s">
        <v>31</v>
      </c>
      <c r="D238" s="64" t="s">
        <v>32</v>
      </c>
      <c r="E238" s="64" t="s">
        <v>33</v>
      </c>
      <c r="F238" s="52" t="s">
        <v>159</v>
      </c>
      <c r="G238" s="91" t="s">
        <v>34</v>
      </c>
      <c r="H238" s="95" t="s">
        <v>473</v>
      </c>
      <c r="I238" s="65">
        <v>46128</v>
      </c>
      <c r="J238" s="64">
        <f t="shared" ca="1" si="407"/>
        <v>56</v>
      </c>
      <c r="K238" s="64">
        <f t="shared" si="408"/>
        <v>46148</v>
      </c>
      <c r="L238" s="52" t="s">
        <v>639</v>
      </c>
      <c r="M238" s="64">
        <v>18300</v>
      </c>
      <c r="N238" s="64">
        <v>16500</v>
      </c>
      <c r="O238" s="65">
        <v>46129</v>
      </c>
      <c r="P238" s="64">
        <f t="shared" si="409"/>
        <v>1800</v>
      </c>
      <c r="Q238" s="64" t="s">
        <v>33</v>
      </c>
      <c r="R238" s="64" t="s">
        <v>37</v>
      </c>
      <c r="S238" s="64">
        <v>21500</v>
      </c>
      <c r="T238" s="64" t="s">
        <v>1336</v>
      </c>
      <c r="U238" s="65">
        <v>46148</v>
      </c>
      <c r="V238" s="64" t="s">
        <v>28</v>
      </c>
      <c r="W238" s="64">
        <f t="shared" si="410"/>
        <v>3200</v>
      </c>
      <c r="X238" s="64" t="s">
        <v>36</v>
      </c>
      <c r="Y238" s="64" t="s">
        <v>29</v>
      </c>
      <c r="Z238" s="71">
        <f t="shared" si="411"/>
        <v>17.486338797814209</v>
      </c>
      <c r="AA238" s="93"/>
    </row>
    <row r="239" spans="1:27">
      <c r="A239" s="64">
        <f>SUBTOTAL(3,C$2:C239)</f>
        <v>238</v>
      </c>
      <c r="B239" s="64" t="s">
        <v>30</v>
      </c>
      <c r="C239" s="64" t="s">
        <v>31</v>
      </c>
      <c r="D239" s="64" t="s">
        <v>32</v>
      </c>
      <c r="E239" s="64" t="s">
        <v>33</v>
      </c>
      <c r="F239" s="52" t="s">
        <v>327</v>
      </c>
      <c r="G239" s="91" t="s">
        <v>34</v>
      </c>
      <c r="H239" s="95" t="s">
        <v>475</v>
      </c>
      <c r="I239" s="65">
        <v>46128</v>
      </c>
      <c r="J239" s="64">
        <f t="shared" ref="J239" ca="1" si="412">+TODAY()-I239</f>
        <v>56</v>
      </c>
      <c r="K239" s="64">
        <f t="shared" ref="K239" si="413">+U239</f>
        <v>46136</v>
      </c>
      <c r="L239" s="64" t="s">
        <v>47</v>
      </c>
      <c r="M239" s="64">
        <v>19000</v>
      </c>
      <c r="N239" s="64">
        <v>17000</v>
      </c>
      <c r="O239" s="65">
        <v>46129</v>
      </c>
      <c r="P239" s="64">
        <f t="shared" ref="P239" si="414">+M239-N239</f>
        <v>2000</v>
      </c>
      <c r="Q239" s="65">
        <v>46141</v>
      </c>
      <c r="R239" s="64" t="s">
        <v>39</v>
      </c>
      <c r="S239" s="64">
        <v>21800</v>
      </c>
      <c r="T239" s="64" t="s">
        <v>804</v>
      </c>
      <c r="U239" s="65">
        <v>46136</v>
      </c>
      <c r="V239" s="64" t="s">
        <v>28</v>
      </c>
      <c r="W239" s="64">
        <f t="shared" ref="W239" si="415">+S239-M239</f>
        <v>2800</v>
      </c>
      <c r="X239" s="64" t="s">
        <v>36</v>
      </c>
      <c r="Y239" s="64" t="s">
        <v>29</v>
      </c>
      <c r="Z239" s="71">
        <f t="shared" ref="Z239" si="416">+W239*100/M239</f>
        <v>14.736842105263158</v>
      </c>
      <c r="AA239" s="93"/>
    </row>
    <row r="240" spans="1:27">
      <c r="A240" s="64">
        <f>SUBTOTAL(3,C$2:C240)</f>
        <v>239</v>
      </c>
      <c r="B240" s="64" t="s">
        <v>30</v>
      </c>
      <c r="C240" s="64" t="s">
        <v>31</v>
      </c>
      <c r="D240" s="64" t="s">
        <v>32</v>
      </c>
      <c r="E240" s="64" t="s">
        <v>33</v>
      </c>
      <c r="F240" s="52" t="s">
        <v>232</v>
      </c>
      <c r="G240" s="91" t="s">
        <v>34</v>
      </c>
      <c r="H240" s="95" t="s">
        <v>476</v>
      </c>
      <c r="I240" s="65">
        <v>46129</v>
      </c>
      <c r="J240" s="64">
        <f t="shared" ref="J240" ca="1" si="417">+TODAY()-I240</f>
        <v>55</v>
      </c>
      <c r="K240" s="64">
        <f t="shared" ref="K240" si="418">+U240</f>
        <v>46136</v>
      </c>
      <c r="L240" s="64" t="s">
        <v>47</v>
      </c>
      <c r="M240" s="64">
        <v>19000</v>
      </c>
      <c r="N240" s="64">
        <v>17000</v>
      </c>
      <c r="O240" s="65">
        <v>46129</v>
      </c>
      <c r="P240" s="64">
        <f t="shared" ref="P240" si="419">+M240-N240</f>
        <v>2000</v>
      </c>
      <c r="Q240" s="65">
        <v>46141</v>
      </c>
      <c r="R240" s="64" t="s">
        <v>39</v>
      </c>
      <c r="S240" s="64">
        <v>21800</v>
      </c>
      <c r="T240" s="64" t="s">
        <v>804</v>
      </c>
      <c r="U240" s="65">
        <v>46136</v>
      </c>
      <c r="V240" s="64" t="s">
        <v>28</v>
      </c>
      <c r="W240" s="64">
        <f t="shared" ref="W240" si="420">+S240-M240</f>
        <v>2800</v>
      </c>
      <c r="X240" s="64" t="s">
        <v>36</v>
      </c>
      <c r="Y240" s="64" t="s">
        <v>29</v>
      </c>
      <c r="Z240" s="71">
        <f t="shared" ref="Z240" si="421">+W240*100/M240</f>
        <v>14.736842105263158</v>
      </c>
      <c r="AA240" s="93"/>
    </row>
    <row r="241" spans="1:27">
      <c r="A241" s="64">
        <f>SUBTOTAL(3,C$2:C241)</f>
        <v>240</v>
      </c>
      <c r="B241" s="64" t="s">
        <v>30</v>
      </c>
      <c r="C241" s="64" t="s">
        <v>31</v>
      </c>
      <c r="D241" s="64" t="s">
        <v>32</v>
      </c>
      <c r="E241" s="64" t="s">
        <v>33</v>
      </c>
      <c r="F241" s="52" t="s">
        <v>477</v>
      </c>
      <c r="G241" s="91" t="s">
        <v>34</v>
      </c>
      <c r="H241" s="95" t="s">
        <v>478</v>
      </c>
      <c r="I241" s="65">
        <v>46129</v>
      </c>
      <c r="J241" s="64">
        <f t="shared" ref="J241:J242" ca="1" si="422">+TODAY()-I241</f>
        <v>55</v>
      </c>
      <c r="K241" s="64">
        <f t="shared" ref="K241:K242" si="423">+U241</f>
        <v>46136</v>
      </c>
      <c r="L241" s="64" t="s">
        <v>47</v>
      </c>
      <c r="M241" s="64">
        <v>19000</v>
      </c>
      <c r="N241" s="64">
        <v>17000</v>
      </c>
      <c r="O241" s="65">
        <v>46129</v>
      </c>
      <c r="P241" s="64">
        <f t="shared" ref="P241:P242" si="424">+M241-N241</f>
        <v>2000</v>
      </c>
      <c r="Q241" s="65">
        <v>46141</v>
      </c>
      <c r="R241" s="64" t="s">
        <v>39</v>
      </c>
      <c r="S241" s="64">
        <v>21800</v>
      </c>
      <c r="T241" s="64" t="s">
        <v>804</v>
      </c>
      <c r="U241" s="65">
        <v>46136</v>
      </c>
      <c r="V241" s="64" t="s">
        <v>28</v>
      </c>
      <c r="W241" s="64">
        <f t="shared" ref="W241:W242" si="425">+S241-M241</f>
        <v>2800</v>
      </c>
      <c r="X241" s="64" t="s">
        <v>36</v>
      </c>
      <c r="Y241" s="64" t="s">
        <v>29</v>
      </c>
      <c r="Z241" s="71">
        <f t="shared" ref="Z241:Z242" si="426">+W241*100/M241</f>
        <v>14.736842105263158</v>
      </c>
      <c r="AA241" s="93"/>
    </row>
    <row r="242" spans="1:27">
      <c r="A242" s="64">
        <f>SUBTOTAL(3,C$2:C242)</f>
        <v>241</v>
      </c>
      <c r="B242" s="64" t="s">
        <v>30</v>
      </c>
      <c r="C242" s="64" t="s">
        <v>44</v>
      </c>
      <c r="D242" s="64" t="s">
        <v>32</v>
      </c>
      <c r="E242" s="64" t="s">
        <v>33</v>
      </c>
      <c r="F242" s="52" t="s">
        <v>479</v>
      </c>
      <c r="G242" s="91">
        <v>407</v>
      </c>
      <c r="H242" s="95" t="s">
        <v>480</v>
      </c>
      <c r="I242" s="65">
        <v>46129</v>
      </c>
      <c r="J242" s="64">
        <f t="shared" ca="1" si="422"/>
        <v>55</v>
      </c>
      <c r="K242" s="64">
        <f t="shared" si="423"/>
        <v>46148</v>
      </c>
      <c r="L242" s="64" t="s">
        <v>84</v>
      </c>
      <c r="M242" s="64">
        <v>27000</v>
      </c>
      <c r="N242" s="64">
        <v>25000</v>
      </c>
      <c r="O242" s="65">
        <v>46129</v>
      </c>
      <c r="P242" s="64">
        <f t="shared" si="424"/>
        <v>2000</v>
      </c>
      <c r="Q242" s="64" t="s">
        <v>33</v>
      </c>
      <c r="R242" s="64" t="s">
        <v>56</v>
      </c>
      <c r="S242" s="64">
        <v>29800</v>
      </c>
      <c r="T242" s="64" t="s">
        <v>1340</v>
      </c>
      <c r="U242" s="65">
        <v>46148</v>
      </c>
      <c r="V242" s="64" t="s">
        <v>28</v>
      </c>
      <c r="W242" s="64">
        <f t="shared" si="425"/>
        <v>2800</v>
      </c>
      <c r="X242" s="64" t="s">
        <v>36</v>
      </c>
      <c r="Y242" s="64" t="s">
        <v>29</v>
      </c>
      <c r="Z242" s="71">
        <f t="shared" si="426"/>
        <v>10.37037037037037</v>
      </c>
      <c r="AA242" s="93"/>
    </row>
    <row r="243" spans="1:27">
      <c r="A243" s="64">
        <f>SUBTOTAL(3,C$2:C243)</f>
        <v>242</v>
      </c>
      <c r="B243" s="64" t="s">
        <v>30</v>
      </c>
      <c r="C243" s="64" t="s">
        <v>31</v>
      </c>
      <c r="D243" s="64" t="s">
        <v>32</v>
      </c>
      <c r="E243" s="64" t="s">
        <v>33</v>
      </c>
      <c r="F243" s="52" t="s">
        <v>481</v>
      </c>
      <c r="G243" s="91" t="s">
        <v>34</v>
      </c>
      <c r="H243" s="95" t="s">
        <v>482</v>
      </c>
      <c r="I243" s="65">
        <v>46129</v>
      </c>
      <c r="J243" s="64">
        <f t="shared" ref="J243" ca="1" si="427">+TODAY()-I243</f>
        <v>55</v>
      </c>
      <c r="K243" s="64">
        <f t="shared" ref="K243" si="428">+U243</f>
        <v>46137</v>
      </c>
      <c r="L243" s="64" t="s">
        <v>88</v>
      </c>
      <c r="M243" s="64">
        <v>23300</v>
      </c>
      <c r="N243" s="64">
        <v>21500</v>
      </c>
      <c r="O243" s="65">
        <v>46129</v>
      </c>
      <c r="P243" s="64">
        <f t="shared" ref="P243" si="429">+M243-N243</f>
        <v>1800</v>
      </c>
      <c r="Q243" s="65">
        <v>46141</v>
      </c>
      <c r="R243" s="64" t="s">
        <v>37</v>
      </c>
      <c r="S243" s="64">
        <v>26000</v>
      </c>
      <c r="T243" s="64" t="s">
        <v>822</v>
      </c>
      <c r="U243" s="65">
        <v>46137</v>
      </c>
      <c r="V243" s="64" t="s">
        <v>28</v>
      </c>
      <c r="W243" s="64">
        <f t="shared" ref="W243" si="430">+S243-M243</f>
        <v>2700</v>
      </c>
      <c r="X243" s="64" t="s">
        <v>36</v>
      </c>
      <c r="Y243" s="64" t="s">
        <v>29</v>
      </c>
      <c r="Z243" s="71">
        <f t="shared" ref="Z243" si="431">+W243*100/M243</f>
        <v>11.587982832618026</v>
      </c>
      <c r="AA243" s="93"/>
    </row>
    <row r="244" spans="1:27">
      <c r="A244" s="64">
        <f>SUBTOTAL(3,C$2:C244)</f>
        <v>243</v>
      </c>
      <c r="B244" s="64" t="s">
        <v>30</v>
      </c>
      <c r="C244" s="64" t="s">
        <v>31</v>
      </c>
      <c r="D244" s="64" t="s">
        <v>32</v>
      </c>
      <c r="E244" s="64" t="s">
        <v>33</v>
      </c>
      <c r="F244" s="52" t="s">
        <v>484</v>
      </c>
      <c r="G244" s="91" t="s">
        <v>34</v>
      </c>
      <c r="H244" s="95" t="s">
        <v>1182</v>
      </c>
      <c r="I244" s="65">
        <v>46129</v>
      </c>
      <c r="J244" s="64">
        <f t="shared" ref="J244" ca="1" si="432">+TODAY()-I244</f>
        <v>55</v>
      </c>
      <c r="K244" s="64">
        <f t="shared" ref="K244" si="433">+U244</f>
        <v>46148</v>
      </c>
      <c r="L244" s="64" t="s">
        <v>273</v>
      </c>
      <c r="M244" s="64">
        <v>18000</v>
      </c>
      <c r="N244" s="64">
        <v>16000</v>
      </c>
      <c r="O244" s="65">
        <v>46129</v>
      </c>
      <c r="P244" s="64">
        <f t="shared" ref="P244" si="434">+M244-N244</f>
        <v>2000</v>
      </c>
      <c r="Q244" s="64" t="s">
        <v>33</v>
      </c>
      <c r="R244" s="64" t="s">
        <v>56</v>
      </c>
      <c r="S244" s="64">
        <v>20500</v>
      </c>
      <c r="T244" s="64" t="s">
        <v>1342</v>
      </c>
      <c r="U244" s="65">
        <v>46148</v>
      </c>
      <c r="V244" s="64" t="s">
        <v>28</v>
      </c>
      <c r="W244" s="64">
        <f t="shared" ref="W244" si="435">+S244-M244</f>
        <v>2500</v>
      </c>
      <c r="X244" s="64" t="s">
        <v>36</v>
      </c>
      <c r="Y244" s="64" t="s">
        <v>29</v>
      </c>
      <c r="Z244" s="71">
        <f t="shared" ref="Z244" si="436">+W244*100/M244</f>
        <v>13.888888888888889</v>
      </c>
      <c r="AA244" s="93"/>
    </row>
    <row r="245" spans="1:27">
      <c r="A245" s="64">
        <f>SUBTOTAL(3,C$2:C245)</f>
        <v>244</v>
      </c>
      <c r="B245" s="64" t="s">
        <v>30</v>
      </c>
      <c r="C245" s="64" t="s">
        <v>31</v>
      </c>
      <c r="D245" s="64" t="s">
        <v>32</v>
      </c>
      <c r="E245" s="64" t="s">
        <v>33</v>
      </c>
      <c r="F245" s="52" t="s">
        <v>241</v>
      </c>
      <c r="G245" s="91" t="s">
        <v>34</v>
      </c>
      <c r="H245" s="52" t="s">
        <v>486</v>
      </c>
      <c r="I245" s="65">
        <v>46129</v>
      </c>
      <c r="J245" s="64">
        <f t="shared" ref="J245:J247" ca="1" si="437">+TODAY()-I245</f>
        <v>55</v>
      </c>
      <c r="K245" s="64" t="str">
        <f t="shared" ref="K245:K247" si="438">+U245</f>
        <v>Pending</v>
      </c>
      <c r="L245" s="64" t="s">
        <v>111</v>
      </c>
      <c r="M245" s="64">
        <v>11700</v>
      </c>
      <c r="N245" s="64">
        <v>10700</v>
      </c>
      <c r="O245" s="65">
        <v>46129</v>
      </c>
      <c r="P245" s="64">
        <f t="shared" ref="P245:P247" si="439">+M245-N245</f>
        <v>1000</v>
      </c>
      <c r="Q245" s="64" t="s">
        <v>33</v>
      </c>
      <c r="R245" s="64" t="s">
        <v>112</v>
      </c>
      <c r="S245" s="64">
        <v>13500</v>
      </c>
      <c r="T245" s="64" t="s">
        <v>33</v>
      </c>
      <c r="U245" s="65" t="s">
        <v>33</v>
      </c>
      <c r="V245" s="64" t="s">
        <v>28</v>
      </c>
      <c r="W245" s="64">
        <f t="shared" ref="W245:W247" si="440">+S245-M245</f>
        <v>1800</v>
      </c>
      <c r="X245" s="64" t="s">
        <v>36</v>
      </c>
      <c r="Y245" s="64" t="s">
        <v>29</v>
      </c>
      <c r="Z245" s="71">
        <f t="shared" ref="Z245:Z247" si="441">+W245*100/M245</f>
        <v>15.384615384615385</v>
      </c>
      <c r="AA245" s="93"/>
    </row>
    <row r="246" spans="1:27">
      <c r="A246" s="64">
        <f>SUBTOTAL(3,C$2:C246)</f>
        <v>245</v>
      </c>
      <c r="B246" s="64" t="s">
        <v>30</v>
      </c>
      <c r="C246" s="64" t="s">
        <v>80</v>
      </c>
      <c r="D246" s="64" t="s">
        <v>32</v>
      </c>
      <c r="E246" s="64" t="s">
        <v>33</v>
      </c>
      <c r="F246" s="52" t="s">
        <v>81</v>
      </c>
      <c r="G246" s="91" t="s">
        <v>59</v>
      </c>
      <c r="H246" s="95" t="s">
        <v>487</v>
      </c>
      <c r="I246" s="65">
        <v>46129</v>
      </c>
      <c r="J246" s="64">
        <f t="shared" ca="1" si="437"/>
        <v>55</v>
      </c>
      <c r="K246" s="64">
        <f t="shared" si="438"/>
        <v>46136</v>
      </c>
      <c r="L246" s="52" t="s">
        <v>270</v>
      </c>
      <c r="M246" s="64">
        <v>35000</v>
      </c>
      <c r="N246" s="64">
        <v>32000</v>
      </c>
      <c r="O246" s="65">
        <v>46129</v>
      </c>
      <c r="P246" s="64">
        <f t="shared" si="439"/>
        <v>3000</v>
      </c>
      <c r="Q246" s="65">
        <v>46141</v>
      </c>
      <c r="R246" s="64" t="s">
        <v>37</v>
      </c>
      <c r="S246" s="64">
        <v>38000</v>
      </c>
      <c r="T246" s="64" t="s">
        <v>817</v>
      </c>
      <c r="U246" s="65">
        <v>46136</v>
      </c>
      <c r="V246" s="64" t="s">
        <v>28</v>
      </c>
      <c r="W246" s="64">
        <f t="shared" si="440"/>
        <v>3000</v>
      </c>
      <c r="X246" s="64" t="s">
        <v>36</v>
      </c>
      <c r="Y246" s="64" t="s">
        <v>29</v>
      </c>
      <c r="Z246" s="71">
        <f t="shared" si="441"/>
        <v>8.5714285714285712</v>
      </c>
      <c r="AA246" s="93"/>
    </row>
    <row r="247" spans="1:27">
      <c r="A247" s="64">
        <f>SUBTOTAL(3,C$2:C247)</f>
        <v>246</v>
      </c>
      <c r="B247" s="64" t="s">
        <v>30</v>
      </c>
      <c r="C247" s="64" t="s">
        <v>284</v>
      </c>
      <c r="D247" s="64" t="s">
        <v>32</v>
      </c>
      <c r="E247" s="64" t="s">
        <v>33</v>
      </c>
      <c r="F247" s="52" t="s">
        <v>285</v>
      </c>
      <c r="G247" s="91" t="s">
        <v>50</v>
      </c>
      <c r="H247" s="95" t="s">
        <v>488</v>
      </c>
      <c r="I247" s="65">
        <v>46129</v>
      </c>
      <c r="J247" s="64">
        <f t="shared" ca="1" si="437"/>
        <v>55</v>
      </c>
      <c r="K247" s="64">
        <f t="shared" si="438"/>
        <v>46170</v>
      </c>
      <c r="L247" s="64" t="s">
        <v>97</v>
      </c>
      <c r="M247" s="64">
        <f>44000+3000</f>
        <v>47000</v>
      </c>
      <c r="N247" s="64">
        <v>40000</v>
      </c>
      <c r="O247" s="65">
        <v>46129</v>
      </c>
      <c r="P247" s="64">
        <f t="shared" si="439"/>
        <v>7000</v>
      </c>
      <c r="Q247" s="64" t="s">
        <v>33</v>
      </c>
      <c r="R247" s="64" t="s">
        <v>52</v>
      </c>
      <c r="S247" s="64">
        <f>5000+48000</f>
        <v>53000</v>
      </c>
      <c r="T247" s="64" t="s">
        <v>2664</v>
      </c>
      <c r="U247" s="65">
        <v>46170</v>
      </c>
      <c r="V247" s="64" t="s">
        <v>28</v>
      </c>
      <c r="W247" s="64">
        <f t="shared" si="440"/>
        <v>6000</v>
      </c>
      <c r="X247" s="64" t="s">
        <v>36</v>
      </c>
      <c r="Y247" s="64" t="s">
        <v>29</v>
      </c>
      <c r="Z247" s="71">
        <f t="shared" si="441"/>
        <v>12.76595744680851</v>
      </c>
      <c r="AA247" s="93"/>
    </row>
    <row r="248" spans="1:27">
      <c r="A248" s="64">
        <f>SUBTOTAL(3,C$2:C248)</f>
        <v>247</v>
      </c>
      <c r="B248" s="64" t="s">
        <v>30</v>
      </c>
      <c r="C248" s="64" t="s">
        <v>80</v>
      </c>
      <c r="D248" s="64" t="s">
        <v>32</v>
      </c>
      <c r="E248" s="64" t="s">
        <v>33</v>
      </c>
      <c r="F248" s="52" t="s">
        <v>490</v>
      </c>
      <c r="G248" s="91" t="s">
        <v>59</v>
      </c>
      <c r="H248" s="95" t="s">
        <v>491</v>
      </c>
      <c r="I248" s="65">
        <v>46129</v>
      </c>
      <c r="J248" s="64">
        <f t="shared" ref="J248:J249" ca="1" si="442">+TODAY()-I248</f>
        <v>55</v>
      </c>
      <c r="K248" s="64">
        <f t="shared" ref="K248:K249" si="443">+U248</f>
        <v>46169</v>
      </c>
      <c r="L248" s="64" t="s">
        <v>47</v>
      </c>
      <c r="M248" s="64">
        <v>22500</v>
      </c>
      <c r="N248" s="64">
        <v>22500</v>
      </c>
      <c r="O248" s="65">
        <v>46129</v>
      </c>
      <c r="P248" s="64">
        <f t="shared" ref="P248:P249" si="444">+M248-N248</f>
        <v>0</v>
      </c>
      <c r="Q248" s="64" t="s">
        <v>33</v>
      </c>
      <c r="R248" s="64" t="s">
        <v>39</v>
      </c>
      <c r="S248" s="64">
        <v>25200</v>
      </c>
      <c r="T248" s="64" t="s">
        <v>2656</v>
      </c>
      <c r="U248" s="65">
        <v>46169</v>
      </c>
      <c r="V248" s="64" t="s">
        <v>28</v>
      </c>
      <c r="W248" s="64">
        <f t="shared" ref="W248:W249" si="445">+S248-M248</f>
        <v>2700</v>
      </c>
      <c r="X248" s="64" t="s">
        <v>36</v>
      </c>
      <c r="Y248" s="64" t="s">
        <v>29</v>
      </c>
      <c r="Z248" s="71">
        <f t="shared" ref="Z248:Z249" si="446">+W248*100/M248</f>
        <v>12</v>
      </c>
      <c r="AA248" s="93"/>
    </row>
    <row r="249" spans="1:27">
      <c r="A249" s="64">
        <f>SUBTOTAL(3,C$2:C249)</f>
        <v>248</v>
      </c>
      <c r="B249" s="64" t="s">
        <v>30</v>
      </c>
      <c r="C249" s="64" t="s">
        <v>31</v>
      </c>
      <c r="D249" s="64" t="s">
        <v>32</v>
      </c>
      <c r="E249" s="64" t="s">
        <v>33</v>
      </c>
      <c r="F249" s="52" t="s">
        <v>497</v>
      </c>
      <c r="G249" s="91" t="s">
        <v>34</v>
      </c>
      <c r="H249" s="95" t="s">
        <v>1183</v>
      </c>
      <c r="I249" s="65">
        <v>46129</v>
      </c>
      <c r="J249" s="64">
        <f t="shared" ca="1" si="442"/>
        <v>55</v>
      </c>
      <c r="K249" s="64">
        <f t="shared" si="443"/>
        <v>46148</v>
      </c>
      <c r="L249" s="52" t="s">
        <v>499</v>
      </c>
      <c r="M249" s="64">
        <v>18000</v>
      </c>
      <c r="N249" s="64">
        <v>16000</v>
      </c>
      <c r="O249" s="65">
        <v>46129</v>
      </c>
      <c r="P249" s="64">
        <f t="shared" si="444"/>
        <v>2000</v>
      </c>
      <c r="Q249" s="64" t="s">
        <v>33</v>
      </c>
      <c r="R249" s="64" t="s">
        <v>56</v>
      </c>
      <c r="S249" s="64">
        <v>20500</v>
      </c>
      <c r="T249" s="64" t="s">
        <v>1339</v>
      </c>
      <c r="U249" s="65">
        <v>46148</v>
      </c>
      <c r="V249" s="64" t="s">
        <v>28</v>
      </c>
      <c r="W249" s="64">
        <f t="shared" si="445"/>
        <v>2500</v>
      </c>
      <c r="X249" s="64" t="s">
        <v>36</v>
      </c>
      <c r="Y249" s="64" t="s">
        <v>29</v>
      </c>
      <c r="Z249" s="71">
        <f t="shared" si="446"/>
        <v>13.888888888888889</v>
      </c>
      <c r="AA249" s="93"/>
    </row>
    <row r="250" spans="1:27">
      <c r="A250" s="64">
        <f>SUBTOTAL(3,C$2:C250)</f>
        <v>249</v>
      </c>
      <c r="B250" s="64" t="s">
        <v>30</v>
      </c>
      <c r="C250" s="64" t="s">
        <v>31</v>
      </c>
      <c r="D250" s="64" t="s">
        <v>32</v>
      </c>
      <c r="E250" s="64" t="s">
        <v>33</v>
      </c>
      <c r="F250" s="52" t="s">
        <v>500</v>
      </c>
      <c r="G250" s="91" t="s">
        <v>34</v>
      </c>
      <c r="H250" s="95" t="s">
        <v>501</v>
      </c>
      <c r="I250" s="65">
        <v>46129</v>
      </c>
      <c r="J250" s="64">
        <f t="shared" ref="J250:J251" ca="1" si="447">+TODAY()-I250</f>
        <v>55</v>
      </c>
      <c r="K250" s="64">
        <f t="shared" ref="K250:K251" si="448">+U250</f>
        <v>46136</v>
      </c>
      <c r="L250" s="64" t="s">
        <v>47</v>
      </c>
      <c r="M250" s="64">
        <v>19000</v>
      </c>
      <c r="N250" s="64">
        <v>17000</v>
      </c>
      <c r="O250" s="65">
        <v>46129</v>
      </c>
      <c r="P250" s="64">
        <f t="shared" ref="P250:P251" si="449">+M250-N250</f>
        <v>2000</v>
      </c>
      <c r="Q250" s="65" t="s">
        <v>141</v>
      </c>
      <c r="R250" s="64" t="s">
        <v>39</v>
      </c>
      <c r="S250" s="64">
        <v>21800</v>
      </c>
      <c r="T250" s="64" t="s">
        <v>804</v>
      </c>
      <c r="U250" s="65">
        <v>46136</v>
      </c>
      <c r="V250" s="64" t="s">
        <v>28</v>
      </c>
      <c r="W250" s="64">
        <f t="shared" ref="W250:W251" si="450">+S250-M250</f>
        <v>2800</v>
      </c>
      <c r="X250" s="64" t="s">
        <v>36</v>
      </c>
      <c r="Y250" s="64" t="s">
        <v>29</v>
      </c>
      <c r="Z250" s="71">
        <f t="shared" ref="Z250:Z251" si="451">+W250*100/M250</f>
        <v>14.736842105263158</v>
      </c>
      <c r="AA250" s="93"/>
    </row>
    <row r="251" spans="1:27">
      <c r="A251" s="64">
        <f>SUBTOTAL(3,C$2:C251)</f>
        <v>250</v>
      </c>
      <c r="B251" s="64" t="s">
        <v>30</v>
      </c>
      <c r="C251" s="64" t="s">
        <v>44</v>
      </c>
      <c r="D251" s="64" t="s">
        <v>32</v>
      </c>
      <c r="E251" s="64" t="s">
        <v>33</v>
      </c>
      <c r="F251" s="52" t="s">
        <v>502</v>
      </c>
      <c r="G251" s="91">
        <v>407</v>
      </c>
      <c r="H251" s="95" t="s">
        <v>503</v>
      </c>
      <c r="I251" s="65">
        <v>46129</v>
      </c>
      <c r="J251" s="64">
        <f t="shared" ca="1" si="447"/>
        <v>55</v>
      </c>
      <c r="K251" s="64">
        <f t="shared" si="448"/>
        <v>46148</v>
      </c>
      <c r="L251" s="52" t="s">
        <v>504</v>
      </c>
      <c r="M251" s="64">
        <v>28000</v>
      </c>
      <c r="N251" s="64">
        <v>26000</v>
      </c>
      <c r="O251" s="65">
        <v>46129</v>
      </c>
      <c r="P251" s="64">
        <f t="shared" si="449"/>
        <v>2000</v>
      </c>
      <c r="Q251" s="64" t="s">
        <v>33</v>
      </c>
      <c r="R251" s="64" t="s">
        <v>56</v>
      </c>
      <c r="S251" s="64">
        <v>30800</v>
      </c>
      <c r="T251" s="64" t="s">
        <v>1343</v>
      </c>
      <c r="U251" s="65">
        <v>46148</v>
      </c>
      <c r="V251" s="64" t="s">
        <v>28</v>
      </c>
      <c r="W251" s="64">
        <f t="shared" si="450"/>
        <v>2800</v>
      </c>
      <c r="X251" s="64" t="s">
        <v>36</v>
      </c>
      <c r="Y251" s="64" t="s">
        <v>29</v>
      </c>
      <c r="Z251" s="71">
        <f t="shared" si="451"/>
        <v>10</v>
      </c>
      <c r="AA251" s="93"/>
    </row>
    <row r="252" spans="1:27">
      <c r="A252" s="64">
        <f>SUBTOTAL(3,C$2:C252)</f>
        <v>251</v>
      </c>
      <c r="B252" s="64" t="s">
        <v>30</v>
      </c>
      <c r="C252" s="64" t="s">
        <v>31</v>
      </c>
      <c r="D252" s="64" t="s">
        <v>32</v>
      </c>
      <c r="E252" s="64" t="s">
        <v>33</v>
      </c>
      <c r="F252" s="52" t="s">
        <v>202</v>
      </c>
      <c r="G252" s="91" t="s">
        <v>34</v>
      </c>
      <c r="H252" s="95" t="s">
        <v>510</v>
      </c>
      <c r="I252" s="65">
        <v>46129</v>
      </c>
      <c r="J252" s="64">
        <f t="shared" ref="J252" ca="1" si="452">+TODAY()-I252</f>
        <v>55</v>
      </c>
      <c r="K252" s="64">
        <f t="shared" ref="K252" si="453">+U252</f>
        <v>46137</v>
      </c>
      <c r="L252" s="64" t="s">
        <v>88</v>
      </c>
      <c r="M252" s="64">
        <v>23300</v>
      </c>
      <c r="N252" s="64">
        <v>21500</v>
      </c>
      <c r="O252" s="65">
        <v>46129</v>
      </c>
      <c r="P252" s="64">
        <f t="shared" ref="P252" si="454">+M252-N252</f>
        <v>1800</v>
      </c>
      <c r="Q252" s="65">
        <v>46141</v>
      </c>
      <c r="R252" s="64" t="s">
        <v>37</v>
      </c>
      <c r="S252" s="64">
        <v>26000</v>
      </c>
      <c r="T252" s="64" t="s">
        <v>822</v>
      </c>
      <c r="U252" s="65">
        <v>46137</v>
      </c>
      <c r="V252" s="64" t="s">
        <v>28</v>
      </c>
      <c r="W252" s="64">
        <f t="shared" ref="W252" si="455">+S252-M252</f>
        <v>2700</v>
      </c>
      <c r="X252" s="64" t="s">
        <v>36</v>
      </c>
      <c r="Y252" s="64" t="s">
        <v>29</v>
      </c>
      <c r="Z252" s="71">
        <f t="shared" ref="Z252" si="456">+W252*100/M252</f>
        <v>11.587982832618026</v>
      </c>
      <c r="AA252" s="93"/>
    </row>
    <row r="253" spans="1:27">
      <c r="A253" s="64">
        <f>SUBTOTAL(3,C$2:C253)</f>
        <v>252</v>
      </c>
      <c r="B253" s="64" t="s">
        <v>30</v>
      </c>
      <c r="C253" s="64" t="s">
        <v>505</v>
      </c>
      <c r="D253" s="64" t="s">
        <v>32</v>
      </c>
      <c r="E253" s="64" t="s">
        <v>33</v>
      </c>
      <c r="F253" s="52" t="s">
        <v>506</v>
      </c>
      <c r="G253" s="91" t="s">
        <v>50</v>
      </c>
      <c r="H253" s="95" t="s">
        <v>507</v>
      </c>
      <c r="I253" s="65">
        <v>46129</v>
      </c>
      <c r="J253" s="64">
        <f t="shared" ref="J253:J254" ca="1" si="457">+TODAY()-I253</f>
        <v>55</v>
      </c>
      <c r="K253" s="64">
        <f t="shared" ref="K253:K254" si="458">+U253</f>
        <v>46136</v>
      </c>
      <c r="L253" s="52" t="s">
        <v>508</v>
      </c>
      <c r="M253" s="64">
        <f>44000+3000</f>
        <v>47000</v>
      </c>
      <c r="N253" s="64">
        <v>40000</v>
      </c>
      <c r="O253" s="65">
        <v>46129</v>
      </c>
      <c r="P253" s="64">
        <f t="shared" ref="P253:P254" si="459">+M253-N253</f>
        <v>7000</v>
      </c>
      <c r="Q253" s="65">
        <v>46141</v>
      </c>
      <c r="R253" s="64" t="s">
        <v>52</v>
      </c>
      <c r="S253" s="64">
        <f>5000+48000</f>
        <v>53000</v>
      </c>
      <c r="T253" s="64" t="s">
        <v>815</v>
      </c>
      <c r="U253" s="65">
        <v>46136</v>
      </c>
      <c r="V253" s="64" t="s">
        <v>28</v>
      </c>
      <c r="W253" s="64">
        <f t="shared" ref="W253:W254" si="460">+S253-M253</f>
        <v>6000</v>
      </c>
      <c r="X253" s="64" t="s">
        <v>36</v>
      </c>
      <c r="Y253" s="64" t="s">
        <v>29</v>
      </c>
      <c r="Z253" s="71">
        <f t="shared" ref="Z253:Z254" si="461">+W253*100/M253</f>
        <v>12.76595744680851</v>
      </c>
      <c r="AA253" s="93"/>
    </row>
    <row r="254" spans="1:27">
      <c r="A254" s="64">
        <f>SUBTOTAL(3,C$2:C254)</f>
        <v>253</v>
      </c>
      <c r="B254" s="64" t="s">
        <v>30</v>
      </c>
      <c r="C254" s="64" t="s">
        <v>44</v>
      </c>
      <c r="D254" s="64" t="s">
        <v>32</v>
      </c>
      <c r="E254" s="64" t="s">
        <v>33</v>
      </c>
      <c r="F254" s="52" t="s">
        <v>511</v>
      </c>
      <c r="G254" s="91" t="s">
        <v>59</v>
      </c>
      <c r="H254" s="95" t="s">
        <v>512</v>
      </c>
      <c r="I254" s="65">
        <v>46129</v>
      </c>
      <c r="J254" s="64">
        <f t="shared" ca="1" si="457"/>
        <v>55</v>
      </c>
      <c r="K254" s="64">
        <f t="shared" si="458"/>
        <v>46169</v>
      </c>
      <c r="L254" s="64" t="s">
        <v>47</v>
      </c>
      <c r="M254" s="64">
        <v>24000</v>
      </c>
      <c r="N254" s="64">
        <v>24000</v>
      </c>
      <c r="O254" s="65">
        <v>46130</v>
      </c>
      <c r="P254" s="64">
        <f t="shared" si="459"/>
        <v>0</v>
      </c>
      <c r="Q254" s="64" t="s">
        <v>33</v>
      </c>
      <c r="R254" s="64" t="s">
        <v>39</v>
      </c>
      <c r="S254" s="64">
        <v>25200</v>
      </c>
      <c r="T254" s="64" t="s">
        <v>2656</v>
      </c>
      <c r="U254" s="65">
        <v>46169</v>
      </c>
      <c r="V254" s="64" t="s">
        <v>28</v>
      </c>
      <c r="W254" s="64">
        <f t="shared" si="460"/>
        <v>1200</v>
      </c>
      <c r="X254" s="64" t="s">
        <v>36</v>
      </c>
      <c r="Y254" s="64" t="s">
        <v>29</v>
      </c>
      <c r="Z254" s="71">
        <f t="shared" si="461"/>
        <v>5</v>
      </c>
      <c r="AA254" s="93"/>
    </row>
    <row r="255" spans="1:27">
      <c r="A255" s="64">
        <f>SUBTOTAL(3,C$2:C255)</f>
        <v>254</v>
      </c>
      <c r="B255" s="64" t="s">
        <v>30</v>
      </c>
      <c r="C255" s="64" t="s">
        <v>44</v>
      </c>
      <c r="D255" s="64" t="s">
        <v>32</v>
      </c>
      <c r="E255" s="64" t="s">
        <v>33</v>
      </c>
      <c r="F255" s="52" t="s">
        <v>513</v>
      </c>
      <c r="G255" s="91">
        <v>407</v>
      </c>
      <c r="H255" s="95" t="s">
        <v>514</v>
      </c>
      <c r="I255" s="65">
        <v>46128</v>
      </c>
      <c r="J255" s="64">
        <f t="shared" ref="J255:J256" ca="1" si="462">+TODAY()-I255</f>
        <v>56</v>
      </c>
      <c r="K255" s="64">
        <f t="shared" ref="K255:K256" si="463">+U255</f>
        <v>46148</v>
      </c>
      <c r="L255" s="64" t="s">
        <v>84</v>
      </c>
      <c r="M255" s="64">
        <v>27000</v>
      </c>
      <c r="N255" s="64">
        <v>25000</v>
      </c>
      <c r="O255" s="65">
        <v>46130</v>
      </c>
      <c r="P255" s="64">
        <f t="shared" ref="P255:P256" si="464">+M255-N255</f>
        <v>2000</v>
      </c>
      <c r="Q255" s="64" t="s">
        <v>33</v>
      </c>
      <c r="R255" s="64" t="s">
        <v>56</v>
      </c>
      <c r="S255" s="64">
        <v>29800</v>
      </c>
      <c r="T255" s="64" t="s">
        <v>1326</v>
      </c>
      <c r="U255" s="65">
        <v>46148</v>
      </c>
      <c r="V255" s="64" t="s">
        <v>28</v>
      </c>
      <c r="W255" s="64">
        <f t="shared" ref="W255:W256" si="465">+S255-M255</f>
        <v>2800</v>
      </c>
      <c r="X255" s="64" t="s">
        <v>36</v>
      </c>
      <c r="Y255" s="64" t="s">
        <v>29</v>
      </c>
      <c r="Z255" s="71">
        <f t="shared" ref="Z255:Z256" si="466">+W255*100/M255</f>
        <v>10.37037037037037</v>
      </c>
      <c r="AA255" s="93"/>
    </row>
    <row r="256" spans="1:27">
      <c r="A256" s="64">
        <f>SUBTOTAL(3,C$2:C256)</f>
        <v>255</v>
      </c>
      <c r="B256" s="64" t="s">
        <v>30</v>
      </c>
      <c r="C256" s="64" t="s">
        <v>31</v>
      </c>
      <c r="D256" s="64" t="s">
        <v>32</v>
      </c>
      <c r="E256" s="64" t="s">
        <v>33</v>
      </c>
      <c r="F256" s="52" t="s">
        <v>515</v>
      </c>
      <c r="G256" s="91" t="s">
        <v>34</v>
      </c>
      <c r="H256" s="95" t="s">
        <v>516</v>
      </c>
      <c r="I256" s="65">
        <v>46129</v>
      </c>
      <c r="J256" s="64">
        <f t="shared" ca="1" si="462"/>
        <v>55</v>
      </c>
      <c r="K256" s="64">
        <f t="shared" si="463"/>
        <v>46136</v>
      </c>
      <c r="L256" s="64" t="s">
        <v>47</v>
      </c>
      <c r="M256" s="64">
        <v>19000</v>
      </c>
      <c r="N256" s="64">
        <v>17000</v>
      </c>
      <c r="O256" s="65">
        <v>46130</v>
      </c>
      <c r="P256" s="64">
        <f t="shared" si="464"/>
        <v>2000</v>
      </c>
      <c r="Q256" s="65">
        <v>46141</v>
      </c>
      <c r="R256" s="64" t="s">
        <v>39</v>
      </c>
      <c r="S256" s="64">
        <v>21800</v>
      </c>
      <c r="T256" s="64" t="s">
        <v>816</v>
      </c>
      <c r="U256" s="65">
        <v>46136</v>
      </c>
      <c r="V256" s="64" t="s">
        <v>28</v>
      </c>
      <c r="W256" s="64">
        <f t="shared" si="465"/>
        <v>2800</v>
      </c>
      <c r="X256" s="64" t="s">
        <v>36</v>
      </c>
      <c r="Y256" s="64" t="s">
        <v>29</v>
      </c>
      <c r="Z256" s="71">
        <f t="shared" si="466"/>
        <v>14.736842105263158</v>
      </c>
      <c r="AA256" s="93"/>
    </row>
    <row r="257" spans="1:27">
      <c r="A257" s="64">
        <f>SUBTOTAL(3,C$2:C257)</f>
        <v>256</v>
      </c>
      <c r="B257" s="64" t="s">
        <v>30</v>
      </c>
      <c r="C257" s="64" t="s">
        <v>31</v>
      </c>
      <c r="D257" s="64" t="s">
        <v>32</v>
      </c>
      <c r="E257" s="64" t="s">
        <v>33</v>
      </c>
      <c r="F257" s="52" t="s">
        <v>517</v>
      </c>
      <c r="G257" s="91" t="s">
        <v>34</v>
      </c>
      <c r="H257" s="95" t="s">
        <v>518</v>
      </c>
      <c r="I257" s="65">
        <v>46129</v>
      </c>
      <c r="J257" s="64">
        <f t="shared" ref="J257" ca="1" si="467">+TODAY()-I257</f>
        <v>55</v>
      </c>
      <c r="K257" s="64">
        <f t="shared" ref="K257" si="468">+U257</f>
        <v>46148</v>
      </c>
      <c r="L257" s="52" t="s">
        <v>519</v>
      </c>
      <c r="M257" s="64">
        <v>18300</v>
      </c>
      <c r="N257" s="64">
        <v>17000</v>
      </c>
      <c r="O257" s="65">
        <v>46130</v>
      </c>
      <c r="P257" s="64">
        <f t="shared" ref="P257" si="469">+M257-N257</f>
        <v>1300</v>
      </c>
      <c r="Q257" s="64" t="s">
        <v>33</v>
      </c>
      <c r="R257" s="64" t="s">
        <v>37</v>
      </c>
      <c r="S257" s="64">
        <v>21500</v>
      </c>
      <c r="T257" s="64" t="s">
        <v>1334</v>
      </c>
      <c r="U257" s="65">
        <v>46148</v>
      </c>
      <c r="V257" s="64" t="s">
        <v>28</v>
      </c>
      <c r="W257" s="64">
        <f t="shared" ref="W257" si="470">+S257-M257</f>
        <v>3200</v>
      </c>
      <c r="X257" s="64" t="s">
        <v>36</v>
      </c>
      <c r="Y257" s="64" t="s">
        <v>29</v>
      </c>
      <c r="Z257" s="71">
        <f t="shared" ref="Z257" si="471">+W257*100/M257</f>
        <v>17.486338797814209</v>
      </c>
      <c r="AA257" s="93"/>
    </row>
    <row r="258" spans="1:27">
      <c r="A258" s="64">
        <f>SUBTOTAL(3,C$2:C258)</f>
        <v>257</v>
      </c>
      <c r="B258" s="64" t="s">
        <v>30</v>
      </c>
      <c r="C258" s="64" t="s">
        <v>31</v>
      </c>
      <c r="D258" s="64" t="s">
        <v>32</v>
      </c>
      <c r="E258" s="64" t="s">
        <v>33</v>
      </c>
      <c r="F258" s="52" t="s">
        <v>357</v>
      </c>
      <c r="G258" s="91" t="s">
        <v>34</v>
      </c>
      <c r="H258" s="95" t="s">
        <v>520</v>
      </c>
      <c r="I258" s="65">
        <v>46129</v>
      </c>
      <c r="J258" s="64">
        <f t="shared" ref="J258" ca="1" si="472">+TODAY()-I258</f>
        <v>55</v>
      </c>
      <c r="K258" s="64">
        <f t="shared" ref="K258" si="473">+U258</f>
        <v>46148</v>
      </c>
      <c r="L258" s="52" t="s">
        <v>639</v>
      </c>
      <c r="M258" s="64">
        <v>18300</v>
      </c>
      <c r="N258" s="64">
        <v>16500</v>
      </c>
      <c r="O258" s="65">
        <v>46130</v>
      </c>
      <c r="P258" s="64">
        <f t="shared" ref="P258" si="474">+M258-N258</f>
        <v>1800</v>
      </c>
      <c r="Q258" s="64" t="s">
        <v>33</v>
      </c>
      <c r="R258" s="64" t="s">
        <v>37</v>
      </c>
      <c r="S258" s="64">
        <v>21500</v>
      </c>
      <c r="T258" s="64" t="s">
        <v>1336</v>
      </c>
      <c r="U258" s="65">
        <v>46148</v>
      </c>
      <c r="V258" s="64" t="s">
        <v>28</v>
      </c>
      <c r="W258" s="64">
        <f t="shared" ref="W258" si="475">+S258-M258</f>
        <v>3200</v>
      </c>
      <c r="X258" s="64" t="s">
        <v>36</v>
      </c>
      <c r="Y258" s="64" t="s">
        <v>29</v>
      </c>
      <c r="Z258" s="71">
        <f t="shared" ref="Z258" si="476">+W258*100/M258</f>
        <v>17.486338797814209</v>
      </c>
      <c r="AA258" s="93"/>
    </row>
    <row r="259" spans="1:27">
      <c r="A259" s="64">
        <f>SUBTOTAL(3,C$2:C259)</f>
        <v>258</v>
      </c>
      <c r="B259" s="64" t="s">
        <v>30</v>
      </c>
      <c r="C259" s="64" t="s">
        <v>31</v>
      </c>
      <c r="D259" s="64" t="s">
        <v>32</v>
      </c>
      <c r="E259" s="64" t="s">
        <v>33</v>
      </c>
      <c r="F259" s="52" t="s">
        <v>521</v>
      </c>
      <c r="G259" s="91" t="s">
        <v>34</v>
      </c>
      <c r="H259" s="95" t="s">
        <v>522</v>
      </c>
      <c r="I259" s="65">
        <v>46129</v>
      </c>
      <c r="J259" s="64">
        <f t="shared" ref="J259" ca="1" si="477">+TODAY()-I259</f>
        <v>55</v>
      </c>
      <c r="K259" s="64">
        <f t="shared" ref="K259" si="478">+U259</f>
        <v>46161</v>
      </c>
      <c r="L259" s="52" t="s">
        <v>2782</v>
      </c>
      <c r="M259" s="64">
        <v>18000</v>
      </c>
      <c r="N259" s="64">
        <v>16000</v>
      </c>
      <c r="O259" s="65">
        <v>46130</v>
      </c>
      <c r="P259" s="64">
        <f t="shared" ref="P259" si="479">+M259-N259</f>
        <v>2000</v>
      </c>
      <c r="Q259" s="64" t="s">
        <v>33</v>
      </c>
      <c r="R259" s="64" t="s">
        <v>56</v>
      </c>
      <c r="S259" s="64">
        <v>20500</v>
      </c>
      <c r="T259" s="64" t="s">
        <v>2143</v>
      </c>
      <c r="U259" s="65">
        <v>46161</v>
      </c>
      <c r="V259" s="64" t="s">
        <v>28</v>
      </c>
      <c r="W259" s="64">
        <f t="shared" ref="W259" si="480">+S259-M259</f>
        <v>2500</v>
      </c>
      <c r="X259" s="64" t="s">
        <v>36</v>
      </c>
      <c r="Y259" s="64" t="s">
        <v>29</v>
      </c>
      <c r="Z259" s="71">
        <f t="shared" ref="Z259" si="481">+W259*100/M259</f>
        <v>13.888888888888889</v>
      </c>
      <c r="AA259" s="93"/>
    </row>
    <row r="260" spans="1:27">
      <c r="A260" s="64">
        <f>SUBTOTAL(3,C$2:C260)</f>
        <v>259</v>
      </c>
      <c r="B260" s="64" t="s">
        <v>30</v>
      </c>
      <c r="C260" s="64" t="s">
        <v>31</v>
      </c>
      <c r="D260" s="64" t="s">
        <v>32</v>
      </c>
      <c r="E260" s="64" t="s">
        <v>33</v>
      </c>
      <c r="F260" s="52" t="s">
        <v>245</v>
      </c>
      <c r="G260" s="91" t="s">
        <v>34</v>
      </c>
      <c r="H260" s="95" t="s">
        <v>524</v>
      </c>
      <c r="I260" s="65">
        <v>46129</v>
      </c>
      <c r="J260" s="64">
        <f t="shared" ref="J260" ca="1" si="482">+TODAY()-I260</f>
        <v>55</v>
      </c>
      <c r="K260" s="64">
        <f t="shared" ref="K260" si="483">+U260</f>
        <v>46148</v>
      </c>
      <c r="L260" s="52" t="s">
        <v>525</v>
      </c>
      <c r="M260" s="64">
        <v>27000</v>
      </c>
      <c r="N260" s="64">
        <v>25000</v>
      </c>
      <c r="O260" s="65">
        <v>46130</v>
      </c>
      <c r="P260" s="64">
        <f t="shared" ref="P260" si="484">+M260-N260</f>
        <v>2000</v>
      </c>
      <c r="Q260" s="64" t="s">
        <v>33</v>
      </c>
      <c r="R260" s="64" t="s">
        <v>78</v>
      </c>
      <c r="S260" s="64">
        <v>29800</v>
      </c>
      <c r="T260" s="64" t="s">
        <v>1326</v>
      </c>
      <c r="U260" s="65">
        <v>46148</v>
      </c>
      <c r="V260" s="64" t="s">
        <v>28</v>
      </c>
      <c r="W260" s="64">
        <f t="shared" ref="W260" si="485">+S260-M260</f>
        <v>2800</v>
      </c>
      <c r="X260" s="64" t="s">
        <v>36</v>
      </c>
      <c r="Y260" s="64" t="s">
        <v>29</v>
      </c>
      <c r="Z260" s="71">
        <f t="shared" ref="Z260" si="486">+W260*100/M260</f>
        <v>10.37037037037037</v>
      </c>
      <c r="AA260" s="93"/>
    </row>
    <row r="261" spans="1:27">
      <c r="A261" s="64">
        <f>SUBTOTAL(3,C$2:C261)</f>
        <v>260</v>
      </c>
      <c r="B261" s="64" t="s">
        <v>30</v>
      </c>
      <c r="C261" s="64" t="s">
        <v>31</v>
      </c>
      <c r="D261" s="64" t="s">
        <v>32</v>
      </c>
      <c r="E261" s="64" t="s">
        <v>33</v>
      </c>
      <c r="F261" s="52" t="s">
        <v>527</v>
      </c>
      <c r="G261" s="91" t="s">
        <v>34</v>
      </c>
      <c r="H261" s="95" t="s">
        <v>528</v>
      </c>
      <c r="I261" s="65">
        <v>46130</v>
      </c>
      <c r="J261" s="64">
        <f t="shared" ref="J261" ca="1" si="487">+TODAY()-I261</f>
        <v>54</v>
      </c>
      <c r="K261" s="64">
        <f t="shared" ref="K261" si="488">+U261</f>
        <v>46137</v>
      </c>
      <c r="L261" s="52" t="s">
        <v>519</v>
      </c>
      <c r="M261" s="64">
        <v>18300</v>
      </c>
      <c r="N261" s="64">
        <v>17000</v>
      </c>
      <c r="O261" s="65">
        <v>46130</v>
      </c>
      <c r="P261" s="64">
        <f t="shared" ref="P261" si="489">+M261-N261</f>
        <v>1300</v>
      </c>
      <c r="Q261" s="65">
        <v>46141</v>
      </c>
      <c r="R261" s="64" t="s">
        <v>37</v>
      </c>
      <c r="S261" s="64">
        <v>21500</v>
      </c>
      <c r="T261" s="64" t="s">
        <v>823</v>
      </c>
      <c r="U261" s="65">
        <v>46137</v>
      </c>
      <c r="V261" s="64" t="s">
        <v>28</v>
      </c>
      <c r="W261" s="64">
        <f t="shared" ref="W261" si="490">+S261-M261</f>
        <v>3200</v>
      </c>
      <c r="X261" s="64" t="s">
        <v>36</v>
      </c>
      <c r="Y261" s="64" t="s">
        <v>29</v>
      </c>
      <c r="Z261" s="71">
        <f t="shared" ref="Z261" si="491">+W261*100/M261</f>
        <v>17.486338797814209</v>
      </c>
      <c r="AA261" s="93"/>
    </row>
    <row r="262" spans="1:27">
      <c r="A262" s="64">
        <f>SUBTOTAL(3,C$2:C262)</f>
        <v>261</v>
      </c>
      <c r="B262" s="64" t="s">
        <v>30</v>
      </c>
      <c r="C262" s="64" t="s">
        <v>31</v>
      </c>
      <c r="D262" s="64" t="s">
        <v>32</v>
      </c>
      <c r="E262" s="64" t="s">
        <v>33</v>
      </c>
      <c r="F262" s="52" t="s">
        <v>41</v>
      </c>
      <c r="G262" s="91" t="s">
        <v>34</v>
      </c>
      <c r="H262" s="95" t="s">
        <v>529</v>
      </c>
      <c r="I262" s="65">
        <v>46130</v>
      </c>
      <c r="J262" s="64">
        <f t="shared" ref="J262" ca="1" si="492">+TODAY()-I262</f>
        <v>54</v>
      </c>
      <c r="K262" s="64">
        <f t="shared" ref="K262" si="493">+U262</f>
        <v>46136</v>
      </c>
      <c r="L262" s="64" t="s">
        <v>47</v>
      </c>
      <c r="M262" s="64">
        <v>19000</v>
      </c>
      <c r="N262" s="64">
        <v>17000</v>
      </c>
      <c r="O262" s="65">
        <v>46130</v>
      </c>
      <c r="P262" s="64">
        <f t="shared" ref="P262" si="494">+M262-N262</f>
        <v>2000</v>
      </c>
      <c r="Q262" s="65">
        <v>46141</v>
      </c>
      <c r="R262" s="64" t="s">
        <v>39</v>
      </c>
      <c r="S262" s="64">
        <v>21800</v>
      </c>
      <c r="T262" s="64" t="s">
        <v>816</v>
      </c>
      <c r="U262" s="65">
        <v>46136</v>
      </c>
      <c r="V262" s="64" t="s">
        <v>28</v>
      </c>
      <c r="W262" s="64">
        <f t="shared" ref="W262" si="495">+S262-M262</f>
        <v>2800</v>
      </c>
      <c r="X262" s="64" t="s">
        <v>36</v>
      </c>
      <c r="Y262" s="64" t="s">
        <v>29</v>
      </c>
      <c r="Z262" s="71">
        <f t="shared" ref="Z262" si="496">+W262*100/M262</f>
        <v>14.736842105263158</v>
      </c>
      <c r="AA262" s="93"/>
    </row>
    <row r="263" spans="1:27">
      <c r="A263" s="64">
        <f>SUBTOTAL(3,C$2:C263)</f>
        <v>262</v>
      </c>
      <c r="B263" s="64" t="s">
        <v>30</v>
      </c>
      <c r="C263" s="64" t="s">
        <v>31</v>
      </c>
      <c r="D263" s="64" t="s">
        <v>32</v>
      </c>
      <c r="E263" s="64" t="s">
        <v>33</v>
      </c>
      <c r="F263" s="52" t="s">
        <v>200</v>
      </c>
      <c r="G263" s="91" t="s">
        <v>34</v>
      </c>
      <c r="H263" s="95" t="s">
        <v>530</v>
      </c>
      <c r="I263" s="65">
        <v>46130</v>
      </c>
      <c r="J263" s="64">
        <f t="shared" ref="J263" ca="1" si="497">+TODAY()-I263</f>
        <v>54</v>
      </c>
      <c r="K263" s="64">
        <f t="shared" ref="K263" si="498">+U263</f>
        <v>46136</v>
      </c>
      <c r="L263" s="64" t="s">
        <v>47</v>
      </c>
      <c r="M263" s="64">
        <v>19000</v>
      </c>
      <c r="N263" s="64">
        <v>17000</v>
      </c>
      <c r="O263" s="65">
        <v>46130</v>
      </c>
      <c r="P263" s="64">
        <f t="shared" ref="P263" si="499">+M263-N263</f>
        <v>2000</v>
      </c>
      <c r="Q263" s="65">
        <v>46141</v>
      </c>
      <c r="R263" s="64" t="s">
        <v>39</v>
      </c>
      <c r="S263" s="64">
        <v>21800</v>
      </c>
      <c r="T263" s="64" t="s">
        <v>816</v>
      </c>
      <c r="U263" s="65">
        <v>46136</v>
      </c>
      <c r="V263" s="64" t="s">
        <v>28</v>
      </c>
      <c r="W263" s="64">
        <f t="shared" ref="W263" si="500">+S263-M263</f>
        <v>2800</v>
      </c>
      <c r="X263" s="64" t="s">
        <v>36</v>
      </c>
      <c r="Y263" s="64" t="s">
        <v>29</v>
      </c>
      <c r="Z263" s="71">
        <f t="shared" ref="Z263" si="501">+W263*100/M263</f>
        <v>14.736842105263158</v>
      </c>
      <c r="AA263" s="93"/>
    </row>
    <row r="264" spans="1:27">
      <c r="A264" s="64">
        <f>SUBTOTAL(3,C$2:C264)</f>
        <v>263</v>
      </c>
      <c r="B264" s="64" t="s">
        <v>30</v>
      </c>
      <c r="C264" s="64" t="s">
        <v>31</v>
      </c>
      <c r="D264" s="64" t="s">
        <v>32</v>
      </c>
      <c r="E264" s="64" t="s">
        <v>33</v>
      </c>
      <c r="F264" s="52" t="s">
        <v>531</v>
      </c>
      <c r="G264" s="91" t="s">
        <v>34</v>
      </c>
      <c r="H264" s="95" t="s">
        <v>532</v>
      </c>
      <c r="I264" s="65">
        <v>46130</v>
      </c>
      <c r="J264" s="64">
        <f t="shared" ref="J264" ca="1" si="502">+TODAY()-I264</f>
        <v>54</v>
      </c>
      <c r="K264" s="64">
        <f t="shared" ref="K264" si="503">+U264</f>
        <v>46137</v>
      </c>
      <c r="L264" s="64" t="s">
        <v>88</v>
      </c>
      <c r="M264" s="64">
        <v>23300</v>
      </c>
      <c r="N264" s="64">
        <v>21500</v>
      </c>
      <c r="O264" s="65">
        <v>46130</v>
      </c>
      <c r="P264" s="64">
        <f t="shared" ref="P264" si="504">+M264-N264</f>
        <v>1800</v>
      </c>
      <c r="Q264" s="65">
        <v>46141</v>
      </c>
      <c r="R264" s="64" t="s">
        <v>37</v>
      </c>
      <c r="S264" s="64">
        <v>26000</v>
      </c>
      <c r="T264" s="64" t="s">
        <v>822</v>
      </c>
      <c r="U264" s="65">
        <v>46137</v>
      </c>
      <c r="V264" s="64" t="s">
        <v>28</v>
      </c>
      <c r="W264" s="64">
        <f t="shared" ref="W264" si="505">+S264-M264</f>
        <v>2700</v>
      </c>
      <c r="X264" s="64" t="s">
        <v>36</v>
      </c>
      <c r="Y264" s="64" t="s">
        <v>29</v>
      </c>
      <c r="Z264" s="71">
        <f t="shared" ref="Z264" si="506">+W264*100/M264</f>
        <v>11.587982832618026</v>
      </c>
      <c r="AA264" s="93"/>
    </row>
    <row r="265" spans="1:27">
      <c r="A265" s="64">
        <f>SUBTOTAL(3,C$2:C265)</f>
        <v>264</v>
      </c>
      <c r="B265" s="64" t="s">
        <v>30</v>
      </c>
      <c r="C265" s="64" t="s">
        <v>31</v>
      </c>
      <c r="D265" s="64" t="s">
        <v>32</v>
      </c>
      <c r="E265" s="64" t="s">
        <v>33</v>
      </c>
      <c r="F265" s="52" t="s">
        <v>533</v>
      </c>
      <c r="G265" s="91" t="s">
        <v>34</v>
      </c>
      <c r="H265" s="95" t="s">
        <v>534</v>
      </c>
      <c r="I265" s="65">
        <v>46130</v>
      </c>
      <c r="J265" s="64">
        <f t="shared" ref="J265" ca="1" si="507">+TODAY()-I265</f>
        <v>54</v>
      </c>
      <c r="K265" s="64">
        <f t="shared" ref="K265" si="508">+U265</f>
        <v>46163</v>
      </c>
      <c r="L265" s="52" t="s">
        <v>2782</v>
      </c>
      <c r="M265" s="64">
        <v>18000</v>
      </c>
      <c r="N265" s="64">
        <v>16000</v>
      </c>
      <c r="O265" s="65">
        <v>46130</v>
      </c>
      <c r="P265" s="64">
        <f t="shared" ref="P265" si="509">+M265-N265</f>
        <v>2000</v>
      </c>
      <c r="Q265" s="64" t="s">
        <v>33</v>
      </c>
      <c r="R265" s="64" t="s">
        <v>56</v>
      </c>
      <c r="S265" s="64">
        <v>20500</v>
      </c>
      <c r="T265" s="64" t="s">
        <v>2180</v>
      </c>
      <c r="U265" s="65">
        <v>46163</v>
      </c>
      <c r="V265" s="64" t="s">
        <v>28</v>
      </c>
      <c r="W265" s="64">
        <f t="shared" ref="W265" si="510">+S265-M265</f>
        <v>2500</v>
      </c>
      <c r="X265" s="64" t="s">
        <v>36</v>
      </c>
      <c r="Y265" s="64" t="s">
        <v>29</v>
      </c>
      <c r="Z265" s="71">
        <f t="shared" ref="Z265" si="511">+W265*100/M265</f>
        <v>13.888888888888889</v>
      </c>
      <c r="AA265" s="93"/>
    </row>
    <row r="266" spans="1:27">
      <c r="A266" s="64">
        <f>SUBTOTAL(3,C$2:C266)</f>
        <v>265</v>
      </c>
      <c r="B266" s="64" t="s">
        <v>30</v>
      </c>
      <c r="C266" s="64" t="s">
        <v>31</v>
      </c>
      <c r="D266" s="64" t="s">
        <v>32</v>
      </c>
      <c r="E266" s="64" t="s">
        <v>33</v>
      </c>
      <c r="F266" s="52" t="s">
        <v>536</v>
      </c>
      <c r="G266" s="91" t="s">
        <v>34</v>
      </c>
      <c r="H266" s="95" t="s">
        <v>537</v>
      </c>
      <c r="I266" s="65">
        <v>46130</v>
      </c>
      <c r="J266" s="64">
        <f t="shared" ref="J266:J268" ca="1" si="512">+TODAY()-I266</f>
        <v>54</v>
      </c>
      <c r="K266" s="64">
        <f t="shared" ref="K266:K268" si="513">+U266</f>
        <v>46136</v>
      </c>
      <c r="L266" s="64" t="s">
        <v>47</v>
      </c>
      <c r="M266" s="64">
        <v>19000</v>
      </c>
      <c r="N266" s="64">
        <v>17000</v>
      </c>
      <c r="O266" s="65">
        <v>46130</v>
      </c>
      <c r="P266" s="64">
        <f t="shared" ref="P266:P268" si="514">+M266-N266</f>
        <v>2000</v>
      </c>
      <c r="Q266" s="65">
        <v>46141</v>
      </c>
      <c r="R266" s="64" t="s">
        <v>39</v>
      </c>
      <c r="S266" s="64">
        <v>21800</v>
      </c>
      <c r="T266" s="64" t="s">
        <v>816</v>
      </c>
      <c r="U266" s="65">
        <v>46136</v>
      </c>
      <c r="V266" s="64" t="s">
        <v>28</v>
      </c>
      <c r="W266" s="64">
        <f t="shared" ref="W266:W268" si="515">+S266-M266</f>
        <v>2800</v>
      </c>
      <c r="X266" s="64" t="s">
        <v>36</v>
      </c>
      <c r="Y266" s="64" t="s">
        <v>29</v>
      </c>
      <c r="Z266" s="71">
        <f t="shared" ref="Z266:Z268" si="516">+W266*100/M266</f>
        <v>14.736842105263158</v>
      </c>
      <c r="AA266" s="93"/>
    </row>
    <row r="267" spans="1:27">
      <c r="A267" s="64">
        <f>SUBTOTAL(3,C$2:C267)</f>
        <v>266</v>
      </c>
      <c r="B267" s="64" t="s">
        <v>30</v>
      </c>
      <c r="C267" s="64" t="s">
        <v>76</v>
      </c>
      <c r="D267" s="64" t="s">
        <v>32</v>
      </c>
      <c r="E267" s="64" t="s">
        <v>33</v>
      </c>
      <c r="F267" s="52" t="s">
        <v>373</v>
      </c>
      <c r="G267" s="91" t="s">
        <v>67</v>
      </c>
      <c r="H267" s="95" t="s">
        <v>538</v>
      </c>
      <c r="I267" s="65">
        <v>46130</v>
      </c>
      <c r="J267" s="64">
        <f t="shared" ca="1" si="512"/>
        <v>54</v>
      </c>
      <c r="K267" s="64">
        <f t="shared" si="513"/>
        <v>46136</v>
      </c>
      <c r="L267" s="64" t="s">
        <v>97</v>
      </c>
      <c r="M267" s="64">
        <f>3000+38500</f>
        <v>41500</v>
      </c>
      <c r="N267" s="64">
        <v>35500</v>
      </c>
      <c r="O267" s="65">
        <v>46130</v>
      </c>
      <c r="P267" s="64">
        <f t="shared" si="514"/>
        <v>6000</v>
      </c>
      <c r="Q267" s="65">
        <v>46141</v>
      </c>
      <c r="R267" s="64" t="s">
        <v>52</v>
      </c>
      <c r="S267" s="64">
        <f>5000+42000</f>
        <v>47000</v>
      </c>
      <c r="T267" s="64" t="s">
        <v>812</v>
      </c>
      <c r="U267" s="65">
        <v>46136</v>
      </c>
      <c r="V267" s="64" t="s">
        <v>28</v>
      </c>
      <c r="W267" s="64">
        <f t="shared" si="515"/>
        <v>5500</v>
      </c>
      <c r="X267" s="64" t="s">
        <v>36</v>
      </c>
      <c r="Y267" s="64" t="s">
        <v>29</v>
      </c>
      <c r="Z267" s="71">
        <f t="shared" si="516"/>
        <v>13.253012048192771</v>
      </c>
      <c r="AA267" s="93"/>
    </row>
    <row r="268" spans="1:27">
      <c r="A268" s="64">
        <f>SUBTOTAL(3,C$2:C268)</f>
        <v>267</v>
      </c>
      <c r="B268" s="64" t="s">
        <v>30</v>
      </c>
      <c r="C268" s="64" t="s">
        <v>44</v>
      </c>
      <c r="D268" s="64" t="s">
        <v>32</v>
      </c>
      <c r="E268" s="64" t="s">
        <v>33</v>
      </c>
      <c r="F268" s="52" t="s">
        <v>539</v>
      </c>
      <c r="G268" s="91">
        <v>407</v>
      </c>
      <c r="H268" s="95" t="s">
        <v>540</v>
      </c>
      <c r="I268" s="65">
        <v>46130</v>
      </c>
      <c r="J268" s="64">
        <f t="shared" ca="1" si="512"/>
        <v>54</v>
      </c>
      <c r="K268" s="64">
        <f t="shared" si="513"/>
        <v>46148</v>
      </c>
      <c r="L268" s="64" t="s">
        <v>84</v>
      </c>
      <c r="M268" s="64">
        <v>27000</v>
      </c>
      <c r="N268" s="64">
        <v>25000</v>
      </c>
      <c r="O268" s="65">
        <v>46130</v>
      </c>
      <c r="P268" s="64">
        <f t="shared" si="514"/>
        <v>2000</v>
      </c>
      <c r="Q268" s="64" t="s">
        <v>33</v>
      </c>
      <c r="R268" s="64" t="s">
        <v>78</v>
      </c>
      <c r="S268" s="64">
        <v>29800</v>
      </c>
      <c r="T268" s="64" t="s">
        <v>1326</v>
      </c>
      <c r="U268" s="65">
        <v>46148</v>
      </c>
      <c r="V268" s="64" t="s">
        <v>28</v>
      </c>
      <c r="W268" s="64">
        <f t="shared" si="515"/>
        <v>2800</v>
      </c>
      <c r="X268" s="64" t="s">
        <v>36</v>
      </c>
      <c r="Y268" s="64" t="s">
        <v>29</v>
      </c>
      <c r="Z268" s="71">
        <f t="shared" si="516"/>
        <v>10.37037037037037</v>
      </c>
      <c r="AA268" s="93"/>
    </row>
    <row r="269" spans="1:27">
      <c r="A269" s="64">
        <f>SUBTOTAL(3,C$2:C269)</f>
        <v>268</v>
      </c>
      <c r="B269" s="64" t="s">
        <v>30</v>
      </c>
      <c r="C269" s="64" t="s">
        <v>44</v>
      </c>
      <c r="D269" s="64" t="s">
        <v>32</v>
      </c>
      <c r="E269" s="64" t="s">
        <v>33</v>
      </c>
      <c r="F269" s="52" t="s">
        <v>541</v>
      </c>
      <c r="G269" s="91">
        <v>407</v>
      </c>
      <c r="H269" s="95" t="s">
        <v>542</v>
      </c>
      <c r="I269" s="65">
        <v>46130</v>
      </c>
      <c r="J269" s="64">
        <f t="shared" ref="J269" ca="1" si="517">+TODAY()-I269</f>
        <v>54</v>
      </c>
      <c r="K269" s="64">
        <f t="shared" ref="K269" si="518">+U269</f>
        <v>46163</v>
      </c>
      <c r="L269" s="52" t="s">
        <v>543</v>
      </c>
      <c r="M269" s="64">
        <v>28000</v>
      </c>
      <c r="N269" s="64">
        <v>25000</v>
      </c>
      <c r="O269" s="65">
        <v>46130</v>
      </c>
      <c r="P269" s="64">
        <f t="shared" ref="P269" si="519">+M269-N269</f>
        <v>3000</v>
      </c>
      <c r="Q269" s="64" t="s">
        <v>33</v>
      </c>
      <c r="R269" s="64" t="s">
        <v>56</v>
      </c>
      <c r="S269" s="64">
        <v>30800</v>
      </c>
      <c r="T269" s="64" t="s">
        <v>2187</v>
      </c>
      <c r="U269" s="65">
        <v>46163</v>
      </c>
      <c r="V269" s="64" t="s">
        <v>28</v>
      </c>
      <c r="W269" s="64">
        <f t="shared" ref="W269" si="520">+S269-M269</f>
        <v>2800</v>
      </c>
      <c r="X269" s="64" t="s">
        <v>36</v>
      </c>
      <c r="Y269" s="64" t="s">
        <v>29</v>
      </c>
      <c r="Z269" s="71">
        <f t="shared" ref="Z269" si="521">+W269*100/M269</f>
        <v>10</v>
      </c>
      <c r="AA269" s="93"/>
    </row>
    <row r="270" spans="1:27">
      <c r="A270" s="64">
        <f>SUBTOTAL(3,C$2:C270)</f>
        <v>269</v>
      </c>
      <c r="B270" s="64" t="s">
        <v>30</v>
      </c>
      <c r="C270" s="64" t="s">
        <v>44</v>
      </c>
      <c r="D270" s="64" t="s">
        <v>32</v>
      </c>
      <c r="E270" s="64" t="s">
        <v>33</v>
      </c>
      <c r="F270" s="52" t="s">
        <v>558</v>
      </c>
      <c r="G270" s="91" t="s">
        <v>34</v>
      </c>
      <c r="H270" s="52" t="s">
        <v>559</v>
      </c>
      <c r="I270" s="65">
        <v>46128</v>
      </c>
      <c r="J270" s="64">
        <f t="shared" ref="J270" ca="1" si="522">+TODAY()-I270</f>
        <v>56</v>
      </c>
      <c r="K270" s="64" t="str">
        <f t="shared" ref="K270" si="523">+U270</f>
        <v>Pending</v>
      </c>
      <c r="L270" s="52" t="s">
        <v>560</v>
      </c>
      <c r="M270" s="64">
        <v>17500</v>
      </c>
      <c r="N270" s="64">
        <v>16500</v>
      </c>
      <c r="O270" s="65">
        <v>46132</v>
      </c>
      <c r="P270" s="64">
        <f t="shared" ref="P270" si="524">+M270-N270</f>
        <v>1000</v>
      </c>
      <c r="Q270" s="64" t="s">
        <v>33</v>
      </c>
      <c r="R270" s="64" t="s">
        <v>112</v>
      </c>
      <c r="S270" s="64">
        <v>20050</v>
      </c>
      <c r="T270" s="64" t="s">
        <v>33</v>
      </c>
      <c r="U270" s="65" t="s">
        <v>33</v>
      </c>
      <c r="V270" s="64" t="s">
        <v>28</v>
      </c>
      <c r="W270" s="64">
        <f t="shared" ref="W270" si="525">+S270-M270</f>
        <v>2550</v>
      </c>
      <c r="X270" s="64" t="s">
        <v>36</v>
      </c>
      <c r="Y270" s="64" t="s">
        <v>29</v>
      </c>
      <c r="Z270" s="71">
        <f t="shared" ref="Z270" si="526">+W270*100/M270</f>
        <v>14.571428571428571</v>
      </c>
      <c r="AA270" s="93"/>
    </row>
    <row r="271" spans="1:27">
      <c r="A271" s="64">
        <f>SUBTOTAL(3,C$2:C271)</f>
        <v>270</v>
      </c>
      <c r="B271" s="64" t="s">
        <v>30</v>
      </c>
      <c r="C271" s="64" t="s">
        <v>44</v>
      </c>
      <c r="D271" s="64" t="s">
        <v>32</v>
      </c>
      <c r="E271" s="64" t="s">
        <v>33</v>
      </c>
      <c r="F271" s="52" t="s">
        <v>561</v>
      </c>
      <c r="G271" s="91" t="s">
        <v>59</v>
      </c>
      <c r="H271" s="95" t="s">
        <v>562</v>
      </c>
      <c r="I271" s="65">
        <v>46130</v>
      </c>
      <c r="J271" s="64">
        <f t="shared" ref="J271" ca="1" si="527">+TODAY()-I271</f>
        <v>54</v>
      </c>
      <c r="K271" s="64">
        <f t="shared" ref="K271" si="528">+U271</f>
        <v>46136</v>
      </c>
      <c r="L271" s="52" t="s">
        <v>127</v>
      </c>
      <c r="M271" s="64">
        <v>35000</v>
      </c>
      <c r="N271" s="64">
        <v>32000</v>
      </c>
      <c r="O271" s="65">
        <v>46132</v>
      </c>
      <c r="P271" s="64">
        <f t="shared" ref="P271" si="529">+M271-N271</f>
        <v>3000</v>
      </c>
      <c r="Q271" s="65">
        <v>46141</v>
      </c>
      <c r="R271" s="64" t="s">
        <v>37</v>
      </c>
      <c r="S271" s="64">
        <v>38000</v>
      </c>
      <c r="T271" s="64" t="s">
        <v>817</v>
      </c>
      <c r="U271" s="65">
        <v>46136</v>
      </c>
      <c r="V271" s="64" t="s">
        <v>28</v>
      </c>
      <c r="W271" s="64">
        <f t="shared" ref="W271" si="530">+S271-M271</f>
        <v>3000</v>
      </c>
      <c r="X271" s="64" t="s">
        <v>36</v>
      </c>
      <c r="Y271" s="64" t="s">
        <v>29</v>
      </c>
      <c r="Z271" s="71">
        <f t="shared" ref="Z271" si="531">+W271*100/M271</f>
        <v>8.5714285714285712</v>
      </c>
      <c r="AA271" s="93"/>
    </row>
    <row r="272" spans="1:27">
      <c r="A272" s="64">
        <f>SUBTOTAL(3,C$2:C272)</f>
        <v>271</v>
      </c>
      <c r="B272" s="64" t="s">
        <v>30</v>
      </c>
      <c r="C272" s="64" t="s">
        <v>44</v>
      </c>
      <c r="D272" s="64" t="s">
        <v>32</v>
      </c>
      <c r="E272" s="64" t="s">
        <v>33</v>
      </c>
      <c r="F272" s="52" t="s">
        <v>58</v>
      </c>
      <c r="G272" s="91" t="s">
        <v>59</v>
      </c>
      <c r="H272" s="95" t="s">
        <v>563</v>
      </c>
      <c r="I272" s="65">
        <v>46128</v>
      </c>
      <c r="J272" s="64">
        <f t="shared" ref="J272:J273" ca="1" si="532">+TODAY()-I272</f>
        <v>56</v>
      </c>
      <c r="K272" s="64">
        <f t="shared" ref="K272:K273" si="533">+U272</f>
        <v>46139</v>
      </c>
      <c r="L272" s="52" t="s">
        <v>564</v>
      </c>
      <c r="M272" s="64">
        <v>28500</v>
      </c>
      <c r="N272" s="64">
        <v>26500</v>
      </c>
      <c r="O272" s="65">
        <v>46132</v>
      </c>
      <c r="P272" s="64">
        <f t="shared" ref="P272:P273" si="534">+M272-N272</f>
        <v>2000</v>
      </c>
      <c r="Q272" s="65">
        <v>46141</v>
      </c>
      <c r="R272" s="64" t="s">
        <v>78</v>
      </c>
      <c r="S272" s="64">
        <v>32000</v>
      </c>
      <c r="T272" s="64" t="s">
        <v>824</v>
      </c>
      <c r="U272" s="65">
        <v>46139</v>
      </c>
      <c r="V272" s="64" t="s">
        <v>28</v>
      </c>
      <c r="W272" s="64">
        <f t="shared" ref="W272:W273" si="535">+S272-M272</f>
        <v>3500</v>
      </c>
      <c r="X272" s="64" t="s">
        <v>36</v>
      </c>
      <c r="Y272" s="64" t="s">
        <v>29</v>
      </c>
      <c r="Z272" s="71">
        <f t="shared" ref="Z272:Z273" si="536">+W272*100/M272</f>
        <v>12.280701754385966</v>
      </c>
      <c r="AA272" s="93"/>
    </row>
    <row r="273" spans="1:27">
      <c r="A273" s="64">
        <f>SUBTOTAL(3,C$2:C273)</f>
        <v>272</v>
      </c>
      <c r="B273" s="64" t="s">
        <v>30</v>
      </c>
      <c r="C273" s="64" t="s">
        <v>31</v>
      </c>
      <c r="D273" s="64" t="s">
        <v>32</v>
      </c>
      <c r="E273" s="64" t="s">
        <v>33</v>
      </c>
      <c r="F273" s="52" t="s">
        <v>565</v>
      </c>
      <c r="G273" s="91" t="s">
        <v>34</v>
      </c>
      <c r="H273" s="95" t="s">
        <v>566</v>
      </c>
      <c r="I273" s="65">
        <v>46130</v>
      </c>
      <c r="J273" s="64">
        <f t="shared" ca="1" si="532"/>
        <v>54</v>
      </c>
      <c r="K273" s="64">
        <f t="shared" si="533"/>
        <v>46136</v>
      </c>
      <c r="L273" s="64" t="s">
        <v>47</v>
      </c>
      <c r="M273" s="64">
        <v>19000</v>
      </c>
      <c r="N273" s="64">
        <v>17000</v>
      </c>
      <c r="O273" s="65">
        <v>46132</v>
      </c>
      <c r="P273" s="64">
        <f t="shared" si="534"/>
        <v>2000</v>
      </c>
      <c r="Q273" s="65">
        <v>46141</v>
      </c>
      <c r="R273" s="64" t="s">
        <v>39</v>
      </c>
      <c r="S273" s="64">
        <v>21800</v>
      </c>
      <c r="T273" s="64" t="s">
        <v>816</v>
      </c>
      <c r="U273" s="65">
        <v>46136</v>
      </c>
      <c r="V273" s="64" t="s">
        <v>28</v>
      </c>
      <c r="W273" s="64">
        <f t="shared" si="535"/>
        <v>2800</v>
      </c>
      <c r="X273" s="64" t="s">
        <v>36</v>
      </c>
      <c r="Y273" s="64" t="s">
        <v>29</v>
      </c>
      <c r="Z273" s="71">
        <f t="shared" si="536"/>
        <v>14.736842105263158</v>
      </c>
      <c r="AA273" s="93"/>
    </row>
    <row r="274" spans="1:27">
      <c r="A274" s="64">
        <f>SUBTOTAL(3,C$2:C274)</f>
        <v>273</v>
      </c>
      <c r="B274" s="64" t="s">
        <v>30</v>
      </c>
      <c r="C274" s="64" t="s">
        <v>31</v>
      </c>
      <c r="D274" s="64" t="s">
        <v>32</v>
      </c>
      <c r="E274" s="64" t="s">
        <v>33</v>
      </c>
      <c r="F274" s="52" t="s">
        <v>299</v>
      </c>
      <c r="G274" s="91" t="s">
        <v>34</v>
      </c>
      <c r="H274" s="95" t="s">
        <v>567</v>
      </c>
      <c r="I274" s="65">
        <v>46130</v>
      </c>
      <c r="J274" s="64">
        <f t="shared" ref="J274" ca="1" si="537">+TODAY()-I274</f>
        <v>54</v>
      </c>
      <c r="K274" s="64" t="str">
        <f t="shared" ref="K274" si="538">+U274</f>
        <v>Pending</v>
      </c>
      <c r="L274" s="64" t="s">
        <v>88</v>
      </c>
      <c r="M274" s="64">
        <v>23300</v>
      </c>
      <c r="N274" s="64">
        <v>21500</v>
      </c>
      <c r="O274" s="65">
        <v>46132</v>
      </c>
      <c r="P274" s="64">
        <f t="shared" ref="P274" si="539">+M274-N274</f>
        <v>1800</v>
      </c>
      <c r="Q274" s="64" t="s">
        <v>33</v>
      </c>
      <c r="R274" s="64" t="s">
        <v>37</v>
      </c>
      <c r="S274" s="64">
        <v>26000</v>
      </c>
      <c r="T274" s="64" t="s">
        <v>33</v>
      </c>
      <c r="U274" s="65" t="s">
        <v>33</v>
      </c>
      <c r="V274" s="64" t="s">
        <v>28</v>
      </c>
      <c r="W274" s="64">
        <f t="shared" ref="W274" si="540">+S274-M274</f>
        <v>2700</v>
      </c>
      <c r="X274" s="64" t="s">
        <v>36</v>
      </c>
      <c r="Y274" s="64" t="s">
        <v>29</v>
      </c>
      <c r="Z274" s="71">
        <f t="shared" ref="Z274" si="541">+W274*100/M274</f>
        <v>11.587982832618026</v>
      </c>
      <c r="AA274" s="93"/>
    </row>
    <row r="275" spans="1:27">
      <c r="A275" s="64">
        <f>SUBTOTAL(3,C$2:C275)</f>
        <v>274</v>
      </c>
      <c r="B275" s="64" t="s">
        <v>30</v>
      </c>
      <c r="C275" s="64" t="s">
        <v>31</v>
      </c>
      <c r="D275" s="64" t="s">
        <v>32</v>
      </c>
      <c r="E275" s="64" t="s">
        <v>33</v>
      </c>
      <c r="F275" s="52" t="s">
        <v>568</v>
      </c>
      <c r="G275" s="91" t="s">
        <v>34</v>
      </c>
      <c r="H275" s="95" t="s">
        <v>1184</v>
      </c>
      <c r="I275" s="65">
        <v>46130</v>
      </c>
      <c r="J275" s="64">
        <f t="shared" ref="J275" ca="1" si="542">+TODAY()-I275</f>
        <v>54</v>
      </c>
      <c r="K275" s="64">
        <f t="shared" ref="K275" si="543">+U275</f>
        <v>46163</v>
      </c>
      <c r="L275" s="64" t="s">
        <v>273</v>
      </c>
      <c r="M275" s="64">
        <v>18000</v>
      </c>
      <c r="N275" s="64">
        <v>16000</v>
      </c>
      <c r="O275" s="65">
        <v>46132</v>
      </c>
      <c r="P275" s="64">
        <f t="shared" ref="P275" si="544">+M275-N275</f>
        <v>2000</v>
      </c>
      <c r="Q275" s="64" t="s">
        <v>33</v>
      </c>
      <c r="R275" s="64" t="s">
        <v>56</v>
      </c>
      <c r="S275" s="64">
        <v>20500</v>
      </c>
      <c r="T275" s="64" t="s">
        <v>2183</v>
      </c>
      <c r="U275" s="65">
        <v>46163</v>
      </c>
      <c r="V275" s="64" t="s">
        <v>28</v>
      </c>
      <c r="W275" s="64">
        <f t="shared" ref="W275" si="545">+S275-M275</f>
        <v>2500</v>
      </c>
      <c r="X275" s="64" t="s">
        <v>36</v>
      </c>
      <c r="Y275" s="64" t="s">
        <v>29</v>
      </c>
      <c r="Z275" s="71">
        <f t="shared" ref="Z275" si="546">+W275*100/M275</f>
        <v>13.888888888888889</v>
      </c>
      <c r="AA275" s="93"/>
    </row>
    <row r="276" spans="1:27">
      <c r="A276" s="64">
        <f>SUBTOTAL(3,C$2:C276)</f>
        <v>275</v>
      </c>
      <c r="B276" s="64" t="s">
        <v>30</v>
      </c>
      <c r="C276" s="64" t="s">
        <v>31</v>
      </c>
      <c r="D276" s="64" t="s">
        <v>32</v>
      </c>
      <c r="E276" s="64" t="s">
        <v>33</v>
      </c>
      <c r="F276" s="52" t="s">
        <v>570</v>
      </c>
      <c r="G276" s="91" t="s">
        <v>34</v>
      </c>
      <c r="H276" s="95" t="s">
        <v>571</v>
      </c>
      <c r="I276" s="65">
        <v>46131</v>
      </c>
      <c r="J276" s="64">
        <f t="shared" ref="J276" ca="1" si="547">+TODAY()-I276</f>
        <v>53</v>
      </c>
      <c r="K276" s="64">
        <f t="shared" ref="K276" si="548">+U276</f>
        <v>46162</v>
      </c>
      <c r="L276" s="64" t="s">
        <v>47</v>
      </c>
      <c r="M276" s="64">
        <v>19000</v>
      </c>
      <c r="N276" s="64">
        <v>17000</v>
      </c>
      <c r="O276" s="65">
        <v>46132</v>
      </c>
      <c r="P276" s="64">
        <f t="shared" ref="P276" si="549">+M276-N276</f>
        <v>2000</v>
      </c>
      <c r="Q276" s="64" t="s">
        <v>33</v>
      </c>
      <c r="R276" s="64" t="s">
        <v>39</v>
      </c>
      <c r="S276" s="64">
        <v>21800</v>
      </c>
      <c r="T276" s="64" t="s">
        <v>2144</v>
      </c>
      <c r="U276" s="65">
        <v>46162</v>
      </c>
      <c r="V276" s="64" t="s">
        <v>28</v>
      </c>
      <c r="W276" s="64">
        <f t="shared" ref="W276" si="550">+S276-M276</f>
        <v>2800</v>
      </c>
      <c r="X276" s="64" t="s">
        <v>36</v>
      </c>
      <c r="Y276" s="64" t="s">
        <v>29</v>
      </c>
      <c r="Z276" s="71">
        <f t="shared" ref="Z276" si="551">+W276*100/M276</f>
        <v>14.736842105263158</v>
      </c>
      <c r="AA276" s="93"/>
    </row>
    <row r="277" spans="1:27">
      <c r="A277" s="64">
        <f>SUBTOTAL(3,C$2:C277)</f>
        <v>276</v>
      </c>
      <c r="B277" s="64" t="s">
        <v>30</v>
      </c>
      <c r="C277" s="64" t="s">
        <v>31</v>
      </c>
      <c r="D277" s="64" t="s">
        <v>32</v>
      </c>
      <c r="E277" s="64" t="s">
        <v>33</v>
      </c>
      <c r="F277" s="52" t="s">
        <v>572</v>
      </c>
      <c r="G277" s="91" t="s">
        <v>34</v>
      </c>
      <c r="H277" s="95" t="s">
        <v>573</v>
      </c>
      <c r="I277" s="65">
        <v>46131</v>
      </c>
      <c r="J277" s="64">
        <f t="shared" ref="J277" ca="1" si="552">+TODAY()-I277</f>
        <v>53</v>
      </c>
      <c r="K277" s="64">
        <f t="shared" ref="K277" si="553">+U277</f>
        <v>46137</v>
      </c>
      <c r="L277" s="64" t="s">
        <v>88</v>
      </c>
      <c r="M277" s="64">
        <v>23300</v>
      </c>
      <c r="N277" s="64">
        <v>21500</v>
      </c>
      <c r="O277" s="65">
        <v>46132</v>
      </c>
      <c r="P277" s="64">
        <f t="shared" ref="P277" si="554">+M277-N277</f>
        <v>1800</v>
      </c>
      <c r="Q277" s="65">
        <v>46141</v>
      </c>
      <c r="R277" s="64" t="s">
        <v>37</v>
      </c>
      <c r="S277" s="64">
        <v>26000</v>
      </c>
      <c r="T277" s="64" t="s">
        <v>822</v>
      </c>
      <c r="U277" s="65">
        <v>46137</v>
      </c>
      <c r="V277" s="64" t="s">
        <v>28</v>
      </c>
      <c r="W277" s="64">
        <f t="shared" ref="W277" si="555">+S277-M277</f>
        <v>2700</v>
      </c>
      <c r="X277" s="64" t="s">
        <v>36</v>
      </c>
      <c r="Y277" s="64" t="s">
        <v>29</v>
      </c>
      <c r="Z277" s="71">
        <f t="shared" ref="Z277" si="556">+W277*100/M277</f>
        <v>11.587982832618026</v>
      </c>
      <c r="AA277" s="93"/>
    </row>
    <row r="278" spans="1:27">
      <c r="A278" s="64">
        <f>SUBTOTAL(3,C$2:C278)</f>
        <v>277</v>
      </c>
      <c r="B278" s="64" t="s">
        <v>30</v>
      </c>
      <c r="C278" s="64" t="s">
        <v>31</v>
      </c>
      <c r="D278" s="64" t="s">
        <v>32</v>
      </c>
      <c r="E278" s="64" t="s">
        <v>33</v>
      </c>
      <c r="F278" s="52" t="s">
        <v>574</v>
      </c>
      <c r="G278" s="91" t="s">
        <v>34</v>
      </c>
      <c r="H278" s="95" t="s">
        <v>575</v>
      </c>
      <c r="I278" s="65">
        <v>46131</v>
      </c>
      <c r="J278" s="64">
        <f t="shared" ref="J278" ca="1" si="557">+TODAY()-I278</f>
        <v>53</v>
      </c>
      <c r="K278" s="64">
        <f t="shared" ref="K278" si="558">+U278</f>
        <v>46162</v>
      </c>
      <c r="L278" s="64" t="s">
        <v>47</v>
      </c>
      <c r="M278" s="64">
        <v>19000</v>
      </c>
      <c r="N278" s="64">
        <v>17000</v>
      </c>
      <c r="O278" s="65">
        <v>46132</v>
      </c>
      <c r="P278" s="64">
        <f t="shared" ref="P278" si="559">+M278-N278</f>
        <v>2000</v>
      </c>
      <c r="Q278" s="64" t="s">
        <v>33</v>
      </c>
      <c r="R278" s="64" t="s">
        <v>39</v>
      </c>
      <c r="S278" s="64">
        <v>21800</v>
      </c>
      <c r="T278" s="64" t="s">
        <v>2144</v>
      </c>
      <c r="U278" s="65">
        <v>46162</v>
      </c>
      <c r="V278" s="64" t="s">
        <v>28</v>
      </c>
      <c r="W278" s="64">
        <f t="shared" ref="W278" si="560">+S278-M278</f>
        <v>2800</v>
      </c>
      <c r="X278" s="64" t="s">
        <v>36</v>
      </c>
      <c r="Y278" s="64" t="s">
        <v>29</v>
      </c>
      <c r="Z278" s="71">
        <f t="shared" ref="Z278" si="561">+W278*100/M278</f>
        <v>14.736842105263158</v>
      </c>
      <c r="AA278" s="93"/>
    </row>
    <row r="279" spans="1:27">
      <c r="A279" s="64">
        <f>SUBTOTAL(3,C$2:C279)</f>
        <v>278</v>
      </c>
      <c r="B279" s="64" t="s">
        <v>30</v>
      </c>
      <c r="C279" s="64" t="s">
        <v>31</v>
      </c>
      <c r="D279" s="64" t="s">
        <v>32</v>
      </c>
      <c r="E279" s="64" t="s">
        <v>33</v>
      </c>
      <c r="F279" s="52" t="s">
        <v>576</v>
      </c>
      <c r="G279" s="91" t="s">
        <v>34</v>
      </c>
      <c r="H279" s="95" t="s">
        <v>577</v>
      </c>
      <c r="I279" s="65">
        <v>46131</v>
      </c>
      <c r="J279" s="64">
        <f t="shared" ref="J279" ca="1" si="562">+TODAY()-I279</f>
        <v>53</v>
      </c>
      <c r="K279" s="64">
        <f t="shared" ref="K279" si="563">+U279</f>
        <v>46136</v>
      </c>
      <c r="L279" s="64" t="s">
        <v>47</v>
      </c>
      <c r="M279" s="64">
        <v>19000</v>
      </c>
      <c r="N279" s="64">
        <v>17000</v>
      </c>
      <c r="O279" s="65">
        <v>46132</v>
      </c>
      <c r="P279" s="64">
        <f t="shared" ref="P279" si="564">+M279-N279</f>
        <v>2000</v>
      </c>
      <c r="Q279" s="65">
        <v>46141</v>
      </c>
      <c r="R279" s="64" t="s">
        <v>39</v>
      </c>
      <c r="S279" s="64">
        <v>21800</v>
      </c>
      <c r="T279" s="64" t="s">
        <v>816</v>
      </c>
      <c r="U279" s="65">
        <v>46136</v>
      </c>
      <c r="V279" s="64" t="s">
        <v>28</v>
      </c>
      <c r="W279" s="64">
        <f t="shared" ref="W279" si="565">+S279-M279</f>
        <v>2800</v>
      </c>
      <c r="X279" s="64" t="s">
        <v>36</v>
      </c>
      <c r="Y279" s="64" t="s">
        <v>29</v>
      </c>
      <c r="Z279" s="71">
        <f t="shared" ref="Z279" si="566">+W279*100/M279</f>
        <v>14.736842105263158</v>
      </c>
      <c r="AA279" s="93"/>
    </row>
    <row r="280" spans="1:27">
      <c r="A280" s="64">
        <f>SUBTOTAL(3,C$2:C280)</f>
        <v>279</v>
      </c>
      <c r="B280" s="64" t="s">
        <v>30</v>
      </c>
      <c r="C280" s="64" t="s">
        <v>31</v>
      </c>
      <c r="D280" s="64" t="s">
        <v>32</v>
      </c>
      <c r="E280" s="64" t="s">
        <v>33</v>
      </c>
      <c r="F280" s="52" t="s">
        <v>306</v>
      </c>
      <c r="G280" s="91" t="s">
        <v>34</v>
      </c>
      <c r="H280" s="95" t="s">
        <v>578</v>
      </c>
      <c r="I280" s="65">
        <v>46131</v>
      </c>
      <c r="J280" s="64">
        <f t="shared" ref="J280:J282" ca="1" si="567">+TODAY()-I280</f>
        <v>53</v>
      </c>
      <c r="K280" s="64" t="str">
        <f t="shared" ref="K280:K282" si="568">+U280</f>
        <v>Pending</v>
      </c>
      <c r="L280" s="64" t="s">
        <v>88</v>
      </c>
      <c r="M280" s="64">
        <v>23300</v>
      </c>
      <c r="N280" s="64">
        <v>21500</v>
      </c>
      <c r="O280" s="65">
        <v>46132</v>
      </c>
      <c r="P280" s="64">
        <f t="shared" ref="P280:P282" si="569">+M280-N280</f>
        <v>1800</v>
      </c>
      <c r="Q280" s="64" t="s">
        <v>33</v>
      </c>
      <c r="R280" s="64" t="s">
        <v>37</v>
      </c>
      <c r="S280" s="64">
        <v>26000</v>
      </c>
      <c r="T280" s="64" t="s">
        <v>33</v>
      </c>
      <c r="U280" s="65" t="s">
        <v>33</v>
      </c>
      <c r="V280" s="64" t="s">
        <v>28</v>
      </c>
      <c r="W280" s="64">
        <f t="shared" ref="W280:W282" si="570">+S280-M280</f>
        <v>2700</v>
      </c>
      <c r="X280" s="64" t="s">
        <v>36</v>
      </c>
      <c r="Y280" s="64" t="s">
        <v>29</v>
      </c>
      <c r="Z280" s="71">
        <f t="shared" ref="Z280:Z282" si="571">+W280*100/M280</f>
        <v>11.587982832618026</v>
      </c>
      <c r="AA280" s="93"/>
    </row>
    <row r="281" spans="1:27">
      <c r="A281" s="64">
        <f>SUBTOTAL(3,C$2:C281)</f>
        <v>280</v>
      </c>
      <c r="B281" s="64" t="s">
        <v>30</v>
      </c>
      <c r="C281" s="64" t="s">
        <v>137</v>
      </c>
      <c r="D281" s="64" t="s">
        <v>32</v>
      </c>
      <c r="E281" s="64" t="s">
        <v>33</v>
      </c>
      <c r="F281" s="52" t="s">
        <v>138</v>
      </c>
      <c r="G281" s="91" t="s">
        <v>50</v>
      </c>
      <c r="H281" s="95" t="s">
        <v>579</v>
      </c>
      <c r="I281" s="65">
        <v>46131</v>
      </c>
      <c r="J281" s="64">
        <f t="shared" ca="1" si="567"/>
        <v>53</v>
      </c>
      <c r="K281" s="64">
        <f t="shared" si="568"/>
        <v>46136</v>
      </c>
      <c r="L281" s="64" t="s">
        <v>97</v>
      </c>
      <c r="M281" s="64">
        <v>44000</v>
      </c>
      <c r="N281" s="64">
        <v>40000</v>
      </c>
      <c r="O281" s="65">
        <v>46132</v>
      </c>
      <c r="P281" s="64">
        <f t="shared" si="569"/>
        <v>4000</v>
      </c>
      <c r="Q281" s="65">
        <v>46141</v>
      </c>
      <c r="R281" s="64" t="s">
        <v>52</v>
      </c>
      <c r="S281" s="64">
        <v>48000</v>
      </c>
      <c r="T281" s="64" t="s">
        <v>815</v>
      </c>
      <c r="U281" s="65">
        <v>46136</v>
      </c>
      <c r="V281" s="64" t="s">
        <v>28</v>
      </c>
      <c r="W281" s="64">
        <f t="shared" si="570"/>
        <v>4000</v>
      </c>
      <c r="X281" s="64" t="s">
        <v>36</v>
      </c>
      <c r="Y281" s="64" t="s">
        <v>29</v>
      </c>
      <c r="Z281" s="71">
        <f t="shared" si="571"/>
        <v>9.0909090909090917</v>
      </c>
      <c r="AA281" s="93"/>
    </row>
    <row r="282" spans="1:27">
      <c r="A282" s="64">
        <f>SUBTOTAL(3,C$2:C282)</f>
        <v>281</v>
      </c>
      <c r="B282" s="64" t="s">
        <v>30</v>
      </c>
      <c r="C282" s="64" t="s">
        <v>44</v>
      </c>
      <c r="D282" s="64" t="s">
        <v>32</v>
      </c>
      <c r="E282" s="64" t="s">
        <v>33</v>
      </c>
      <c r="F282" s="52" t="s">
        <v>581</v>
      </c>
      <c r="G282" s="91">
        <v>407</v>
      </c>
      <c r="H282" s="95" t="s">
        <v>582</v>
      </c>
      <c r="I282" s="65">
        <v>46131</v>
      </c>
      <c r="J282" s="64">
        <f t="shared" ca="1" si="567"/>
        <v>53</v>
      </c>
      <c r="K282" s="64">
        <f t="shared" si="568"/>
        <v>46148</v>
      </c>
      <c r="L282" s="52" t="s">
        <v>543</v>
      </c>
      <c r="M282" s="64">
        <v>28000</v>
      </c>
      <c r="N282" s="64">
        <v>25000</v>
      </c>
      <c r="O282" s="65">
        <v>46132</v>
      </c>
      <c r="P282" s="64">
        <f t="shared" si="569"/>
        <v>3000</v>
      </c>
      <c r="Q282" s="64" t="s">
        <v>33</v>
      </c>
      <c r="R282" s="64" t="s">
        <v>56</v>
      </c>
      <c r="S282" s="64">
        <v>30800</v>
      </c>
      <c r="T282" s="64" t="s">
        <v>1343</v>
      </c>
      <c r="U282" s="65">
        <v>46148</v>
      </c>
      <c r="V282" s="64" t="s">
        <v>28</v>
      </c>
      <c r="W282" s="64">
        <f t="shared" si="570"/>
        <v>2800</v>
      </c>
      <c r="X282" s="64" t="s">
        <v>36</v>
      </c>
      <c r="Y282" s="64" t="s">
        <v>29</v>
      </c>
      <c r="Z282" s="71">
        <f t="shared" si="571"/>
        <v>10</v>
      </c>
      <c r="AA282" s="93"/>
    </row>
    <row r="283" spans="1:27">
      <c r="A283" s="64">
        <f>SUBTOTAL(3,C$2:C283)</f>
        <v>282</v>
      </c>
      <c r="B283" s="64" t="s">
        <v>30</v>
      </c>
      <c r="C283" s="64" t="s">
        <v>31</v>
      </c>
      <c r="D283" s="64" t="s">
        <v>32</v>
      </c>
      <c r="E283" s="64" t="s">
        <v>33</v>
      </c>
      <c r="F283" s="52" t="s">
        <v>182</v>
      </c>
      <c r="G283" s="91" t="s">
        <v>34</v>
      </c>
      <c r="H283" s="95" t="s">
        <v>1185</v>
      </c>
      <c r="I283" s="65">
        <v>46131</v>
      </c>
      <c r="J283" s="64">
        <f t="shared" ref="J283:J285" ca="1" si="572">+TODAY()-I283</f>
        <v>53</v>
      </c>
      <c r="K283" s="64">
        <f t="shared" ref="K283:K285" si="573">+U283</f>
        <v>46148</v>
      </c>
      <c r="L283" s="64" t="s">
        <v>273</v>
      </c>
      <c r="M283" s="64">
        <v>18000</v>
      </c>
      <c r="N283" s="64">
        <v>16000</v>
      </c>
      <c r="O283" s="65">
        <v>46132</v>
      </c>
      <c r="P283" s="64">
        <f t="shared" ref="P283:P285" si="574">+M283-N283</f>
        <v>2000</v>
      </c>
      <c r="Q283" s="64" t="s">
        <v>33</v>
      </c>
      <c r="R283" s="64" t="s">
        <v>56</v>
      </c>
      <c r="S283" s="64">
        <v>20500</v>
      </c>
      <c r="T283" s="64" t="s">
        <v>1342</v>
      </c>
      <c r="U283" s="65">
        <v>46148</v>
      </c>
      <c r="V283" s="64" t="s">
        <v>28</v>
      </c>
      <c r="W283" s="64">
        <f t="shared" ref="W283:W285" si="575">+S283-M283</f>
        <v>2500</v>
      </c>
      <c r="X283" s="64" t="s">
        <v>36</v>
      </c>
      <c r="Y283" s="64" t="s">
        <v>29</v>
      </c>
      <c r="Z283" s="71">
        <f t="shared" ref="Z283:Z285" si="576">+W283*100/M283</f>
        <v>13.888888888888889</v>
      </c>
      <c r="AA283" s="93"/>
    </row>
    <row r="284" spans="1:27">
      <c r="A284" s="64">
        <f>SUBTOTAL(3,C$2:C284)</f>
        <v>283</v>
      </c>
      <c r="B284" s="64" t="s">
        <v>30</v>
      </c>
      <c r="C284" s="64" t="s">
        <v>44</v>
      </c>
      <c r="D284" s="64" t="s">
        <v>32</v>
      </c>
      <c r="E284" s="64" t="s">
        <v>33</v>
      </c>
      <c r="F284" s="52" t="s">
        <v>189</v>
      </c>
      <c r="G284" s="91" t="s">
        <v>59</v>
      </c>
      <c r="H284" s="95" t="s">
        <v>584</v>
      </c>
      <c r="I284" s="65">
        <v>46130</v>
      </c>
      <c r="J284" s="64">
        <f t="shared" ca="1" si="572"/>
        <v>54</v>
      </c>
      <c r="K284" s="64">
        <f t="shared" si="573"/>
        <v>46148</v>
      </c>
      <c r="L284" s="52" t="s">
        <v>127</v>
      </c>
      <c r="M284" s="64">
        <v>35000</v>
      </c>
      <c r="N284" s="64">
        <v>32000</v>
      </c>
      <c r="O284" s="65">
        <v>46132</v>
      </c>
      <c r="P284" s="64">
        <f t="shared" si="574"/>
        <v>3000</v>
      </c>
      <c r="Q284" s="64" t="s">
        <v>33</v>
      </c>
      <c r="R284" s="64" t="s">
        <v>37</v>
      </c>
      <c r="S284" s="64">
        <v>38000</v>
      </c>
      <c r="T284" s="64" t="s">
        <v>1335</v>
      </c>
      <c r="U284" s="65">
        <v>46148</v>
      </c>
      <c r="V284" s="64" t="s">
        <v>28</v>
      </c>
      <c r="W284" s="64">
        <f t="shared" si="575"/>
        <v>3000</v>
      </c>
      <c r="X284" s="64" t="s">
        <v>36</v>
      </c>
      <c r="Y284" s="64" t="s">
        <v>29</v>
      </c>
      <c r="Z284" s="71">
        <f t="shared" si="576"/>
        <v>8.5714285714285712</v>
      </c>
      <c r="AA284" s="93"/>
    </row>
    <row r="285" spans="1:27">
      <c r="A285" s="64">
        <f>SUBTOTAL(3,C$2:C285)</f>
        <v>284</v>
      </c>
      <c r="B285" s="64" t="s">
        <v>30</v>
      </c>
      <c r="C285" s="64" t="s">
        <v>216</v>
      </c>
      <c r="D285" s="64" t="s">
        <v>32</v>
      </c>
      <c r="E285" s="64" t="s">
        <v>33</v>
      </c>
      <c r="F285" s="52" t="s">
        <v>330</v>
      </c>
      <c r="G285" s="91" t="s">
        <v>50</v>
      </c>
      <c r="H285" s="95" t="s">
        <v>585</v>
      </c>
      <c r="I285" s="65">
        <v>46131</v>
      </c>
      <c r="J285" s="64">
        <f t="shared" ca="1" si="572"/>
        <v>53</v>
      </c>
      <c r="K285" s="64">
        <f t="shared" si="573"/>
        <v>46162</v>
      </c>
      <c r="L285" s="52" t="s">
        <v>586</v>
      </c>
      <c r="M285" s="64">
        <f>3000+44000</f>
        <v>47000</v>
      </c>
      <c r="N285" s="64">
        <v>40000</v>
      </c>
      <c r="O285" s="65">
        <v>46132</v>
      </c>
      <c r="P285" s="64">
        <f t="shared" si="574"/>
        <v>7000</v>
      </c>
      <c r="Q285" s="64" t="s">
        <v>33</v>
      </c>
      <c r="R285" s="64" t="s">
        <v>52</v>
      </c>
      <c r="S285" s="64">
        <f>5000+48000</f>
        <v>53000</v>
      </c>
      <c r="T285" s="64" t="s">
        <v>2155</v>
      </c>
      <c r="U285" s="65">
        <v>46162</v>
      </c>
      <c r="V285" s="64" t="s">
        <v>28</v>
      </c>
      <c r="W285" s="64">
        <f t="shared" si="575"/>
        <v>6000</v>
      </c>
      <c r="X285" s="64" t="s">
        <v>36</v>
      </c>
      <c r="Y285" s="64" t="s">
        <v>29</v>
      </c>
      <c r="Z285" s="71">
        <f t="shared" si="576"/>
        <v>12.76595744680851</v>
      </c>
      <c r="AA285" s="93"/>
    </row>
    <row r="286" spans="1:27">
      <c r="A286" s="64">
        <f>SUBTOTAL(3,C$2:C286)</f>
        <v>285</v>
      </c>
      <c r="B286" s="64" t="s">
        <v>30</v>
      </c>
      <c r="C286" s="64" t="s">
        <v>44</v>
      </c>
      <c r="D286" s="64" t="s">
        <v>32</v>
      </c>
      <c r="E286" s="64" t="s">
        <v>33</v>
      </c>
      <c r="F286" s="52" t="s">
        <v>587</v>
      </c>
      <c r="G286" s="91" t="s">
        <v>46</v>
      </c>
      <c r="H286" s="95" t="s">
        <v>588</v>
      </c>
      <c r="I286" s="65">
        <v>46131</v>
      </c>
      <c r="J286" s="64">
        <f t="shared" ref="J286:J287" ca="1" si="577">+TODAY()-I286</f>
        <v>53</v>
      </c>
      <c r="K286" s="64">
        <f t="shared" ref="K286:K287" si="578">+U286</f>
        <v>46162</v>
      </c>
      <c r="L286" s="64" t="s">
        <v>47</v>
      </c>
      <c r="M286" s="64">
        <v>19000</v>
      </c>
      <c r="N286" s="64">
        <v>17000</v>
      </c>
      <c r="O286" s="65">
        <v>46132</v>
      </c>
      <c r="P286" s="64">
        <f t="shared" ref="P286:P287" si="579">+M286-N286</f>
        <v>2000</v>
      </c>
      <c r="Q286" s="64" t="s">
        <v>33</v>
      </c>
      <c r="R286" s="64" t="s">
        <v>39</v>
      </c>
      <c r="S286" s="64">
        <v>21800</v>
      </c>
      <c r="T286" s="64" t="s">
        <v>2144</v>
      </c>
      <c r="U286" s="65">
        <v>46162</v>
      </c>
      <c r="V286" s="64" t="s">
        <v>28</v>
      </c>
      <c r="W286" s="64">
        <f t="shared" ref="W286:W287" si="580">+S286-M286</f>
        <v>2800</v>
      </c>
      <c r="X286" s="64" t="s">
        <v>36</v>
      </c>
      <c r="Y286" s="64" t="s">
        <v>29</v>
      </c>
      <c r="Z286" s="71">
        <f t="shared" ref="Z286:Z287" si="581">+W286*100/M286</f>
        <v>14.736842105263158</v>
      </c>
      <c r="AA286" s="93"/>
    </row>
    <row r="287" spans="1:27">
      <c r="A287" s="64">
        <f>SUBTOTAL(3,C$2:C287)</f>
        <v>286</v>
      </c>
      <c r="B287" s="64" t="s">
        <v>30</v>
      </c>
      <c r="C287" s="64" t="s">
        <v>31</v>
      </c>
      <c r="D287" s="64" t="s">
        <v>32</v>
      </c>
      <c r="E287" s="64" t="s">
        <v>33</v>
      </c>
      <c r="F287" s="52" t="s">
        <v>221</v>
      </c>
      <c r="G287" s="91" t="s">
        <v>34</v>
      </c>
      <c r="H287" s="95" t="s">
        <v>589</v>
      </c>
      <c r="I287" s="65">
        <v>46131</v>
      </c>
      <c r="J287" s="64">
        <f t="shared" ca="1" si="577"/>
        <v>53</v>
      </c>
      <c r="K287" s="64">
        <f t="shared" si="578"/>
        <v>46148</v>
      </c>
      <c r="L287" s="52" t="s">
        <v>2782</v>
      </c>
      <c r="M287" s="64">
        <v>18000</v>
      </c>
      <c r="N287" s="64">
        <v>16000</v>
      </c>
      <c r="O287" s="65">
        <v>46132</v>
      </c>
      <c r="P287" s="64">
        <f t="shared" si="579"/>
        <v>2000</v>
      </c>
      <c r="Q287" s="64" t="s">
        <v>33</v>
      </c>
      <c r="R287" s="64" t="s">
        <v>56</v>
      </c>
      <c r="S287" s="64">
        <v>20500</v>
      </c>
      <c r="T287" s="64" t="s">
        <v>1339</v>
      </c>
      <c r="U287" s="65">
        <v>46148</v>
      </c>
      <c r="V287" s="64" t="s">
        <v>28</v>
      </c>
      <c r="W287" s="64">
        <f t="shared" si="580"/>
        <v>2500</v>
      </c>
      <c r="X287" s="64" t="s">
        <v>36</v>
      </c>
      <c r="Y287" s="64" t="s">
        <v>29</v>
      </c>
      <c r="Z287" s="71">
        <f t="shared" si="581"/>
        <v>13.888888888888889</v>
      </c>
      <c r="AA287" s="93"/>
    </row>
    <row r="288" spans="1:27">
      <c r="A288" s="64">
        <f>SUBTOTAL(3,C$2:C288)</f>
        <v>287</v>
      </c>
      <c r="B288" s="64" t="s">
        <v>30</v>
      </c>
      <c r="C288" s="64" t="s">
        <v>44</v>
      </c>
      <c r="D288" s="64" t="s">
        <v>32</v>
      </c>
      <c r="E288" s="64" t="s">
        <v>33</v>
      </c>
      <c r="F288" s="52" t="s">
        <v>378</v>
      </c>
      <c r="G288" s="91" t="s">
        <v>46</v>
      </c>
      <c r="H288" s="95" t="s">
        <v>591</v>
      </c>
      <c r="I288" s="65">
        <v>46131</v>
      </c>
      <c r="J288" s="64">
        <f t="shared" ref="J288:J289" ca="1" si="582">+TODAY()-I288</f>
        <v>53</v>
      </c>
      <c r="K288" s="64">
        <f t="shared" ref="K288:K289" si="583">+U288</f>
        <v>46162</v>
      </c>
      <c r="L288" s="64" t="s">
        <v>47</v>
      </c>
      <c r="M288" s="64">
        <v>19000</v>
      </c>
      <c r="N288" s="64">
        <v>17000</v>
      </c>
      <c r="O288" s="65">
        <v>46132</v>
      </c>
      <c r="P288" s="64">
        <f t="shared" ref="P288:P289" si="584">+M288-N288</f>
        <v>2000</v>
      </c>
      <c r="Q288" s="64" t="s">
        <v>33</v>
      </c>
      <c r="R288" s="64" t="s">
        <v>39</v>
      </c>
      <c r="S288" s="64">
        <v>21800</v>
      </c>
      <c r="T288" s="64" t="s">
        <v>2144</v>
      </c>
      <c r="U288" s="65">
        <v>46162</v>
      </c>
      <c r="V288" s="64" t="s">
        <v>28</v>
      </c>
      <c r="W288" s="64">
        <f t="shared" ref="W288:W289" si="585">+S288-M288</f>
        <v>2800</v>
      </c>
      <c r="X288" s="64" t="s">
        <v>36</v>
      </c>
      <c r="Y288" s="64" t="s">
        <v>29</v>
      </c>
      <c r="Z288" s="71">
        <f t="shared" ref="Z288:Z289" si="586">+W288*100/M288</f>
        <v>14.736842105263158</v>
      </c>
      <c r="AA288" s="93"/>
    </row>
    <row r="289" spans="1:27">
      <c r="A289" s="64">
        <f>SUBTOTAL(3,C$2:C289)</f>
        <v>288</v>
      </c>
      <c r="B289" s="64" t="s">
        <v>30</v>
      </c>
      <c r="C289" s="64" t="s">
        <v>31</v>
      </c>
      <c r="D289" s="64" t="s">
        <v>32</v>
      </c>
      <c r="E289" s="64" t="s">
        <v>33</v>
      </c>
      <c r="F289" s="52" t="s">
        <v>592</v>
      </c>
      <c r="G289" s="91" t="s">
        <v>34</v>
      </c>
      <c r="H289" s="95" t="s">
        <v>593</v>
      </c>
      <c r="I289" s="65">
        <v>46131</v>
      </c>
      <c r="J289" s="64">
        <f t="shared" ca="1" si="582"/>
        <v>53</v>
      </c>
      <c r="K289" s="64">
        <f t="shared" si="583"/>
        <v>46148</v>
      </c>
      <c r="L289" s="52" t="s">
        <v>2782</v>
      </c>
      <c r="M289" s="64">
        <v>18000</v>
      </c>
      <c r="N289" s="64">
        <v>16000</v>
      </c>
      <c r="O289" s="65">
        <v>46132</v>
      </c>
      <c r="P289" s="64">
        <f t="shared" si="584"/>
        <v>2000</v>
      </c>
      <c r="Q289" s="64" t="s">
        <v>33</v>
      </c>
      <c r="R289" s="64" t="s">
        <v>56</v>
      </c>
      <c r="S289" s="64">
        <v>20500</v>
      </c>
      <c r="T289" s="64" t="s">
        <v>1339</v>
      </c>
      <c r="U289" s="65">
        <v>46148</v>
      </c>
      <c r="V289" s="64" t="s">
        <v>28</v>
      </c>
      <c r="W289" s="64">
        <f t="shared" si="585"/>
        <v>2500</v>
      </c>
      <c r="X289" s="64" t="s">
        <v>36</v>
      </c>
      <c r="Y289" s="64" t="s">
        <v>29</v>
      </c>
      <c r="Z289" s="71">
        <f t="shared" si="586"/>
        <v>13.888888888888889</v>
      </c>
      <c r="AA289" s="93"/>
    </row>
    <row r="290" spans="1:27">
      <c r="A290" s="64">
        <f>SUBTOTAL(3,C$2:C290)</f>
        <v>289</v>
      </c>
      <c r="B290" s="64" t="s">
        <v>30</v>
      </c>
      <c r="C290" s="64" t="s">
        <v>44</v>
      </c>
      <c r="D290" s="64" t="s">
        <v>32</v>
      </c>
      <c r="E290" s="64" t="s">
        <v>33</v>
      </c>
      <c r="F290" s="52" t="s">
        <v>471</v>
      </c>
      <c r="G290" s="91">
        <v>407</v>
      </c>
      <c r="H290" s="95" t="s">
        <v>594</v>
      </c>
      <c r="I290" s="65">
        <v>46131</v>
      </c>
      <c r="J290" s="64">
        <f t="shared" ref="J290:J291" ca="1" si="587">+TODAY()-I290</f>
        <v>53</v>
      </c>
      <c r="K290" s="64">
        <f t="shared" ref="K290:K291" si="588">+U290</f>
        <v>46170</v>
      </c>
      <c r="L290" s="64" t="s">
        <v>84</v>
      </c>
      <c r="M290" s="64">
        <v>27000</v>
      </c>
      <c r="N290" s="64">
        <v>25000</v>
      </c>
      <c r="O290" s="65">
        <v>46132</v>
      </c>
      <c r="P290" s="64">
        <f t="shared" ref="P290:P291" si="589">+M290-N290</f>
        <v>2000</v>
      </c>
      <c r="Q290" s="64" t="s">
        <v>33</v>
      </c>
      <c r="R290" s="97" t="s">
        <v>78</v>
      </c>
      <c r="S290" s="64">
        <v>29800</v>
      </c>
      <c r="T290" s="64" t="s">
        <v>2662</v>
      </c>
      <c r="U290" s="65">
        <v>46170</v>
      </c>
      <c r="V290" s="64" t="s">
        <v>28</v>
      </c>
      <c r="W290" s="64">
        <f t="shared" ref="W290:W291" si="590">+S290-M290</f>
        <v>2800</v>
      </c>
      <c r="X290" s="64" t="s">
        <v>36</v>
      </c>
      <c r="Y290" s="64" t="s">
        <v>29</v>
      </c>
      <c r="Z290" s="71">
        <f t="shared" ref="Z290:Z291" si="591">+W290*100/M290</f>
        <v>10.37037037037037</v>
      </c>
      <c r="AA290" s="93"/>
    </row>
    <row r="291" spans="1:27">
      <c r="A291" s="64">
        <f>SUBTOTAL(3,C$2:C291)</f>
        <v>290</v>
      </c>
      <c r="B291" s="64" t="s">
        <v>30</v>
      </c>
      <c r="C291" s="64" t="s">
        <v>31</v>
      </c>
      <c r="D291" s="64" t="s">
        <v>32</v>
      </c>
      <c r="E291" s="64" t="s">
        <v>33</v>
      </c>
      <c r="F291" s="52" t="s">
        <v>85</v>
      </c>
      <c r="G291" s="91" t="s">
        <v>34</v>
      </c>
      <c r="H291" s="95" t="s">
        <v>595</v>
      </c>
      <c r="I291" s="65">
        <v>46132</v>
      </c>
      <c r="J291" s="64">
        <f t="shared" ca="1" si="587"/>
        <v>52</v>
      </c>
      <c r="K291" s="64">
        <f t="shared" si="588"/>
        <v>46148</v>
      </c>
      <c r="L291" s="52" t="s">
        <v>2782</v>
      </c>
      <c r="M291" s="64">
        <v>18000</v>
      </c>
      <c r="N291" s="64">
        <v>16000</v>
      </c>
      <c r="O291" s="65">
        <v>46132</v>
      </c>
      <c r="P291" s="64">
        <f t="shared" si="589"/>
        <v>2000</v>
      </c>
      <c r="Q291" s="64" t="s">
        <v>33</v>
      </c>
      <c r="R291" s="64" t="s">
        <v>56</v>
      </c>
      <c r="S291" s="64">
        <v>20500</v>
      </c>
      <c r="T291" s="64" t="s">
        <v>1339</v>
      </c>
      <c r="U291" s="65">
        <v>46148</v>
      </c>
      <c r="V291" s="64" t="s">
        <v>28</v>
      </c>
      <c r="W291" s="64">
        <f t="shared" si="590"/>
        <v>2500</v>
      </c>
      <c r="X291" s="64" t="s">
        <v>36</v>
      </c>
      <c r="Y291" s="64" t="s">
        <v>29</v>
      </c>
      <c r="Z291" s="71">
        <f t="shared" si="591"/>
        <v>13.888888888888889</v>
      </c>
      <c r="AA291" s="93"/>
    </row>
    <row r="292" spans="1:27">
      <c r="A292" s="64">
        <f>SUBTOTAL(3,C$2:C292)</f>
        <v>291</v>
      </c>
      <c r="B292" s="64" t="s">
        <v>30</v>
      </c>
      <c r="C292" s="64" t="s">
        <v>31</v>
      </c>
      <c r="D292" s="64" t="s">
        <v>32</v>
      </c>
      <c r="E292" s="64" t="s">
        <v>33</v>
      </c>
      <c r="F292" s="52" t="s">
        <v>115</v>
      </c>
      <c r="G292" s="91" t="s">
        <v>34</v>
      </c>
      <c r="H292" s="95" t="s">
        <v>596</v>
      </c>
      <c r="I292" s="65">
        <v>46132</v>
      </c>
      <c r="J292" s="64">
        <f t="shared" ref="J292" ca="1" si="592">+TODAY()-I292</f>
        <v>52</v>
      </c>
      <c r="K292" s="64">
        <f t="shared" ref="K292" si="593">+U292</f>
        <v>46162</v>
      </c>
      <c r="L292" s="64" t="s">
        <v>47</v>
      </c>
      <c r="M292" s="64">
        <v>19000</v>
      </c>
      <c r="N292" s="64">
        <v>17000</v>
      </c>
      <c r="O292" s="65">
        <v>46132</v>
      </c>
      <c r="P292" s="64">
        <f t="shared" ref="P292" si="594">+M292-N292</f>
        <v>2000</v>
      </c>
      <c r="Q292" s="64" t="s">
        <v>33</v>
      </c>
      <c r="R292" s="64" t="s">
        <v>39</v>
      </c>
      <c r="S292" s="64">
        <v>21800</v>
      </c>
      <c r="T292" s="64" t="s">
        <v>2144</v>
      </c>
      <c r="U292" s="65">
        <v>46162</v>
      </c>
      <c r="V292" s="64" t="s">
        <v>28</v>
      </c>
      <c r="W292" s="64">
        <f t="shared" ref="W292" si="595">+S292-M292</f>
        <v>2800</v>
      </c>
      <c r="X292" s="64" t="s">
        <v>36</v>
      </c>
      <c r="Y292" s="64" t="s">
        <v>29</v>
      </c>
      <c r="Z292" s="71">
        <f t="shared" ref="Z292" si="596">+W292*100/M292</f>
        <v>14.736842105263158</v>
      </c>
      <c r="AA292" s="93"/>
    </row>
    <row r="293" spans="1:27">
      <c r="A293" s="64">
        <f>SUBTOTAL(3,C$2:C293)</f>
        <v>292</v>
      </c>
      <c r="B293" s="64" t="s">
        <v>30</v>
      </c>
      <c r="C293" s="64" t="s">
        <v>31</v>
      </c>
      <c r="D293" s="64" t="s">
        <v>32</v>
      </c>
      <c r="E293" s="64" t="s">
        <v>33</v>
      </c>
      <c r="F293" s="52" t="s">
        <v>133</v>
      </c>
      <c r="G293" s="91" t="s">
        <v>34</v>
      </c>
      <c r="H293" s="95" t="s">
        <v>597</v>
      </c>
      <c r="I293" s="65">
        <v>46132</v>
      </c>
      <c r="J293" s="64">
        <f t="shared" ref="J293" ca="1" si="597">+TODAY()-I293</f>
        <v>52</v>
      </c>
      <c r="K293" s="64">
        <f t="shared" ref="K293" si="598">+U293</f>
        <v>46148</v>
      </c>
      <c r="L293" s="52" t="s">
        <v>519</v>
      </c>
      <c r="M293" s="64">
        <v>18300</v>
      </c>
      <c r="N293" s="64">
        <v>16500</v>
      </c>
      <c r="O293" s="65">
        <v>46132</v>
      </c>
      <c r="P293" s="64">
        <f t="shared" ref="P293" si="599">+M293-N293</f>
        <v>1800</v>
      </c>
      <c r="Q293" s="64" t="s">
        <v>33</v>
      </c>
      <c r="R293" s="64" t="s">
        <v>37</v>
      </c>
      <c r="S293" s="64">
        <v>21500</v>
      </c>
      <c r="T293" s="64" t="s">
        <v>1334</v>
      </c>
      <c r="U293" s="65">
        <v>46148</v>
      </c>
      <c r="V293" s="64" t="s">
        <v>28</v>
      </c>
      <c r="W293" s="64">
        <f t="shared" ref="W293" si="600">+S293-M293</f>
        <v>3200</v>
      </c>
      <c r="X293" s="64" t="s">
        <v>36</v>
      </c>
      <c r="Y293" s="64" t="s">
        <v>29</v>
      </c>
      <c r="Z293" s="71">
        <f t="shared" ref="Z293" si="601">+W293*100/M293</f>
        <v>17.486338797814209</v>
      </c>
      <c r="AA293" s="93"/>
    </row>
    <row r="294" spans="1:27">
      <c r="A294" s="64">
        <f>SUBTOTAL(3,C$2:C294)</f>
        <v>293</v>
      </c>
      <c r="B294" s="64" t="s">
        <v>30</v>
      </c>
      <c r="C294" s="64" t="s">
        <v>31</v>
      </c>
      <c r="D294" s="64" t="s">
        <v>32</v>
      </c>
      <c r="E294" s="64" t="s">
        <v>33</v>
      </c>
      <c r="F294" s="52" t="s">
        <v>149</v>
      </c>
      <c r="G294" s="91" t="s">
        <v>34</v>
      </c>
      <c r="H294" s="95" t="s">
        <v>599</v>
      </c>
      <c r="I294" s="65">
        <v>46132</v>
      </c>
      <c r="J294" s="64">
        <f t="shared" ref="J294:J295" ca="1" si="602">+TODAY()-I294</f>
        <v>52</v>
      </c>
      <c r="K294" s="64">
        <f t="shared" ref="K294:K295" si="603">+U294</f>
        <v>46162</v>
      </c>
      <c r="L294" s="64" t="s">
        <v>47</v>
      </c>
      <c r="M294" s="64">
        <v>19000</v>
      </c>
      <c r="N294" s="64">
        <v>17000</v>
      </c>
      <c r="O294" s="65">
        <v>46132</v>
      </c>
      <c r="P294" s="64">
        <f t="shared" ref="P294:P295" si="604">+M294-N294</f>
        <v>2000</v>
      </c>
      <c r="Q294" s="64" t="s">
        <v>33</v>
      </c>
      <c r="R294" s="64" t="s">
        <v>39</v>
      </c>
      <c r="S294" s="64">
        <v>21800</v>
      </c>
      <c r="T294" s="64" t="s">
        <v>2144</v>
      </c>
      <c r="U294" s="65">
        <v>46162</v>
      </c>
      <c r="V294" s="64" t="s">
        <v>28</v>
      </c>
      <c r="W294" s="64">
        <f t="shared" ref="W294:W295" si="605">+S294-M294</f>
        <v>2800</v>
      </c>
      <c r="X294" s="64" t="s">
        <v>36</v>
      </c>
      <c r="Y294" s="64" t="s">
        <v>29</v>
      </c>
      <c r="Z294" s="71">
        <f t="shared" ref="Z294:Z295" si="606">+W294*100/M294</f>
        <v>14.736842105263158</v>
      </c>
      <c r="AA294" s="93"/>
    </row>
    <row r="295" spans="1:27">
      <c r="A295" s="64">
        <f>SUBTOTAL(3,C$2:C295)</f>
        <v>294</v>
      </c>
      <c r="B295" s="64" t="s">
        <v>30</v>
      </c>
      <c r="C295" s="64" t="s">
        <v>48</v>
      </c>
      <c r="D295" s="64" t="s">
        <v>32</v>
      </c>
      <c r="E295" s="64" t="s">
        <v>33</v>
      </c>
      <c r="F295" s="52" t="s">
        <v>49</v>
      </c>
      <c r="G295" s="91" t="s">
        <v>50</v>
      </c>
      <c r="H295" s="95" t="s">
        <v>600</v>
      </c>
      <c r="I295" s="65">
        <v>46132</v>
      </c>
      <c r="J295" s="64">
        <f t="shared" ca="1" si="602"/>
        <v>52</v>
      </c>
      <c r="K295" s="64">
        <f t="shared" si="603"/>
        <v>46148</v>
      </c>
      <c r="L295" s="52" t="s">
        <v>51</v>
      </c>
      <c r="M295" s="64">
        <v>44000</v>
      </c>
      <c r="N295" s="64">
        <v>40000</v>
      </c>
      <c r="O295" s="65">
        <v>46132</v>
      </c>
      <c r="P295" s="64">
        <f t="shared" si="604"/>
        <v>4000</v>
      </c>
      <c r="Q295" s="64" t="s">
        <v>33</v>
      </c>
      <c r="R295" s="64" t="s">
        <v>52</v>
      </c>
      <c r="S295" s="64">
        <v>48000</v>
      </c>
      <c r="T295" s="64" t="s">
        <v>1324</v>
      </c>
      <c r="U295" s="65">
        <v>46148</v>
      </c>
      <c r="V295" s="64" t="s">
        <v>28</v>
      </c>
      <c r="W295" s="64">
        <f t="shared" si="605"/>
        <v>4000</v>
      </c>
      <c r="X295" s="64" t="s">
        <v>36</v>
      </c>
      <c r="Y295" s="64" t="s">
        <v>29</v>
      </c>
      <c r="Z295" s="71">
        <f t="shared" si="606"/>
        <v>9.0909090909090917</v>
      </c>
      <c r="AA295" s="93"/>
    </row>
    <row r="296" spans="1:27">
      <c r="A296" s="64">
        <f>SUBTOTAL(3,C$2:C296)</f>
        <v>295</v>
      </c>
      <c r="B296" s="64" t="s">
        <v>30</v>
      </c>
      <c r="C296" s="64" t="s">
        <v>31</v>
      </c>
      <c r="D296" s="64" t="s">
        <v>32</v>
      </c>
      <c r="E296" s="64" t="s">
        <v>33</v>
      </c>
      <c r="F296" s="52" t="s">
        <v>601</v>
      </c>
      <c r="G296" s="91" t="s">
        <v>34</v>
      </c>
      <c r="H296" s="95" t="s">
        <v>602</v>
      </c>
      <c r="I296" s="65">
        <v>46131</v>
      </c>
      <c r="J296" s="64">
        <f t="shared" ref="J296:J297" ca="1" si="607">+TODAY()-I296</f>
        <v>53</v>
      </c>
      <c r="K296" s="64">
        <f t="shared" ref="K296:K297" si="608">+U296</f>
        <v>46162</v>
      </c>
      <c r="L296" s="64" t="s">
        <v>47</v>
      </c>
      <c r="M296" s="64">
        <v>19000</v>
      </c>
      <c r="N296" s="64">
        <v>17000</v>
      </c>
      <c r="O296" s="65">
        <v>46132</v>
      </c>
      <c r="P296" s="64">
        <f t="shared" ref="P296:P297" si="609">+M296-N296</f>
        <v>2000</v>
      </c>
      <c r="Q296" s="64" t="s">
        <v>33</v>
      </c>
      <c r="R296" s="64" t="s">
        <v>39</v>
      </c>
      <c r="S296" s="64">
        <v>21800</v>
      </c>
      <c r="T296" s="64" t="s">
        <v>2144</v>
      </c>
      <c r="U296" s="65">
        <v>46162</v>
      </c>
      <c r="V296" s="64" t="s">
        <v>28</v>
      </c>
      <c r="W296" s="64">
        <f t="shared" ref="W296:W297" si="610">+S296-M296</f>
        <v>2800</v>
      </c>
      <c r="X296" s="64" t="s">
        <v>36</v>
      </c>
      <c r="Y296" s="64" t="s">
        <v>29</v>
      </c>
      <c r="Z296" s="71">
        <f t="shared" ref="Z296:Z297" si="611">+W296*100/M296</f>
        <v>14.736842105263158</v>
      </c>
      <c r="AA296" s="93"/>
    </row>
    <row r="297" spans="1:27">
      <c r="A297" s="64">
        <f>SUBTOTAL(3,C$2:C297)</f>
        <v>296</v>
      </c>
      <c r="B297" s="64" t="s">
        <v>30</v>
      </c>
      <c r="C297" s="64" t="s">
        <v>44</v>
      </c>
      <c r="D297" s="64" t="s">
        <v>32</v>
      </c>
      <c r="E297" s="64" t="s">
        <v>33</v>
      </c>
      <c r="F297" s="52" t="s">
        <v>414</v>
      </c>
      <c r="G297" s="91">
        <v>407</v>
      </c>
      <c r="H297" s="95" t="s">
        <v>603</v>
      </c>
      <c r="I297" s="65">
        <v>46130</v>
      </c>
      <c r="J297" s="64">
        <f t="shared" ca="1" si="607"/>
        <v>54</v>
      </c>
      <c r="K297" s="64">
        <f t="shared" si="608"/>
        <v>46170</v>
      </c>
      <c r="L297" s="52" t="s">
        <v>381</v>
      </c>
      <c r="M297" s="64">
        <v>27000</v>
      </c>
      <c r="N297" s="64">
        <v>25000</v>
      </c>
      <c r="O297" s="65">
        <v>46132</v>
      </c>
      <c r="P297" s="64">
        <f t="shared" si="609"/>
        <v>2000</v>
      </c>
      <c r="Q297" s="64" t="s">
        <v>33</v>
      </c>
      <c r="R297" s="64" t="s">
        <v>78</v>
      </c>
      <c r="S297" s="64">
        <v>29800</v>
      </c>
      <c r="T297" s="64" t="s">
        <v>2662</v>
      </c>
      <c r="U297" s="65">
        <v>46170</v>
      </c>
      <c r="V297" s="64" t="s">
        <v>28</v>
      </c>
      <c r="W297" s="64">
        <f t="shared" si="610"/>
        <v>2800</v>
      </c>
      <c r="X297" s="64" t="s">
        <v>36</v>
      </c>
      <c r="Y297" s="64" t="s">
        <v>29</v>
      </c>
      <c r="Z297" s="71">
        <f t="shared" si="611"/>
        <v>10.37037037037037</v>
      </c>
      <c r="AA297" s="93"/>
    </row>
    <row r="298" spans="1:27">
      <c r="A298" s="64">
        <f>SUBTOTAL(3,C$2:C298)</f>
        <v>297</v>
      </c>
      <c r="B298" s="64" t="s">
        <v>30</v>
      </c>
      <c r="C298" s="64" t="s">
        <v>31</v>
      </c>
      <c r="D298" s="64" t="s">
        <v>32</v>
      </c>
      <c r="E298" s="64" t="s">
        <v>33</v>
      </c>
      <c r="F298" s="52" t="s">
        <v>230</v>
      </c>
      <c r="G298" s="91" t="s">
        <v>34</v>
      </c>
      <c r="H298" s="52" t="s">
        <v>604</v>
      </c>
      <c r="I298" s="65">
        <v>46132</v>
      </c>
      <c r="J298" s="64">
        <f t="shared" ref="J298:J299" ca="1" si="612">+TODAY()-I298</f>
        <v>52</v>
      </c>
      <c r="K298" s="64" t="str">
        <f t="shared" ref="K298:K299" si="613">+U298</f>
        <v>Pending</v>
      </c>
      <c r="L298" s="52" t="s">
        <v>639</v>
      </c>
      <c r="M298" s="64">
        <v>19000</v>
      </c>
      <c r="N298" s="64">
        <v>17000</v>
      </c>
      <c r="O298" s="65">
        <v>46132</v>
      </c>
      <c r="P298" s="64">
        <f t="shared" ref="P298:P299" si="614">+M298-N298</f>
        <v>2000</v>
      </c>
      <c r="Q298" s="64" t="s">
        <v>33</v>
      </c>
      <c r="R298" s="64" t="s">
        <v>112</v>
      </c>
      <c r="S298" s="64">
        <v>24000</v>
      </c>
      <c r="T298" s="64" t="s">
        <v>33</v>
      </c>
      <c r="U298" s="65" t="s">
        <v>33</v>
      </c>
      <c r="V298" s="64" t="s">
        <v>28</v>
      </c>
      <c r="W298" s="64">
        <f t="shared" ref="W298:W299" si="615">+S298-M298</f>
        <v>5000</v>
      </c>
      <c r="X298" s="64" t="s">
        <v>36</v>
      </c>
      <c r="Y298" s="64" t="s">
        <v>29</v>
      </c>
      <c r="Z298" s="71">
        <f t="shared" ref="Z298:Z299" si="616">+W298*100/M298</f>
        <v>26.315789473684209</v>
      </c>
      <c r="AA298" s="93"/>
    </row>
    <row r="299" spans="1:27">
      <c r="A299" s="64">
        <f>SUBTOTAL(3,C$2:C299)</f>
        <v>298</v>
      </c>
      <c r="B299" s="64" t="s">
        <v>30</v>
      </c>
      <c r="C299" s="64" t="s">
        <v>44</v>
      </c>
      <c r="D299" s="64" t="s">
        <v>32</v>
      </c>
      <c r="E299" s="64" t="s">
        <v>33</v>
      </c>
      <c r="F299" s="52" t="s">
        <v>606</v>
      </c>
      <c r="G299" s="91" t="s">
        <v>607</v>
      </c>
      <c r="H299" s="95" t="s">
        <v>608</v>
      </c>
      <c r="I299" s="65">
        <v>46131</v>
      </c>
      <c r="J299" s="64">
        <f t="shared" ca="1" si="612"/>
        <v>53</v>
      </c>
      <c r="K299" s="64">
        <f t="shared" si="613"/>
        <v>46162</v>
      </c>
      <c r="L299" s="52" t="s">
        <v>609</v>
      </c>
      <c r="M299" s="64">
        <v>38500</v>
      </c>
      <c r="N299" s="64">
        <v>35500</v>
      </c>
      <c r="O299" s="65">
        <v>46132</v>
      </c>
      <c r="P299" s="64">
        <f t="shared" si="614"/>
        <v>3000</v>
      </c>
      <c r="Q299" s="64" t="s">
        <v>33</v>
      </c>
      <c r="R299" s="64" t="s">
        <v>52</v>
      </c>
      <c r="S299" s="64">
        <v>41500</v>
      </c>
      <c r="T299" s="64" t="s">
        <v>2157</v>
      </c>
      <c r="U299" s="65">
        <v>46162</v>
      </c>
      <c r="V299" s="64" t="s">
        <v>28</v>
      </c>
      <c r="W299" s="64">
        <f t="shared" si="615"/>
        <v>3000</v>
      </c>
      <c r="X299" s="64" t="s">
        <v>36</v>
      </c>
      <c r="Y299" s="64" t="s">
        <v>29</v>
      </c>
      <c r="Z299" s="71">
        <f t="shared" si="616"/>
        <v>7.7922077922077921</v>
      </c>
      <c r="AA299" s="93"/>
    </row>
    <row r="300" spans="1:27">
      <c r="A300" s="64">
        <f>SUBTOTAL(3,C$2:C300)</f>
        <v>299</v>
      </c>
      <c r="B300" s="64" t="s">
        <v>30</v>
      </c>
      <c r="C300" s="64" t="s">
        <v>31</v>
      </c>
      <c r="D300" s="64" t="s">
        <v>32</v>
      </c>
      <c r="E300" s="64" t="s">
        <v>33</v>
      </c>
      <c r="F300" s="52" t="s">
        <v>405</v>
      </c>
      <c r="G300" s="91" t="s">
        <v>34</v>
      </c>
      <c r="H300" s="52" t="s">
        <v>1186</v>
      </c>
      <c r="I300" s="65">
        <v>46132</v>
      </c>
      <c r="J300" s="64">
        <f t="shared" ref="J300" ca="1" si="617">+TODAY()-I300</f>
        <v>52</v>
      </c>
      <c r="K300" s="64" t="str">
        <f t="shared" ref="K300" si="618">+U300</f>
        <v>Pending</v>
      </c>
      <c r="L300" s="52" t="s">
        <v>611</v>
      </c>
      <c r="M300" s="64">
        <v>18000</v>
      </c>
      <c r="N300" s="64">
        <v>16000</v>
      </c>
      <c r="O300" s="65">
        <v>46132</v>
      </c>
      <c r="P300" s="64">
        <f t="shared" ref="P300" si="619">+M300-N300</f>
        <v>2000</v>
      </c>
      <c r="Q300" s="64" t="s">
        <v>33</v>
      </c>
      <c r="R300" s="64" t="s">
        <v>56</v>
      </c>
      <c r="S300" s="64">
        <v>20500</v>
      </c>
      <c r="T300" s="64" t="s">
        <v>33</v>
      </c>
      <c r="U300" s="65" t="s">
        <v>33</v>
      </c>
      <c r="V300" s="64" t="s">
        <v>28</v>
      </c>
      <c r="W300" s="64">
        <f t="shared" ref="W300" si="620">+S300-M300</f>
        <v>2500</v>
      </c>
      <c r="X300" s="64" t="s">
        <v>36</v>
      </c>
      <c r="Y300" s="64" t="s">
        <v>29</v>
      </c>
      <c r="Z300" s="71">
        <f t="shared" ref="Z300" si="621">+W300*100/M300</f>
        <v>13.888888888888889</v>
      </c>
      <c r="AA300" s="93"/>
    </row>
    <row r="301" spans="1:27">
      <c r="A301" s="64">
        <f>SUBTOTAL(3,C$2:C301)</f>
        <v>300</v>
      </c>
      <c r="B301" s="64" t="s">
        <v>30</v>
      </c>
      <c r="C301" s="64" t="s">
        <v>31</v>
      </c>
      <c r="D301" s="64" t="s">
        <v>32</v>
      </c>
      <c r="E301" s="64" t="s">
        <v>33</v>
      </c>
      <c r="F301" s="52" t="s">
        <v>401</v>
      </c>
      <c r="G301" s="91" t="s">
        <v>34</v>
      </c>
      <c r="H301" s="95" t="s">
        <v>612</v>
      </c>
      <c r="I301" s="65">
        <v>46132</v>
      </c>
      <c r="J301" s="64">
        <f t="shared" ref="J301:J302" ca="1" si="622">+TODAY()-I301</f>
        <v>52</v>
      </c>
      <c r="K301" s="64" t="str">
        <f t="shared" ref="K301:K302" si="623">+U301</f>
        <v>Pending</v>
      </c>
      <c r="L301" s="64" t="s">
        <v>88</v>
      </c>
      <c r="M301" s="64">
        <v>23300</v>
      </c>
      <c r="N301" s="64">
        <v>21500</v>
      </c>
      <c r="O301" s="65">
        <v>46132</v>
      </c>
      <c r="P301" s="64">
        <f t="shared" ref="P301:P302" si="624">+M301-N301</f>
        <v>1800</v>
      </c>
      <c r="Q301" s="64" t="s">
        <v>33</v>
      </c>
      <c r="R301" s="64" t="s">
        <v>37</v>
      </c>
      <c r="S301" s="64">
        <v>26000</v>
      </c>
      <c r="T301" s="64" t="s">
        <v>33</v>
      </c>
      <c r="U301" s="65" t="s">
        <v>33</v>
      </c>
      <c r="V301" s="64" t="s">
        <v>28</v>
      </c>
      <c r="W301" s="64">
        <f t="shared" ref="W301:W302" si="625">+S301-M301</f>
        <v>2700</v>
      </c>
      <c r="X301" s="64" t="s">
        <v>36</v>
      </c>
      <c r="Y301" s="64" t="s">
        <v>29</v>
      </c>
      <c r="Z301" s="71">
        <f t="shared" ref="Z301:Z302" si="626">+W301*100/M301</f>
        <v>11.587982832618026</v>
      </c>
      <c r="AA301" s="93"/>
    </row>
    <row r="302" spans="1:27">
      <c r="A302" s="64">
        <f>SUBTOTAL(3,C$2:C302)</f>
        <v>301</v>
      </c>
      <c r="B302" s="64" t="s">
        <v>30</v>
      </c>
      <c r="C302" s="64" t="s">
        <v>156</v>
      </c>
      <c r="D302" s="64" t="s">
        <v>32</v>
      </c>
      <c r="E302" s="64" t="s">
        <v>33</v>
      </c>
      <c r="F302" s="52" t="s">
        <v>164</v>
      </c>
      <c r="G302" s="91" t="s">
        <v>67</v>
      </c>
      <c r="H302" s="52" t="s">
        <v>619</v>
      </c>
      <c r="I302" s="65">
        <v>46130</v>
      </c>
      <c r="J302" s="64">
        <f t="shared" ca="1" si="622"/>
        <v>54</v>
      </c>
      <c r="K302" s="64">
        <f t="shared" si="623"/>
        <v>46139</v>
      </c>
      <c r="L302" s="64" t="s">
        <v>97</v>
      </c>
      <c r="M302" s="64">
        <v>21500</v>
      </c>
      <c r="N302" s="64">
        <v>21500</v>
      </c>
      <c r="O302" s="65">
        <v>46132</v>
      </c>
      <c r="P302" s="64">
        <f t="shared" si="624"/>
        <v>0</v>
      </c>
      <c r="Q302" s="64" t="s">
        <v>33</v>
      </c>
      <c r="R302" s="64" t="s">
        <v>37</v>
      </c>
      <c r="S302" s="64">
        <v>25500</v>
      </c>
      <c r="T302" s="64" t="s">
        <v>825</v>
      </c>
      <c r="U302" s="65">
        <v>46139</v>
      </c>
      <c r="V302" s="64" t="s">
        <v>28</v>
      </c>
      <c r="W302" s="64">
        <f t="shared" si="625"/>
        <v>4000</v>
      </c>
      <c r="X302" s="64" t="s">
        <v>36</v>
      </c>
      <c r="Y302" s="64" t="s">
        <v>29</v>
      </c>
      <c r="Z302" s="71">
        <f t="shared" si="626"/>
        <v>18.604651162790699</v>
      </c>
      <c r="AA302" s="93"/>
    </row>
    <row r="303" spans="1:27">
      <c r="A303" s="64">
        <f>SUBTOTAL(3,C$2:C303)</f>
        <v>302</v>
      </c>
      <c r="B303" s="64" t="s">
        <v>30</v>
      </c>
      <c r="C303" s="64" t="s">
        <v>31</v>
      </c>
      <c r="D303" s="64" t="s">
        <v>32</v>
      </c>
      <c r="E303" s="64" t="s">
        <v>33</v>
      </c>
      <c r="F303" s="52" t="s">
        <v>435</v>
      </c>
      <c r="G303" s="91" t="s">
        <v>34</v>
      </c>
      <c r="H303" s="95" t="s">
        <v>621</v>
      </c>
      <c r="I303" s="65">
        <v>46132</v>
      </c>
      <c r="J303" s="64">
        <f t="shared" ref="J303" ca="1" si="627">+TODAY()-I303</f>
        <v>52</v>
      </c>
      <c r="K303" s="64">
        <f t="shared" ref="K303" si="628">+U303</f>
        <v>46162</v>
      </c>
      <c r="L303" s="64" t="s">
        <v>47</v>
      </c>
      <c r="M303" s="64">
        <v>19000</v>
      </c>
      <c r="N303" s="64">
        <v>17000</v>
      </c>
      <c r="O303" s="65">
        <v>46132</v>
      </c>
      <c r="P303" s="64">
        <f t="shared" ref="P303" si="629">+M303-N303</f>
        <v>2000</v>
      </c>
      <c r="Q303" s="64" t="s">
        <v>33</v>
      </c>
      <c r="R303" s="64" t="s">
        <v>39</v>
      </c>
      <c r="S303" s="64">
        <v>21800</v>
      </c>
      <c r="T303" s="64" t="s">
        <v>2144</v>
      </c>
      <c r="U303" s="65">
        <v>46162</v>
      </c>
      <c r="V303" s="64" t="s">
        <v>28</v>
      </c>
      <c r="W303" s="64">
        <f t="shared" ref="W303" si="630">+S303-M303</f>
        <v>2800</v>
      </c>
      <c r="X303" s="64" t="s">
        <v>36</v>
      </c>
      <c r="Y303" s="64" t="s">
        <v>29</v>
      </c>
      <c r="Z303" s="71">
        <f t="shared" ref="Z303" si="631">+W303*100/M303</f>
        <v>14.736842105263158</v>
      </c>
      <c r="AA303" s="93"/>
    </row>
    <row r="304" spans="1:27">
      <c r="A304" s="64">
        <f>SUBTOTAL(3,C$2:C304)</f>
        <v>303</v>
      </c>
      <c r="B304" s="64" t="s">
        <v>30</v>
      </c>
      <c r="C304" s="64" t="s">
        <v>31</v>
      </c>
      <c r="D304" s="64" t="s">
        <v>32</v>
      </c>
      <c r="E304" s="64" t="s">
        <v>33</v>
      </c>
      <c r="F304" s="52" t="s">
        <v>622</v>
      </c>
      <c r="G304" s="91" t="s">
        <v>34</v>
      </c>
      <c r="H304" s="95" t="s">
        <v>1187</v>
      </c>
      <c r="I304" s="65">
        <v>46132</v>
      </c>
      <c r="J304" s="64">
        <f t="shared" ref="J304" ca="1" si="632">+TODAY()-I304</f>
        <v>52</v>
      </c>
      <c r="K304" s="64">
        <f t="shared" ref="K304" si="633">+U304</f>
        <v>46148</v>
      </c>
      <c r="L304" s="52" t="s">
        <v>611</v>
      </c>
      <c r="M304" s="64">
        <v>18000</v>
      </c>
      <c r="N304" s="64">
        <v>16000</v>
      </c>
      <c r="O304" s="65">
        <v>46132</v>
      </c>
      <c r="P304" s="64">
        <f t="shared" ref="P304" si="634">+M304-N304</f>
        <v>2000</v>
      </c>
      <c r="Q304" s="64" t="s">
        <v>33</v>
      </c>
      <c r="R304" s="64" t="s">
        <v>56</v>
      </c>
      <c r="S304" s="64">
        <v>20500</v>
      </c>
      <c r="T304" s="64" t="s">
        <v>1339</v>
      </c>
      <c r="U304" s="65">
        <v>46148</v>
      </c>
      <c r="V304" s="64" t="s">
        <v>28</v>
      </c>
      <c r="W304" s="64">
        <f t="shared" ref="W304" si="635">+S304-M304</f>
        <v>2500</v>
      </c>
      <c r="X304" s="64" t="s">
        <v>36</v>
      </c>
      <c r="Y304" s="64" t="s">
        <v>29</v>
      </c>
      <c r="Z304" s="71">
        <f t="shared" ref="Z304" si="636">+W304*100/M304</f>
        <v>13.888888888888889</v>
      </c>
      <c r="AA304" s="93"/>
    </row>
    <row r="305" spans="1:27">
      <c r="A305" s="64">
        <f>SUBTOTAL(3,C$2:C305)</f>
        <v>304</v>
      </c>
      <c r="B305" s="64" t="s">
        <v>30</v>
      </c>
      <c r="C305" s="64" t="s">
        <v>31</v>
      </c>
      <c r="D305" s="64" t="s">
        <v>32</v>
      </c>
      <c r="E305" s="64" t="s">
        <v>33</v>
      </c>
      <c r="F305" s="52" t="s">
        <v>201</v>
      </c>
      <c r="G305" s="91" t="s">
        <v>34</v>
      </c>
      <c r="H305" s="95" t="s">
        <v>624</v>
      </c>
      <c r="I305" s="65">
        <v>46132</v>
      </c>
      <c r="J305" s="64">
        <f t="shared" ref="J305" ca="1" si="637">+TODAY()-I305</f>
        <v>52</v>
      </c>
      <c r="K305" s="64">
        <f t="shared" ref="K305" si="638">+U305</f>
        <v>46148</v>
      </c>
      <c r="L305" s="52" t="s">
        <v>639</v>
      </c>
      <c r="M305" s="64">
        <v>18300</v>
      </c>
      <c r="N305" s="64">
        <v>16500</v>
      </c>
      <c r="O305" s="65">
        <v>46132</v>
      </c>
      <c r="P305" s="64">
        <f t="shared" ref="P305" si="639">+M305-N305</f>
        <v>1800</v>
      </c>
      <c r="Q305" s="64" t="s">
        <v>33</v>
      </c>
      <c r="R305" s="64" t="s">
        <v>37</v>
      </c>
      <c r="S305" s="64">
        <v>21500</v>
      </c>
      <c r="T305" s="64" t="s">
        <v>1336</v>
      </c>
      <c r="U305" s="65">
        <v>46148</v>
      </c>
      <c r="V305" s="64" t="s">
        <v>28</v>
      </c>
      <c r="W305" s="64">
        <f t="shared" ref="W305" si="640">+S305-M305</f>
        <v>3200</v>
      </c>
      <c r="X305" s="64" t="s">
        <v>36</v>
      </c>
      <c r="Y305" s="64" t="s">
        <v>29</v>
      </c>
      <c r="Z305" s="71">
        <f t="shared" ref="Z305" si="641">+W305*100/M305</f>
        <v>17.486338797814209</v>
      </c>
      <c r="AA305" s="93"/>
    </row>
    <row r="306" spans="1:27">
      <c r="A306" s="64">
        <f>SUBTOTAL(3,C$2:C306)</f>
        <v>305</v>
      </c>
      <c r="B306" s="64" t="s">
        <v>30</v>
      </c>
      <c r="C306" s="64" t="s">
        <v>31</v>
      </c>
      <c r="D306" s="64" t="s">
        <v>32</v>
      </c>
      <c r="E306" s="64" t="s">
        <v>33</v>
      </c>
      <c r="F306" s="52" t="s">
        <v>627</v>
      </c>
      <c r="G306" s="91" t="s">
        <v>34</v>
      </c>
      <c r="H306" s="95" t="s">
        <v>628</v>
      </c>
      <c r="I306" s="65">
        <v>46132</v>
      </c>
      <c r="J306" s="64">
        <f t="shared" ref="J306" ca="1" si="642">+TODAY()-I306</f>
        <v>52</v>
      </c>
      <c r="K306" s="64">
        <f t="shared" ref="K306" si="643">+U306</f>
        <v>46162</v>
      </c>
      <c r="L306" s="64" t="s">
        <v>47</v>
      </c>
      <c r="M306" s="64">
        <v>19000</v>
      </c>
      <c r="N306" s="64">
        <v>17000</v>
      </c>
      <c r="O306" s="65">
        <v>46133</v>
      </c>
      <c r="P306" s="64">
        <f t="shared" ref="P306" si="644">+M306-N306</f>
        <v>2000</v>
      </c>
      <c r="Q306" s="64" t="s">
        <v>33</v>
      </c>
      <c r="R306" s="64" t="s">
        <v>39</v>
      </c>
      <c r="S306" s="64">
        <v>21800</v>
      </c>
      <c r="T306" s="64" t="s">
        <v>2144</v>
      </c>
      <c r="U306" s="65">
        <v>46162</v>
      </c>
      <c r="V306" s="64" t="s">
        <v>28</v>
      </c>
      <c r="W306" s="64">
        <f t="shared" ref="W306" si="645">+S306-M306</f>
        <v>2800</v>
      </c>
      <c r="X306" s="64" t="s">
        <v>36</v>
      </c>
      <c r="Y306" s="64" t="s">
        <v>29</v>
      </c>
      <c r="Z306" s="71">
        <f t="shared" ref="Z306" si="646">+W306*100/M306</f>
        <v>14.736842105263158</v>
      </c>
      <c r="AA306" s="93"/>
    </row>
    <row r="307" spans="1:27">
      <c r="A307" s="64">
        <f>SUBTOTAL(3,C$2:C307)</f>
        <v>306</v>
      </c>
      <c r="B307" s="64" t="s">
        <v>30</v>
      </c>
      <c r="C307" s="64" t="s">
        <v>31</v>
      </c>
      <c r="D307" s="64" t="s">
        <v>32</v>
      </c>
      <c r="E307" s="64" t="s">
        <v>33</v>
      </c>
      <c r="F307" s="52" t="s">
        <v>629</v>
      </c>
      <c r="G307" s="91" t="s">
        <v>631</v>
      </c>
      <c r="H307" s="95" t="s">
        <v>630</v>
      </c>
      <c r="I307" s="65">
        <v>46132</v>
      </c>
      <c r="J307" s="64">
        <f t="shared" ref="J307:J308" ca="1" si="647">+TODAY()-I307</f>
        <v>52</v>
      </c>
      <c r="K307" s="64">
        <f t="shared" ref="K307:K308" si="648">+U307</f>
        <v>46170</v>
      </c>
      <c r="L307" s="52" t="s">
        <v>632</v>
      </c>
      <c r="M307" s="64">
        <v>28000</v>
      </c>
      <c r="N307" s="64">
        <v>26000</v>
      </c>
      <c r="O307" s="65">
        <v>46133</v>
      </c>
      <c r="P307" s="64">
        <f t="shared" ref="P307:P308" si="649">+M307-N307</f>
        <v>2000</v>
      </c>
      <c r="Q307" s="64" t="s">
        <v>33</v>
      </c>
      <c r="R307" s="64" t="s">
        <v>118</v>
      </c>
      <c r="S307" s="64">
        <v>30500</v>
      </c>
      <c r="T307" s="64" t="s">
        <v>2665</v>
      </c>
      <c r="U307" s="65">
        <v>46170</v>
      </c>
      <c r="V307" s="64" t="s">
        <v>28</v>
      </c>
      <c r="W307" s="64">
        <f t="shared" ref="W307:W308" si="650">+S307-M307</f>
        <v>2500</v>
      </c>
      <c r="X307" s="64" t="s">
        <v>36</v>
      </c>
      <c r="Y307" s="64" t="s">
        <v>29</v>
      </c>
      <c r="Z307" s="71">
        <f t="shared" ref="Z307:Z308" si="651">+W307*100/M307</f>
        <v>8.9285714285714288</v>
      </c>
      <c r="AA307" s="93"/>
    </row>
    <row r="308" spans="1:27">
      <c r="A308" s="64">
        <f>SUBTOTAL(3,C$2:C308)</f>
        <v>307</v>
      </c>
      <c r="B308" s="64" t="s">
        <v>30</v>
      </c>
      <c r="C308" s="64" t="s">
        <v>44</v>
      </c>
      <c r="D308" s="64" t="s">
        <v>32</v>
      </c>
      <c r="E308" s="64" t="s">
        <v>33</v>
      </c>
      <c r="F308" s="52" t="s">
        <v>281</v>
      </c>
      <c r="G308" s="91">
        <v>407</v>
      </c>
      <c r="H308" s="95" t="s">
        <v>633</v>
      </c>
      <c r="I308" s="65">
        <v>46132</v>
      </c>
      <c r="J308" s="64">
        <f t="shared" ca="1" si="647"/>
        <v>52</v>
      </c>
      <c r="K308" s="64">
        <f t="shared" si="648"/>
        <v>46148</v>
      </c>
      <c r="L308" s="52" t="s">
        <v>381</v>
      </c>
      <c r="M308" s="64">
        <v>27000</v>
      </c>
      <c r="N308" s="64">
        <v>25000</v>
      </c>
      <c r="O308" s="65">
        <v>46133</v>
      </c>
      <c r="P308" s="64">
        <f t="shared" si="649"/>
        <v>2000</v>
      </c>
      <c r="Q308" s="64" t="s">
        <v>33</v>
      </c>
      <c r="R308" s="64" t="s">
        <v>78</v>
      </c>
      <c r="S308" s="64">
        <v>29800</v>
      </c>
      <c r="T308" s="64" t="s">
        <v>1326</v>
      </c>
      <c r="U308" s="65">
        <v>46148</v>
      </c>
      <c r="V308" s="64" t="s">
        <v>28</v>
      </c>
      <c r="W308" s="64">
        <f t="shared" si="650"/>
        <v>2800</v>
      </c>
      <c r="X308" s="64" t="s">
        <v>36</v>
      </c>
      <c r="Y308" s="64" t="s">
        <v>29</v>
      </c>
      <c r="Z308" s="71">
        <f t="shared" si="651"/>
        <v>10.37037037037037</v>
      </c>
      <c r="AA308" s="93"/>
    </row>
    <row r="309" spans="1:27">
      <c r="A309" s="64">
        <f>SUBTOTAL(3,C$2:C309)</f>
        <v>308</v>
      </c>
      <c r="B309" s="64" t="s">
        <v>30</v>
      </c>
      <c r="C309" s="64" t="s">
        <v>31</v>
      </c>
      <c r="D309" s="64" t="s">
        <v>32</v>
      </c>
      <c r="E309" s="64" t="s">
        <v>33</v>
      </c>
      <c r="F309" s="52" t="s">
        <v>257</v>
      </c>
      <c r="G309" s="91" t="s">
        <v>34</v>
      </c>
      <c r="H309" s="95" t="s">
        <v>635</v>
      </c>
      <c r="I309" s="65">
        <v>46133</v>
      </c>
      <c r="J309" s="64">
        <f t="shared" ref="J309" ca="1" si="652">+TODAY()-I309</f>
        <v>51</v>
      </c>
      <c r="K309" s="64">
        <f t="shared" ref="K309" si="653">+U309</f>
        <v>46162</v>
      </c>
      <c r="L309" s="64" t="s">
        <v>47</v>
      </c>
      <c r="M309" s="64">
        <v>19000</v>
      </c>
      <c r="N309" s="64">
        <v>17000</v>
      </c>
      <c r="O309" s="65">
        <v>46133</v>
      </c>
      <c r="P309" s="64">
        <f t="shared" ref="P309" si="654">+M309-N309</f>
        <v>2000</v>
      </c>
      <c r="Q309" s="64" t="s">
        <v>33</v>
      </c>
      <c r="R309" s="64" t="s">
        <v>39</v>
      </c>
      <c r="S309" s="64">
        <v>21800</v>
      </c>
      <c r="T309" s="64" t="s">
        <v>2147</v>
      </c>
      <c r="U309" s="65">
        <v>46162</v>
      </c>
      <c r="V309" s="64" t="s">
        <v>28</v>
      </c>
      <c r="W309" s="64">
        <f t="shared" ref="W309" si="655">+S309-M309</f>
        <v>2800</v>
      </c>
      <c r="X309" s="64" t="s">
        <v>36</v>
      </c>
      <c r="Y309" s="64" t="s">
        <v>29</v>
      </c>
      <c r="Z309" s="71">
        <f t="shared" ref="Z309" si="656">+W309*100/M309</f>
        <v>14.736842105263158</v>
      </c>
      <c r="AA309" s="93"/>
    </row>
    <row r="310" spans="1:27">
      <c r="A310" s="64">
        <f>SUBTOTAL(3,C$2:C310)</f>
        <v>309</v>
      </c>
      <c r="B310" s="64" t="s">
        <v>30</v>
      </c>
      <c r="C310" s="64" t="s">
        <v>31</v>
      </c>
      <c r="D310" s="64" t="s">
        <v>32</v>
      </c>
      <c r="E310" s="64" t="s">
        <v>33</v>
      </c>
      <c r="F310" s="52" t="s">
        <v>231</v>
      </c>
      <c r="G310" s="91" t="s">
        <v>34</v>
      </c>
      <c r="H310" s="95" t="s">
        <v>636</v>
      </c>
      <c r="I310" s="65">
        <v>46133</v>
      </c>
      <c r="J310" s="64">
        <f t="shared" ref="J310" ca="1" si="657">+TODAY()-I310</f>
        <v>51</v>
      </c>
      <c r="K310" s="64">
        <f t="shared" ref="K310" si="658">+U310</f>
        <v>46162</v>
      </c>
      <c r="L310" s="64" t="s">
        <v>47</v>
      </c>
      <c r="M310" s="64">
        <v>19000</v>
      </c>
      <c r="N310" s="64">
        <v>17000</v>
      </c>
      <c r="O310" s="65">
        <v>46133</v>
      </c>
      <c r="P310" s="64">
        <f t="shared" ref="P310" si="659">+M310-N310</f>
        <v>2000</v>
      </c>
      <c r="Q310" s="64" t="s">
        <v>33</v>
      </c>
      <c r="R310" s="64" t="s">
        <v>39</v>
      </c>
      <c r="S310" s="64">
        <v>21800</v>
      </c>
      <c r="T310" s="64" t="s">
        <v>2144</v>
      </c>
      <c r="U310" s="65">
        <v>46162</v>
      </c>
      <c r="V310" s="64" t="s">
        <v>28</v>
      </c>
      <c r="W310" s="64">
        <f t="shared" ref="W310" si="660">+S310-M310</f>
        <v>2800</v>
      </c>
      <c r="X310" s="64" t="s">
        <v>36</v>
      </c>
      <c r="Y310" s="64" t="s">
        <v>29</v>
      </c>
      <c r="Z310" s="71">
        <f t="shared" ref="Z310" si="661">+W310*100/M310</f>
        <v>14.736842105263158</v>
      </c>
      <c r="AA310" s="93"/>
    </row>
    <row r="311" spans="1:27">
      <c r="A311" s="64">
        <f>SUBTOTAL(3,C$2:C311)</f>
        <v>310</v>
      </c>
      <c r="B311" s="64" t="s">
        <v>30</v>
      </c>
      <c r="C311" s="64" t="s">
        <v>31</v>
      </c>
      <c r="D311" s="64" t="s">
        <v>32</v>
      </c>
      <c r="E311" s="64" t="s">
        <v>33</v>
      </c>
      <c r="F311" s="52" t="s">
        <v>637</v>
      </c>
      <c r="G311" s="91" t="s">
        <v>34</v>
      </c>
      <c r="H311" s="95" t="s">
        <v>638</v>
      </c>
      <c r="I311" s="65">
        <v>46133</v>
      </c>
      <c r="J311" s="64">
        <f t="shared" ref="J311:J313" ca="1" si="662">+TODAY()-I311</f>
        <v>51</v>
      </c>
      <c r="K311" s="64">
        <f t="shared" ref="K311:K313" si="663">+U311</f>
        <v>46148</v>
      </c>
      <c r="L311" s="52" t="s">
        <v>639</v>
      </c>
      <c r="M311" s="64">
        <v>18300</v>
      </c>
      <c r="N311" s="64">
        <v>16500</v>
      </c>
      <c r="O311" s="65">
        <v>46133</v>
      </c>
      <c r="P311" s="64">
        <f t="shared" ref="P311:P313" si="664">+M311-N311</f>
        <v>1800</v>
      </c>
      <c r="Q311" s="64" t="s">
        <v>33</v>
      </c>
      <c r="R311" s="64" t="s">
        <v>37</v>
      </c>
      <c r="S311" s="64">
        <v>21500</v>
      </c>
      <c r="T311" s="64" t="s">
        <v>1336</v>
      </c>
      <c r="U311" s="65">
        <v>46148</v>
      </c>
      <c r="V311" s="64" t="s">
        <v>28</v>
      </c>
      <c r="W311" s="64">
        <f t="shared" ref="W311:W313" si="665">+S311-M311</f>
        <v>3200</v>
      </c>
      <c r="X311" s="64" t="s">
        <v>36</v>
      </c>
      <c r="Y311" s="64" t="s">
        <v>29</v>
      </c>
      <c r="Z311" s="71">
        <f t="shared" ref="Z311:Z313" si="666">+W311*100/M311</f>
        <v>17.486338797814209</v>
      </c>
      <c r="AA311" s="93"/>
    </row>
    <row r="312" spans="1:27">
      <c r="A312" s="64">
        <f>SUBTOTAL(3,C$2:C312)</f>
        <v>311</v>
      </c>
      <c r="B312" s="64" t="s">
        <v>30</v>
      </c>
      <c r="C312" s="64" t="s">
        <v>156</v>
      </c>
      <c r="D312" s="64" t="s">
        <v>32</v>
      </c>
      <c r="E312" s="64" t="s">
        <v>33</v>
      </c>
      <c r="F312" s="52" t="s">
        <v>164</v>
      </c>
      <c r="G312" s="91" t="s">
        <v>67</v>
      </c>
      <c r="H312" s="95" t="s">
        <v>640</v>
      </c>
      <c r="I312" s="65">
        <v>46133</v>
      </c>
      <c r="J312" s="64">
        <f t="shared" ca="1" si="662"/>
        <v>51</v>
      </c>
      <c r="K312" s="64">
        <f t="shared" si="663"/>
        <v>46148</v>
      </c>
      <c r="L312" s="64" t="s">
        <v>97</v>
      </c>
      <c r="M312" s="64">
        <f>38500+3000</f>
        <v>41500</v>
      </c>
      <c r="N312" s="64">
        <v>35500</v>
      </c>
      <c r="O312" s="65">
        <v>46133</v>
      </c>
      <c r="P312" s="64">
        <f t="shared" si="664"/>
        <v>6000</v>
      </c>
      <c r="Q312" s="64" t="s">
        <v>33</v>
      </c>
      <c r="R312" s="64" t="s">
        <v>52</v>
      </c>
      <c r="S312" s="64">
        <f>5000+42000</f>
        <v>47000</v>
      </c>
      <c r="T312" s="64" t="s">
        <v>1323</v>
      </c>
      <c r="U312" s="65">
        <v>46148</v>
      </c>
      <c r="V312" s="64" t="s">
        <v>28</v>
      </c>
      <c r="W312" s="64">
        <f t="shared" si="665"/>
        <v>5500</v>
      </c>
      <c r="X312" s="64" t="s">
        <v>36</v>
      </c>
      <c r="Y312" s="64" t="s">
        <v>29</v>
      </c>
      <c r="Z312" s="71">
        <f t="shared" si="666"/>
        <v>13.253012048192771</v>
      </c>
      <c r="AA312" s="93"/>
    </row>
    <row r="313" spans="1:27">
      <c r="A313" s="64">
        <f>SUBTOTAL(3,C$2:C313)</f>
        <v>312</v>
      </c>
      <c r="B313" s="64" t="s">
        <v>30</v>
      </c>
      <c r="C313" s="64" t="s">
        <v>31</v>
      </c>
      <c r="D313" s="64" t="s">
        <v>32</v>
      </c>
      <c r="E313" s="64" t="s">
        <v>33</v>
      </c>
      <c r="F313" s="52" t="s">
        <v>641</v>
      </c>
      <c r="G313" s="91" t="s">
        <v>34</v>
      </c>
      <c r="H313" s="95" t="s">
        <v>1188</v>
      </c>
      <c r="I313" s="65">
        <v>46133</v>
      </c>
      <c r="J313" s="64">
        <f t="shared" ca="1" si="662"/>
        <v>51</v>
      </c>
      <c r="K313" s="64">
        <f t="shared" si="663"/>
        <v>46148</v>
      </c>
      <c r="L313" s="52" t="s">
        <v>2782</v>
      </c>
      <c r="M313" s="64">
        <v>18000</v>
      </c>
      <c r="N313" s="64">
        <v>16000</v>
      </c>
      <c r="O313" s="65">
        <v>46133</v>
      </c>
      <c r="P313" s="64">
        <f t="shared" si="664"/>
        <v>2000</v>
      </c>
      <c r="Q313" s="64" t="s">
        <v>33</v>
      </c>
      <c r="R313" s="64" t="s">
        <v>56</v>
      </c>
      <c r="S313" s="64">
        <v>20500</v>
      </c>
      <c r="T313" s="64" t="s">
        <v>1339</v>
      </c>
      <c r="U313" s="65">
        <v>46148</v>
      </c>
      <c r="V313" s="64" t="s">
        <v>28</v>
      </c>
      <c r="W313" s="64">
        <f t="shared" si="665"/>
        <v>2500</v>
      </c>
      <c r="X313" s="64" t="s">
        <v>36</v>
      </c>
      <c r="Y313" s="64" t="s">
        <v>29</v>
      </c>
      <c r="Z313" s="71">
        <f t="shared" si="666"/>
        <v>13.888888888888889</v>
      </c>
      <c r="AA313" s="93"/>
    </row>
    <row r="314" spans="1:27">
      <c r="A314" s="64">
        <f>SUBTOTAL(3,C$2:C314)</f>
        <v>313</v>
      </c>
      <c r="B314" s="64" t="s">
        <v>30</v>
      </c>
      <c r="C314" s="64" t="s">
        <v>31</v>
      </c>
      <c r="D314" s="64" t="s">
        <v>32</v>
      </c>
      <c r="E314" s="64" t="s">
        <v>33</v>
      </c>
      <c r="F314" s="52" t="s">
        <v>647</v>
      </c>
      <c r="G314" s="91" t="s">
        <v>34</v>
      </c>
      <c r="H314" s="95" t="s">
        <v>648</v>
      </c>
      <c r="I314" s="65">
        <v>46133</v>
      </c>
      <c r="J314" s="64">
        <f t="shared" ref="J314:J316" ca="1" si="667">+TODAY()-I314</f>
        <v>51</v>
      </c>
      <c r="K314" s="64">
        <f t="shared" ref="K314:K316" si="668">+U314</f>
        <v>46162</v>
      </c>
      <c r="L314" s="64" t="s">
        <v>47</v>
      </c>
      <c r="M314" s="64">
        <v>19000</v>
      </c>
      <c r="N314" s="64">
        <v>17000</v>
      </c>
      <c r="O314" s="65">
        <v>46133</v>
      </c>
      <c r="P314" s="64">
        <f t="shared" ref="P314:P316" si="669">+M314-N314</f>
        <v>2000</v>
      </c>
      <c r="Q314" s="64" t="s">
        <v>33</v>
      </c>
      <c r="R314" s="64" t="s">
        <v>39</v>
      </c>
      <c r="S314" s="64">
        <v>21800</v>
      </c>
      <c r="T314" s="64" t="s">
        <v>2145</v>
      </c>
      <c r="U314" s="65">
        <v>46162</v>
      </c>
      <c r="V314" s="64" t="s">
        <v>28</v>
      </c>
      <c r="W314" s="64">
        <f t="shared" ref="W314:W316" si="670">+S314-M314</f>
        <v>2800</v>
      </c>
      <c r="X314" s="64" t="s">
        <v>36</v>
      </c>
      <c r="Y314" s="64" t="s">
        <v>29</v>
      </c>
      <c r="Z314" s="71">
        <f t="shared" ref="Z314:Z316" si="671">+W314*100/M314</f>
        <v>14.736842105263158</v>
      </c>
      <c r="AA314" s="93"/>
    </row>
    <row r="315" spans="1:27">
      <c r="A315" s="64">
        <f>SUBTOTAL(3,C$2:C315)</f>
        <v>314</v>
      </c>
      <c r="B315" s="64" t="s">
        <v>30</v>
      </c>
      <c r="C315" s="64" t="s">
        <v>44</v>
      </c>
      <c r="D315" s="64" t="s">
        <v>32</v>
      </c>
      <c r="E315" s="64" t="s">
        <v>33</v>
      </c>
      <c r="F315" s="52" t="s">
        <v>359</v>
      </c>
      <c r="G315" s="91">
        <v>407</v>
      </c>
      <c r="H315" s="95" t="s">
        <v>634</v>
      </c>
      <c r="I315" s="65">
        <v>46132</v>
      </c>
      <c r="J315" s="64">
        <f t="shared" ca="1" si="667"/>
        <v>52</v>
      </c>
      <c r="K315" s="64">
        <f t="shared" si="668"/>
        <v>46170</v>
      </c>
      <c r="L315" s="52" t="s">
        <v>381</v>
      </c>
      <c r="M315" s="64">
        <v>27000</v>
      </c>
      <c r="N315" s="64">
        <v>25000</v>
      </c>
      <c r="O315" s="65">
        <v>46133</v>
      </c>
      <c r="P315" s="64">
        <f t="shared" si="669"/>
        <v>2000</v>
      </c>
      <c r="Q315" s="64" t="s">
        <v>33</v>
      </c>
      <c r="R315" s="64" t="s">
        <v>78</v>
      </c>
      <c r="S315" s="64">
        <v>29800</v>
      </c>
      <c r="T315" s="64" t="s">
        <v>2662</v>
      </c>
      <c r="U315" s="65">
        <v>46170</v>
      </c>
      <c r="V315" s="64" t="s">
        <v>28</v>
      </c>
      <c r="W315" s="64">
        <f t="shared" si="670"/>
        <v>2800</v>
      </c>
      <c r="X315" s="64" t="s">
        <v>36</v>
      </c>
      <c r="Y315" s="64" t="s">
        <v>29</v>
      </c>
      <c r="Z315" s="71">
        <f t="shared" si="671"/>
        <v>10.37037037037037</v>
      </c>
      <c r="AA315" s="93"/>
    </row>
    <row r="316" spans="1:27">
      <c r="A316" s="64">
        <f>SUBTOTAL(3,C$2:C316)</f>
        <v>315</v>
      </c>
      <c r="B316" s="64" t="s">
        <v>30</v>
      </c>
      <c r="C316" s="64" t="s">
        <v>44</v>
      </c>
      <c r="D316" s="64" t="s">
        <v>32</v>
      </c>
      <c r="E316" s="64" t="s">
        <v>33</v>
      </c>
      <c r="F316" s="52" t="s">
        <v>352</v>
      </c>
      <c r="G316" s="91">
        <v>407</v>
      </c>
      <c r="H316" s="95" t="s">
        <v>649</v>
      </c>
      <c r="I316" s="65">
        <v>46133</v>
      </c>
      <c r="J316" s="64">
        <f t="shared" ca="1" si="667"/>
        <v>51</v>
      </c>
      <c r="K316" s="64">
        <f t="shared" si="668"/>
        <v>46148</v>
      </c>
      <c r="L316" s="52" t="s">
        <v>381</v>
      </c>
      <c r="M316" s="64">
        <v>28000</v>
      </c>
      <c r="N316" s="64">
        <v>25000</v>
      </c>
      <c r="O316" s="65">
        <v>46133</v>
      </c>
      <c r="P316" s="64">
        <f t="shared" si="669"/>
        <v>3000</v>
      </c>
      <c r="Q316" s="64" t="s">
        <v>33</v>
      </c>
      <c r="R316" s="64" t="s">
        <v>56</v>
      </c>
      <c r="S316" s="64">
        <v>30800</v>
      </c>
      <c r="T316" s="64" t="s">
        <v>1343</v>
      </c>
      <c r="U316" s="65">
        <v>46148</v>
      </c>
      <c r="V316" s="64" t="s">
        <v>28</v>
      </c>
      <c r="W316" s="64">
        <f t="shared" si="670"/>
        <v>2800</v>
      </c>
      <c r="X316" s="64" t="s">
        <v>36</v>
      </c>
      <c r="Y316" s="64" t="s">
        <v>29</v>
      </c>
      <c r="Z316" s="71">
        <f t="shared" si="671"/>
        <v>10</v>
      </c>
      <c r="AA316" s="93"/>
    </row>
    <row r="317" spans="1:27">
      <c r="A317" s="64">
        <f>SUBTOTAL(3,C$2:C317)</f>
        <v>316</v>
      </c>
      <c r="B317" s="64" t="s">
        <v>30</v>
      </c>
      <c r="C317" s="64" t="s">
        <v>31</v>
      </c>
      <c r="D317" s="64" t="s">
        <v>32</v>
      </c>
      <c r="E317" s="64" t="s">
        <v>33</v>
      </c>
      <c r="F317" s="52" t="s">
        <v>650</v>
      </c>
      <c r="G317" s="91" t="s">
        <v>34</v>
      </c>
      <c r="H317" s="95" t="s">
        <v>651</v>
      </c>
      <c r="I317" s="65">
        <v>46133</v>
      </c>
      <c r="J317" s="64">
        <f t="shared" ref="J317" ca="1" si="672">+TODAY()-I317</f>
        <v>51</v>
      </c>
      <c r="K317" s="64">
        <f t="shared" ref="K317" si="673">+U317</f>
        <v>46148</v>
      </c>
      <c r="L317" s="52" t="s">
        <v>519</v>
      </c>
      <c r="M317" s="64">
        <v>18300</v>
      </c>
      <c r="N317" s="64">
        <v>16500</v>
      </c>
      <c r="O317" s="65">
        <v>46133</v>
      </c>
      <c r="P317" s="64">
        <f t="shared" ref="P317" si="674">+M317-N317</f>
        <v>1800</v>
      </c>
      <c r="Q317" s="64" t="s">
        <v>33</v>
      </c>
      <c r="R317" s="64" t="s">
        <v>37</v>
      </c>
      <c r="S317" s="64">
        <v>21500</v>
      </c>
      <c r="T317" s="64" t="s">
        <v>1334</v>
      </c>
      <c r="U317" s="65">
        <v>46148</v>
      </c>
      <c r="V317" s="64" t="s">
        <v>28</v>
      </c>
      <c r="W317" s="64">
        <f t="shared" ref="W317" si="675">+S317-M317</f>
        <v>3200</v>
      </c>
      <c r="X317" s="64" t="s">
        <v>36</v>
      </c>
      <c r="Y317" s="64" t="s">
        <v>29</v>
      </c>
      <c r="Z317" s="71">
        <f t="shared" ref="Z317" si="676">+W317*100/M317</f>
        <v>17.486338797814209</v>
      </c>
      <c r="AA317" s="93"/>
    </row>
    <row r="318" spans="1:27">
      <c r="A318" s="64">
        <f>SUBTOTAL(3,C$2:C318)</f>
        <v>317</v>
      </c>
      <c r="B318" s="64" t="s">
        <v>30</v>
      </c>
      <c r="C318" s="64" t="s">
        <v>31</v>
      </c>
      <c r="D318" s="64" t="s">
        <v>32</v>
      </c>
      <c r="E318" s="64" t="s">
        <v>33</v>
      </c>
      <c r="F318" s="52" t="s">
        <v>666</v>
      </c>
      <c r="G318" s="91" t="s">
        <v>34</v>
      </c>
      <c r="H318" s="95" t="s">
        <v>667</v>
      </c>
      <c r="I318" s="65">
        <v>46132</v>
      </c>
      <c r="J318" s="64">
        <f t="shared" ref="J318:J319" ca="1" si="677">+TODAY()-I318</f>
        <v>52</v>
      </c>
      <c r="K318" s="64">
        <f t="shared" ref="K318:K319" si="678">+U318</f>
        <v>46163</v>
      </c>
      <c r="L318" s="52" t="s">
        <v>2782</v>
      </c>
      <c r="M318" s="64">
        <v>18000</v>
      </c>
      <c r="N318" s="64">
        <v>16000</v>
      </c>
      <c r="O318" s="65">
        <v>46134</v>
      </c>
      <c r="P318" s="64">
        <f t="shared" ref="P318:P319" si="679">+M318-N318</f>
        <v>2000</v>
      </c>
      <c r="Q318" s="64" t="s">
        <v>33</v>
      </c>
      <c r="R318" s="64" t="s">
        <v>56</v>
      </c>
      <c r="S318" s="64">
        <v>20500</v>
      </c>
      <c r="T318" s="64" t="s">
        <v>2183</v>
      </c>
      <c r="U318" s="65">
        <v>46163</v>
      </c>
      <c r="V318" s="64" t="s">
        <v>28</v>
      </c>
      <c r="W318" s="64">
        <f t="shared" ref="W318:W319" si="680">+S318-M318</f>
        <v>2500</v>
      </c>
      <c r="X318" s="64" t="s">
        <v>36</v>
      </c>
      <c r="Y318" s="64" t="s">
        <v>29</v>
      </c>
      <c r="Z318" s="71">
        <f t="shared" ref="Z318:Z319" si="681">+W318*100/M318</f>
        <v>13.888888888888889</v>
      </c>
      <c r="AA318" s="93"/>
    </row>
    <row r="319" spans="1:27">
      <c r="A319" s="64">
        <f>SUBTOTAL(3,C$2:C319)</f>
        <v>318</v>
      </c>
      <c r="B319" s="64" t="s">
        <v>30</v>
      </c>
      <c r="C319" s="64" t="s">
        <v>44</v>
      </c>
      <c r="D319" s="64" t="s">
        <v>32</v>
      </c>
      <c r="E319" s="64" t="s">
        <v>33</v>
      </c>
      <c r="F319" s="52" t="s">
        <v>669</v>
      </c>
      <c r="G319" s="91" t="s">
        <v>46</v>
      </c>
      <c r="H319" s="95" t="s">
        <v>670</v>
      </c>
      <c r="I319" s="65">
        <v>46133</v>
      </c>
      <c r="J319" s="64">
        <f t="shared" ca="1" si="677"/>
        <v>51</v>
      </c>
      <c r="K319" s="64">
        <f t="shared" si="678"/>
        <v>46148</v>
      </c>
      <c r="L319" s="52" t="s">
        <v>397</v>
      </c>
      <c r="M319" s="64">
        <v>18300</v>
      </c>
      <c r="N319" s="64">
        <v>16300</v>
      </c>
      <c r="O319" s="65">
        <v>46134</v>
      </c>
      <c r="P319" s="64">
        <f t="shared" si="679"/>
        <v>2000</v>
      </c>
      <c r="Q319" s="64" t="s">
        <v>33</v>
      </c>
      <c r="R319" s="64" t="s">
        <v>37</v>
      </c>
      <c r="S319" s="64">
        <v>21500</v>
      </c>
      <c r="T319" s="64" t="s">
        <v>1336</v>
      </c>
      <c r="U319" s="65">
        <v>46148</v>
      </c>
      <c r="V319" s="64" t="s">
        <v>28</v>
      </c>
      <c r="W319" s="64">
        <f t="shared" si="680"/>
        <v>3200</v>
      </c>
      <c r="X319" s="64" t="s">
        <v>36</v>
      </c>
      <c r="Y319" s="64" t="s">
        <v>29</v>
      </c>
      <c r="Z319" s="71">
        <f t="shared" si="681"/>
        <v>17.486338797814209</v>
      </c>
      <c r="AA319" s="93"/>
    </row>
    <row r="320" spans="1:27">
      <c r="A320" s="64">
        <f>SUBTOTAL(3,C$2:C320)</f>
        <v>319</v>
      </c>
      <c r="B320" s="64" t="s">
        <v>30</v>
      </c>
      <c r="C320" s="64" t="s">
        <v>31</v>
      </c>
      <c r="D320" s="64" t="s">
        <v>32</v>
      </c>
      <c r="E320" s="64" t="s">
        <v>33</v>
      </c>
      <c r="F320" s="52" t="s">
        <v>671</v>
      </c>
      <c r="G320" s="91" t="s">
        <v>34</v>
      </c>
      <c r="H320" s="95" t="s">
        <v>672</v>
      </c>
      <c r="I320" s="65">
        <v>46133</v>
      </c>
      <c r="J320" s="64">
        <f t="shared" ref="J320:J321" ca="1" si="682">+TODAY()-I320</f>
        <v>51</v>
      </c>
      <c r="K320" s="64" t="str">
        <f t="shared" ref="K320:K321" si="683">+U320</f>
        <v>Pending</v>
      </c>
      <c r="L320" s="64" t="s">
        <v>88</v>
      </c>
      <c r="M320" s="64">
        <v>23300</v>
      </c>
      <c r="N320" s="64">
        <v>21500</v>
      </c>
      <c r="O320" s="65">
        <v>46134</v>
      </c>
      <c r="P320" s="64">
        <f t="shared" ref="P320:P321" si="684">+M320-N320</f>
        <v>1800</v>
      </c>
      <c r="Q320" s="64" t="s">
        <v>33</v>
      </c>
      <c r="R320" s="64" t="s">
        <v>37</v>
      </c>
      <c r="S320" s="64">
        <v>26000</v>
      </c>
      <c r="T320" s="64" t="s">
        <v>33</v>
      </c>
      <c r="U320" s="65" t="s">
        <v>33</v>
      </c>
      <c r="V320" s="64" t="s">
        <v>28</v>
      </c>
      <c r="W320" s="64">
        <f t="shared" ref="W320:W321" si="685">+S320-M320</f>
        <v>2700</v>
      </c>
      <c r="X320" s="64" t="s">
        <v>36</v>
      </c>
      <c r="Y320" s="64" t="s">
        <v>29</v>
      </c>
      <c r="Z320" s="71">
        <f t="shared" ref="Z320:Z321" si="686">+W320*100/M320</f>
        <v>11.587982832618026</v>
      </c>
      <c r="AA320" s="93"/>
    </row>
    <row r="321" spans="1:27">
      <c r="A321" s="64">
        <f>SUBTOTAL(3,C$2:C321)</f>
        <v>320</v>
      </c>
      <c r="B321" s="64" t="s">
        <v>30</v>
      </c>
      <c r="C321" s="64" t="s">
        <v>44</v>
      </c>
      <c r="D321" s="64" t="s">
        <v>32</v>
      </c>
      <c r="E321" s="64" t="s">
        <v>33</v>
      </c>
      <c r="F321" s="52" t="s">
        <v>240</v>
      </c>
      <c r="G321" s="91" t="s">
        <v>46</v>
      </c>
      <c r="H321" s="52" t="s">
        <v>673</v>
      </c>
      <c r="I321" s="65">
        <v>46133</v>
      </c>
      <c r="J321" s="64">
        <f t="shared" ca="1" si="682"/>
        <v>51</v>
      </c>
      <c r="K321" s="64" t="str">
        <f t="shared" si="683"/>
        <v>Pending</v>
      </c>
      <c r="L321" s="64" t="s">
        <v>47</v>
      </c>
      <c r="M321" s="64">
        <v>19000</v>
      </c>
      <c r="N321" s="64">
        <v>17000</v>
      </c>
      <c r="O321" s="65">
        <v>46134</v>
      </c>
      <c r="P321" s="64">
        <f t="shared" si="684"/>
        <v>2000</v>
      </c>
      <c r="Q321" s="64" t="s">
        <v>33</v>
      </c>
      <c r="R321" s="64" t="s">
        <v>39</v>
      </c>
      <c r="S321" s="64">
        <v>21800</v>
      </c>
      <c r="T321" s="64" t="s">
        <v>33</v>
      </c>
      <c r="U321" s="65" t="s">
        <v>33</v>
      </c>
      <c r="V321" s="64" t="s">
        <v>28</v>
      </c>
      <c r="W321" s="64">
        <f t="shared" si="685"/>
        <v>2800</v>
      </c>
      <c r="X321" s="64" t="s">
        <v>36</v>
      </c>
      <c r="Y321" s="64" t="s">
        <v>29</v>
      </c>
      <c r="Z321" s="71">
        <f t="shared" si="686"/>
        <v>14.736842105263158</v>
      </c>
      <c r="AA321" s="93"/>
    </row>
    <row r="322" spans="1:27">
      <c r="A322" s="64">
        <f>SUBTOTAL(3,C$2:C322)</f>
        <v>321</v>
      </c>
      <c r="B322" s="64" t="s">
        <v>30</v>
      </c>
      <c r="C322" s="64" t="s">
        <v>31</v>
      </c>
      <c r="D322" s="64" t="s">
        <v>32</v>
      </c>
      <c r="E322" s="64" t="s">
        <v>33</v>
      </c>
      <c r="F322" s="52" t="s">
        <v>674</v>
      </c>
      <c r="G322" s="91" t="s">
        <v>34</v>
      </c>
      <c r="H322" s="95" t="s">
        <v>675</v>
      </c>
      <c r="I322" s="65">
        <v>46133</v>
      </c>
      <c r="J322" s="64">
        <f t="shared" ref="J322" ca="1" si="687">+TODAY()-I322</f>
        <v>51</v>
      </c>
      <c r="K322" s="64">
        <f t="shared" ref="K322" si="688">+U322</f>
        <v>46163</v>
      </c>
      <c r="L322" s="52" t="s">
        <v>2782</v>
      </c>
      <c r="M322" s="64">
        <v>18000</v>
      </c>
      <c r="N322" s="64">
        <v>16000</v>
      </c>
      <c r="O322" s="65">
        <v>46134</v>
      </c>
      <c r="P322" s="64">
        <f t="shared" ref="P322" si="689">+M322-N322</f>
        <v>2000</v>
      </c>
      <c r="Q322" s="64" t="s">
        <v>33</v>
      </c>
      <c r="R322" s="64" t="s">
        <v>56</v>
      </c>
      <c r="S322" s="64">
        <v>20500</v>
      </c>
      <c r="T322" s="64" t="s">
        <v>2183</v>
      </c>
      <c r="U322" s="65">
        <v>46163</v>
      </c>
      <c r="V322" s="64" t="s">
        <v>28</v>
      </c>
      <c r="W322" s="64">
        <f t="shared" ref="W322" si="690">+S322-M322</f>
        <v>2500</v>
      </c>
      <c r="X322" s="64" t="s">
        <v>36</v>
      </c>
      <c r="Y322" s="64" t="s">
        <v>29</v>
      </c>
      <c r="Z322" s="71">
        <f t="shared" ref="Z322" si="691">+W322*100/M322</f>
        <v>13.888888888888889</v>
      </c>
      <c r="AA322" s="93"/>
    </row>
    <row r="323" spans="1:27">
      <c r="A323" s="64">
        <f>SUBTOTAL(3,C$2:C323)</f>
        <v>322</v>
      </c>
      <c r="B323" s="64" t="s">
        <v>30</v>
      </c>
      <c r="C323" s="64" t="s">
        <v>31</v>
      </c>
      <c r="D323" s="64" t="s">
        <v>32</v>
      </c>
      <c r="E323" s="64" t="s">
        <v>33</v>
      </c>
      <c r="F323" s="52" t="s">
        <v>676</v>
      </c>
      <c r="G323" s="91" t="s">
        <v>34</v>
      </c>
      <c r="H323" s="95" t="s">
        <v>677</v>
      </c>
      <c r="I323" s="65">
        <v>46133</v>
      </c>
      <c r="J323" s="64">
        <f t="shared" ref="J323" ca="1" si="692">+TODAY()-I323</f>
        <v>51</v>
      </c>
      <c r="K323" s="64">
        <f t="shared" ref="K323" si="693">+U323</f>
        <v>46148</v>
      </c>
      <c r="L323" s="52" t="s">
        <v>2782</v>
      </c>
      <c r="M323" s="64">
        <v>18000</v>
      </c>
      <c r="N323" s="64">
        <v>16000</v>
      </c>
      <c r="O323" s="65">
        <v>46134</v>
      </c>
      <c r="P323" s="64">
        <f t="shared" ref="P323" si="694">+M323-N323</f>
        <v>2000</v>
      </c>
      <c r="Q323" s="64" t="s">
        <v>33</v>
      </c>
      <c r="R323" s="64" t="s">
        <v>56</v>
      </c>
      <c r="S323" s="64">
        <v>20500</v>
      </c>
      <c r="T323" s="64" t="s">
        <v>1342</v>
      </c>
      <c r="U323" s="65">
        <v>46148</v>
      </c>
      <c r="V323" s="64" t="s">
        <v>28</v>
      </c>
      <c r="W323" s="64">
        <f t="shared" ref="W323" si="695">+S323-M323</f>
        <v>2500</v>
      </c>
      <c r="X323" s="64" t="s">
        <v>36</v>
      </c>
      <c r="Y323" s="64" t="s">
        <v>29</v>
      </c>
      <c r="Z323" s="71">
        <f t="shared" ref="Z323" si="696">+W323*100/M323</f>
        <v>13.888888888888889</v>
      </c>
      <c r="AA323" s="93"/>
    </row>
    <row r="324" spans="1:27">
      <c r="A324" s="64">
        <f>SUBTOTAL(3,C$2:C324)</f>
        <v>323</v>
      </c>
      <c r="B324" s="64" t="s">
        <v>30</v>
      </c>
      <c r="C324" s="64" t="s">
        <v>31</v>
      </c>
      <c r="D324" s="64" t="s">
        <v>32</v>
      </c>
      <c r="E324" s="64" t="s">
        <v>33</v>
      </c>
      <c r="F324" s="52" t="s">
        <v>148</v>
      </c>
      <c r="G324" s="91" t="s">
        <v>34</v>
      </c>
      <c r="H324" s="95" t="s">
        <v>679</v>
      </c>
      <c r="I324" s="65">
        <v>46133</v>
      </c>
      <c r="J324" s="64">
        <f t="shared" ref="J324:J326" ca="1" si="697">+TODAY()-I324</f>
        <v>51</v>
      </c>
      <c r="K324" s="64">
        <f t="shared" ref="K324:K326" si="698">+U324</f>
        <v>46162</v>
      </c>
      <c r="L324" s="64" t="s">
        <v>47</v>
      </c>
      <c r="M324" s="64">
        <v>19000</v>
      </c>
      <c r="N324" s="64">
        <v>17000</v>
      </c>
      <c r="O324" s="65">
        <v>46134</v>
      </c>
      <c r="P324" s="64">
        <f t="shared" ref="P324:P326" si="699">+M324-N324</f>
        <v>2000</v>
      </c>
      <c r="Q324" s="64" t="s">
        <v>33</v>
      </c>
      <c r="R324" s="64" t="s">
        <v>39</v>
      </c>
      <c r="S324" s="64">
        <v>21800</v>
      </c>
      <c r="T324" s="64" t="s">
        <v>2145</v>
      </c>
      <c r="U324" s="65">
        <v>46162</v>
      </c>
      <c r="V324" s="64" t="s">
        <v>28</v>
      </c>
      <c r="W324" s="64">
        <f t="shared" ref="W324:W326" si="700">+S324-M324</f>
        <v>2800</v>
      </c>
      <c r="X324" s="64" t="s">
        <v>36</v>
      </c>
      <c r="Y324" s="64" t="s">
        <v>29</v>
      </c>
      <c r="Z324" s="71">
        <f t="shared" ref="Z324:Z326" si="701">+W324*100/M324</f>
        <v>14.736842105263158</v>
      </c>
      <c r="AA324" s="93"/>
    </row>
    <row r="325" spans="1:27">
      <c r="A325" s="64">
        <f>SUBTOTAL(3,C$2:C325)</f>
        <v>324</v>
      </c>
      <c r="B325" s="64" t="s">
        <v>30</v>
      </c>
      <c r="C325" s="64" t="s">
        <v>185</v>
      </c>
      <c r="D325" s="64" t="s">
        <v>32</v>
      </c>
      <c r="E325" s="64" t="s">
        <v>33</v>
      </c>
      <c r="F325" s="52" t="s">
        <v>183</v>
      </c>
      <c r="G325" s="91" t="s">
        <v>50</v>
      </c>
      <c r="H325" s="95" t="s">
        <v>680</v>
      </c>
      <c r="I325" s="65">
        <v>46133</v>
      </c>
      <c r="J325" s="64">
        <f t="shared" ca="1" si="697"/>
        <v>51</v>
      </c>
      <c r="K325" s="64">
        <f t="shared" si="698"/>
        <v>46118</v>
      </c>
      <c r="L325" s="52" t="s">
        <v>79</v>
      </c>
      <c r="M325" s="64">
        <f>3000+44000</f>
        <v>47000</v>
      </c>
      <c r="N325" s="64">
        <v>40000</v>
      </c>
      <c r="O325" s="65">
        <v>46134</v>
      </c>
      <c r="P325" s="64">
        <f t="shared" si="699"/>
        <v>7000</v>
      </c>
      <c r="Q325" s="64" t="s">
        <v>33</v>
      </c>
      <c r="R325" s="64" t="s">
        <v>52</v>
      </c>
      <c r="S325" s="64">
        <f>5000+48000</f>
        <v>53000</v>
      </c>
      <c r="T325" s="64" t="s">
        <v>1324</v>
      </c>
      <c r="U325" s="65">
        <v>46118</v>
      </c>
      <c r="V325" s="64" t="s">
        <v>28</v>
      </c>
      <c r="W325" s="64">
        <f t="shared" si="700"/>
        <v>6000</v>
      </c>
      <c r="X325" s="64" t="s">
        <v>36</v>
      </c>
      <c r="Y325" s="64" t="s">
        <v>29</v>
      </c>
      <c r="Z325" s="71">
        <f t="shared" si="701"/>
        <v>12.76595744680851</v>
      </c>
      <c r="AA325" s="93"/>
    </row>
    <row r="326" spans="1:27">
      <c r="A326" s="64">
        <f>SUBTOTAL(3,C$2:C326)</f>
        <v>325</v>
      </c>
      <c r="B326" s="64" t="s">
        <v>30</v>
      </c>
      <c r="C326" s="64" t="s">
        <v>44</v>
      </c>
      <c r="D326" s="64" t="s">
        <v>32</v>
      </c>
      <c r="E326" s="64" t="s">
        <v>33</v>
      </c>
      <c r="F326" s="52" t="s">
        <v>681</v>
      </c>
      <c r="G326" s="91">
        <v>407</v>
      </c>
      <c r="H326" s="95" t="s">
        <v>682</v>
      </c>
      <c r="I326" s="65">
        <v>46133</v>
      </c>
      <c r="J326" s="64">
        <f t="shared" ca="1" si="697"/>
        <v>51</v>
      </c>
      <c r="K326" s="64">
        <f t="shared" si="698"/>
        <v>46170</v>
      </c>
      <c r="L326" s="64" t="s">
        <v>84</v>
      </c>
      <c r="M326" s="64">
        <v>27000</v>
      </c>
      <c r="N326" s="64">
        <v>25000</v>
      </c>
      <c r="O326" s="65">
        <v>46134</v>
      </c>
      <c r="P326" s="64">
        <f t="shared" si="699"/>
        <v>2000</v>
      </c>
      <c r="Q326" s="64" t="s">
        <v>33</v>
      </c>
      <c r="R326" s="64" t="s">
        <v>78</v>
      </c>
      <c r="S326" s="64">
        <v>29800</v>
      </c>
      <c r="T326" s="64" t="s">
        <v>2662</v>
      </c>
      <c r="U326" s="65">
        <v>46170</v>
      </c>
      <c r="V326" s="64" t="s">
        <v>28</v>
      </c>
      <c r="W326" s="64">
        <f t="shared" si="700"/>
        <v>2800</v>
      </c>
      <c r="X326" s="64" t="s">
        <v>36</v>
      </c>
      <c r="Y326" s="64" t="s">
        <v>29</v>
      </c>
      <c r="Z326" s="71">
        <f t="shared" si="701"/>
        <v>10.37037037037037</v>
      </c>
      <c r="AA326" s="93"/>
    </row>
    <row r="327" spans="1:27">
      <c r="A327" s="64">
        <f>SUBTOTAL(3,C$2:C327)</f>
        <v>326</v>
      </c>
      <c r="B327" s="64" t="s">
        <v>30</v>
      </c>
      <c r="C327" s="64" t="s">
        <v>31</v>
      </c>
      <c r="D327" s="64" t="s">
        <v>32</v>
      </c>
      <c r="E327" s="64" t="s">
        <v>33</v>
      </c>
      <c r="F327" s="52" t="s">
        <v>205</v>
      </c>
      <c r="G327" s="91" t="s">
        <v>34</v>
      </c>
      <c r="H327" s="95" t="s">
        <v>683</v>
      </c>
      <c r="I327" s="65">
        <v>46134</v>
      </c>
      <c r="J327" s="64">
        <f t="shared" ref="J327:J328" ca="1" si="702">+TODAY()-I327</f>
        <v>50</v>
      </c>
      <c r="K327" s="64">
        <f t="shared" ref="K327:K328" si="703">+U327</f>
        <v>46162</v>
      </c>
      <c r="L327" s="64" t="s">
        <v>47</v>
      </c>
      <c r="M327" s="64">
        <v>19000</v>
      </c>
      <c r="N327" s="64">
        <v>17000</v>
      </c>
      <c r="O327" s="65">
        <v>46134</v>
      </c>
      <c r="P327" s="64">
        <f t="shared" ref="P327:P328" si="704">+M327-N327</f>
        <v>2000</v>
      </c>
      <c r="Q327" s="64" t="s">
        <v>33</v>
      </c>
      <c r="R327" s="64" t="s">
        <v>39</v>
      </c>
      <c r="S327" s="64">
        <v>21800</v>
      </c>
      <c r="T327" s="64" t="s">
        <v>2145</v>
      </c>
      <c r="U327" s="65">
        <v>46162</v>
      </c>
      <c r="V327" s="64" t="s">
        <v>28</v>
      </c>
      <c r="W327" s="64">
        <f t="shared" ref="W327:W328" si="705">+S327-M327</f>
        <v>2800</v>
      </c>
      <c r="X327" s="64" t="s">
        <v>36</v>
      </c>
      <c r="Y327" s="64" t="s">
        <v>29</v>
      </c>
      <c r="Z327" s="71">
        <f t="shared" ref="Z327:Z328" si="706">+W327*100/M327</f>
        <v>14.736842105263158</v>
      </c>
      <c r="AA327" s="93"/>
    </row>
    <row r="328" spans="1:27">
      <c r="A328" s="64">
        <f>SUBTOTAL(3,C$2:C328)</f>
        <v>327</v>
      </c>
      <c r="B328" s="64" t="s">
        <v>30</v>
      </c>
      <c r="C328" s="64" t="s">
        <v>44</v>
      </c>
      <c r="D328" s="64" t="s">
        <v>32</v>
      </c>
      <c r="E328" s="64" t="s">
        <v>33</v>
      </c>
      <c r="F328" s="52" t="s">
        <v>684</v>
      </c>
      <c r="G328" s="91" t="s">
        <v>46</v>
      </c>
      <c r="H328" s="95" t="s">
        <v>685</v>
      </c>
      <c r="I328" s="65">
        <v>46134</v>
      </c>
      <c r="J328" s="64">
        <f t="shared" ca="1" si="702"/>
        <v>50</v>
      </c>
      <c r="K328" s="64">
        <f t="shared" si="703"/>
        <v>46148</v>
      </c>
      <c r="L328" s="52" t="s">
        <v>397</v>
      </c>
      <c r="M328" s="64">
        <v>18300</v>
      </c>
      <c r="N328" s="64">
        <v>16300</v>
      </c>
      <c r="O328" s="65">
        <v>46134</v>
      </c>
      <c r="P328" s="64">
        <f t="shared" si="704"/>
        <v>2000</v>
      </c>
      <c r="Q328" s="64" t="s">
        <v>33</v>
      </c>
      <c r="R328" s="64" t="s">
        <v>37</v>
      </c>
      <c r="S328" s="64">
        <v>21500</v>
      </c>
      <c r="T328" s="64" t="s">
        <v>1336</v>
      </c>
      <c r="U328" s="65">
        <v>46148</v>
      </c>
      <c r="V328" s="64" t="s">
        <v>28</v>
      </c>
      <c r="W328" s="64">
        <f t="shared" si="705"/>
        <v>3200</v>
      </c>
      <c r="X328" s="64" t="s">
        <v>36</v>
      </c>
      <c r="Y328" s="64" t="s">
        <v>29</v>
      </c>
      <c r="Z328" s="71">
        <f t="shared" si="706"/>
        <v>17.486338797814209</v>
      </c>
      <c r="AA328" s="93"/>
    </row>
    <row r="329" spans="1:27">
      <c r="A329" s="64">
        <f>SUBTOTAL(3,C$2:C329)</f>
        <v>328</v>
      </c>
      <c r="B329" s="64" t="s">
        <v>30</v>
      </c>
      <c r="C329" s="64" t="s">
        <v>44</v>
      </c>
      <c r="D329" s="64" t="s">
        <v>32</v>
      </c>
      <c r="E329" s="64" t="s">
        <v>33</v>
      </c>
      <c r="F329" s="52" t="s">
        <v>331</v>
      </c>
      <c r="G329" s="91">
        <v>407</v>
      </c>
      <c r="H329" s="95" t="s">
        <v>686</v>
      </c>
      <c r="I329" s="65">
        <v>46134</v>
      </c>
      <c r="J329" s="64">
        <f t="shared" ref="J329:J330" ca="1" si="707">+TODAY()-I329</f>
        <v>50</v>
      </c>
      <c r="K329" s="64">
        <f t="shared" ref="K329:K330" si="708">+U329</f>
        <v>46148</v>
      </c>
      <c r="L329" s="64" t="s">
        <v>239</v>
      </c>
      <c r="M329" s="64">
        <v>29500</v>
      </c>
      <c r="N329" s="64">
        <v>27500</v>
      </c>
      <c r="O329" s="65">
        <v>46134</v>
      </c>
      <c r="P329" s="64">
        <f t="shared" ref="P329:P330" si="709">+M329-N329</f>
        <v>2000</v>
      </c>
      <c r="Q329" s="64" t="s">
        <v>33</v>
      </c>
      <c r="R329" s="64" t="s">
        <v>52</v>
      </c>
      <c r="S329" s="64">
        <v>32500</v>
      </c>
      <c r="T329" s="64" t="s">
        <v>1325</v>
      </c>
      <c r="U329" s="65">
        <v>46148</v>
      </c>
      <c r="V329" s="64" t="s">
        <v>28</v>
      </c>
      <c r="W329" s="64">
        <f t="shared" ref="W329:W330" si="710">+S329-M329</f>
        <v>3000</v>
      </c>
      <c r="X329" s="64" t="s">
        <v>36</v>
      </c>
      <c r="Y329" s="64" t="s">
        <v>29</v>
      </c>
      <c r="Z329" s="71">
        <f t="shared" ref="Z329:Z330" si="711">+W329*100/M329</f>
        <v>10.169491525423728</v>
      </c>
      <c r="AA329" s="93"/>
    </row>
    <row r="330" spans="1:27">
      <c r="A330" s="64">
        <f>SUBTOTAL(3,C$2:C330)</f>
        <v>329</v>
      </c>
      <c r="B330" s="64" t="s">
        <v>30</v>
      </c>
      <c r="C330" s="64" t="s">
        <v>31</v>
      </c>
      <c r="D330" s="64" t="s">
        <v>32</v>
      </c>
      <c r="E330" s="64" t="s">
        <v>33</v>
      </c>
      <c r="F330" s="52" t="s">
        <v>255</v>
      </c>
      <c r="G330" s="91" t="s">
        <v>34</v>
      </c>
      <c r="H330" s="95" t="s">
        <v>688</v>
      </c>
      <c r="I330" s="65">
        <v>46134</v>
      </c>
      <c r="J330" s="64">
        <f t="shared" ca="1" si="707"/>
        <v>50</v>
      </c>
      <c r="K330" s="64">
        <f t="shared" si="708"/>
        <v>46162</v>
      </c>
      <c r="L330" s="64" t="s">
        <v>47</v>
      </c>
      <c r="M330" s="64">
        <v>19000</v>
      </c>
      <c r="N330" s="64">
        <v>17000</v>
      </c>
      <c r="O330" s="65">
        <v>46134</v>
      </c>
      <c r="P330" s="64">
        <f t="shared" si="709"/>
        <v>2000</v>
      </c>
      <c r="Q330" s="64" t="s">
        <v>33</v>
      </c>
      <c r="R330" s="64" t="s">
        <v>39</v>
      </c>
      <c r="S330" s="64">
        <v>21800</v>
      </c>
      <c r="T330" s="64" t="s">
        <v>2145</v>
      </c>
      <c r="U330" s="65">
        <v>46162</v>
      </c>
      <c r="V330" s="64" t="s">
        <v>28</v>
      </c>
      <c r="W330" s="64">
        <f t="shared" si="710"/>
        <v>2800</v>
      </c>
      <c r="X330" s="64" t="s">
        <v>36</v>
      </c>
      <c r="Y330" s="64" t="s">
        <v>29</v>
      </c>
      <c r="Z330" s="71">
        <f t="shared" si="711"/>
        <v>14.736842105263158</v>
      </c>
      <c r="AA330" s="93"/>
    </row>
    <row r="331" spans="1:27">
      <c r="A331" s="64">
        <f>SUBTOTAL(3,C$2:C331)</f>
        <v>330</v>
      </c>
      <c r="B331" s="64" t="s">
        <v>30</v>
      </c>
      <c r="C331" s="64" t="s">
        <v>31</v>
      </c>
      <c r="D331" s="64" t="s">
        <v>32</v>
      </c>
      <c r="E331" s="64" t="s">
        <v>33</v>
      </c>
      <c r="F331" s="52" t="s">
        <v>419</v>
      </c>
      <c r="G331" s="91" t="s">
        <v>34</v>
      </c>
      <c r="H331" s="95" t="s">
        <v>689</v>
      </c>
      <c r="I331" s="65">
        <v>46134</v>
      </c>
      <c r="J331" s="64">
        <f t="shared" ref="J331:J332" ca="1" si="712">+TODAY()-I331</f>
        <v>50</v>
      </c>
      <c r="K331" s="64">
        <f t="shared" ref="K331:K332" si="713">+U331</f>
        <v>46162</v>
      </c>
      <c r="L331" s="64" t="s">
        <v>47</v>
      </c>
      <c r="M331" s="64">
        <v>19000</v>
      </c>
      <c r="N331" s="64">
        <v>17000</v>
      </c>
      <c r="O331" s="65">
        <v>46134</v>
      </c>
      <c r="P331" s="64">
        <f t="shared" ref="P331:P332" si="714">+M331-N331</f>
        <v>2000</v>
      </c>
      <c r="Q331" s="64" t="s">
        <v>33</v>
      </c>
      <c r="R331" s="64" t="s">
        <v>39</v>
      </c>
      <c r="S331" s="64">
        <v>21800</v>
      </c>
      <c r="T331" s="64" t="s">
        <v>2145</v>
      </c>
      <c r="U331" s="65">
        <v>46162</v>
      </c>
      <c r="V331" s="64" t="s">
        <v>28</v>
      </c>
      <c r="W331" s="64">
        <f t="shared" ref="W331:W332" si="715">+S331-M331</f>
        <v>2800</v>
      </c>
      <c r="X331" s="64" t="s">
        <v>36</v>
      </c>
      <c r="Y331" s="64" t="s">
        <v>29</v>
      </c>
      <c r="Z331" s="71">
        <f t="shared" ref="Z331:Z332" si="716">+W331*100/M331</f>
        <v>14.736842105263158</v>
      </c>
      <c r="AA331" s="93"/>
    </row>
    <row r="332" spans="1:27">
      <c r="A332" s="64">
        <f>SUBTOTAL(3,C$2:C332)</f>
        <v>331</v>
      </c>
      <c r="B332" s="64" t="s">
        <v>30</v>
      </c>
      <c r="C332" s="64" t="s">
        <v>44</v>
      </c>
      <c r="D332" s="64" t="s">
        <v>32</v>
      </c>
      <c r="E332" s="64" t="s">
        <v>33</v>
      </c>
      <c r="F332" s="52" t="s">
        <v>81</v>
      </c>
      <c r="G332" s="91" t="s">
        <v>59</v>
      </c>
      <c r="H332" s="95" t="s">
        <v>690</v>
      </c>
      <c r="I332" s="65">
        <v>46134</v>
      </c>
      <c r="J332" s="64">
        <f t="shared" ca="1" si="712"/>
        <v>50</v>
      </c>
      <c r="K332" s="64">
        <f t="shared" si="713"/>
        <v>46169</v>
      </c>
      <c r="L332" s="64" t="s">
        <v>47</v>
      </c>
      <c r="M332" s="64">
        <v>23000</v>
      </c>
      <c r="N332" s="64">
        <v>23000</v>
      </c>
      <c r="O332" s="65">
        <v>46134</v>
      </c>
      <c r="P332" s="64">
        <f t="shared" si="714"/>
        <v>0</v>
      </c>
      <c r="Q332" s="64" t="s">
        <v>33</v>
      </c>
      <c r="R332" s="64" t="s">
        <v>39</v>
      </c>
      <c r="S332" s="64">
        <v>25200</v>
      </c>
      <c r="T332" s="64" t="s">
        <v>2656</v>
      </c>
      <c r="U332" s="65">
        <v>46169</v>
      </c>
      <c r="V332" s="64" t="s">
        <v>28</v>
      </c>
      <c r="W332" s="64">
        <f t="shared" si="715"/>
        <v>2200</v>
      </c>
      <c r="X332" s="64" t="s">
        <v>36</v>
      </c>
      <c r="Y332" s="64" t="s">
        <v>29</v>
      </c>
      <c r="Z332" s="71">
        <f t="shared" si="716"/>
        <v>9.5652173913043477</v>
      </c>
      <c r="AA332" s="93"/>
    </row>
    <row r="333" spans="1:27">
      <c r="A333" s="64">
        <f>SUBTOTAL(3,C$2:C333)</f>
        <v>332</v>
      </c>
      <c r="B333" s="64" t="s">
        <v>30</v>
      </c>
      <c r="C333" s="64" t="s">
        <v>31</v>
      </c>
      <c r="D333" s="64" t="s">
        <v>32</v>
      </c>
      <c r="E333" s="64" t="s">
        <v>33</v>
      </c>
      <c r="F333" s="52" t="s">
        <v>465</v>
      </c>
      <c r="G333" s="91" t="s">
        <v>34</v>
      </c>
      <c r="H333" s="95" t="s">
        <v>691</v>
      </c>
      <c r="I333" s="65">
        <v>46134</v>
      </c>
      <c r="J333" s="64">
        <f t="shared" ref="J333" ca="1" si="717">+TODAY()-I333</f>
        <v>50</v>
      </c>
      <c r="K333" s="64">
        <f t="shared" ref="K333" si="718">+U333</f>
        <v>46148</v>
      </c>
      <c r="L333" s="52" t="s">
        <v>519</v>
      </c>
      <c r="M333" s="64">
        <v>18300</v>
      </c>
      <c r="N333" s="64">
        <v>16500</v>
      </c>
      <c r="O333" s="65">
        <v>46134</v>
      </c>
      <c r="P333" s="64">
        <f t="shared" ref="P333" si="719">+M333-N333</f>
        <v>1800</v>
      </c>
      <c r="Q333" s="64" t="s">
        <v>33</v>
      </c>
      <c r="R333" s="64" t="s">
        <v>37</v>
      </c>
      <c r="S333" s="64">
        <v>21500</v>
      </c>
      <c r="T333" s="64" t="s">
        <v>1334</v>
      </c>
      <c r="U333" s="65">
        <v>46148</v>
      </c>
      <c r="V333" s="64" t="s">
        <v>28</v>
      </c>
      <c r="W333" s="64">
        <f t="shared" ref="W333" si="720">+S333-M333</f>
        <v>3200</v>
      </c>
      <c r="X333" s="64" t="s">
        <v>36</v>
      </c>
      <c r="Y333" s="64" t="s">
        <v>29</v>
      </c>
      <c r="Z333" s="71">
        <f t="shared" ref="Z333" si="721">+W333*100/M333</f>
        <v>17.486338797814209</v>
      </c>
      <c r="AA333" s="93"/>
    </row>
    <row r="334" spans="1:27">
      <c r="A334" s="64">
        <f>SUBTOTAL(3,C$2:C334)</f>
        <v>333</v>
      </c>
      <c r="B334" s="64" t="s">
        <v>30</v>
      </c>
      <c r="C334" s="64" t="s">
        <v>692</v>
      </c>
      <c r="D334" s="64" t="s">
        <v>32</v>
      </c>
      <c r="E334" s="64" t="s">
        <v>33</v>
      </c>
      <c r="F334" s="52" t="s">
        <v>693</v>
      </c>
      <c r="G334" s="91" t="s">
        <v>59</v>
      </c>
      <c r="H334" s="95" t="s">
        <v>694</v>
      </c>
      <c r="I334" s="65">
        <v>46134</v>
      </c>
      <c r="J334" s="64">
        <f t="shared" ref="J334:J335" ca="1" si="722">+TODAY()-I334</f>
        <v>50</v>
      </c>
      <c r="K334" s="64">
        <f t="shared" ref="K334:K335" si="723">+U334</f>
        <v>46140</v>
      </c>
      <c r="L334" s="52" t="s">
        <v>695</v>
      </c>
      <c r="M334" s="64">
        <v>65000</v>
      </c>
      <c r="N334" s="64">
        <v>60000</v>
      </c>
      <c r="O334" s="65">
        <v>46134</v>
      </c>
      <c r="P334" s="64">
        <f t="shared" ref="P334:P335" si="724">+M334-N334</f>
        <v>5000</v>
      </c>
      <c r="Q334" s="64" t="s">
        <v>33</v>
      </c>
      <c r="R334" s="64" t="s">
        <v>112</v>
      </c>
      <c r="S334" s="64">
        <v>75000</v>
      </c>
      <c r="T334" s="64" t="s">
        <v>1320</v>
      </c>
      <c r="U334" s="65">
        <v>46140</v>
      </c>
      <c r="V334" s="64" t="s">
        <v>28</v>
      </c>
      <c r="W334" s="64">
        <f t="shared" ref="W334:W335" si="725">+S334-M334</f>
        <v>10000</v>
      </c>
      <c r="X334" s="64" t="s">
        <v>36</v>
      </c>
      <c r="Y334" s="64" t="s">
        <v>29</v>
      </c>
      <c r="Z334" s="71">
        <f t="shared" ref="Z334:Z335" si="726">+W334*100/M334</f>
        <v>15.384615384615385</v>
      </c>
      <c r="AA334" s="93"/>
    </row>
    <row r="335" spans="1:27">
      <c r="A335" s="64">
        <f>SUBTOTAL(3,C$2:C335)</f>
        <v>334</v>
      </c>
      <c r="B335" s="64" t="s">
        <v>30</v>
      </c>
      <c r="C335" s="64" t="s">
        <v>31</v>
      </c>
      <c r="D335" s="64" t="s">
        <v>32</v>
      </c>
      <c r="E335" s="64" t="s">
        <v>33</v>
      </c>
      <c r="F335" s="52" t="s">
        <v>696</v>
      </c>
      <c r="G335" s="91" t="s">
        <v>34</v>
      </c>
      <c r="H335" s="95" t="s">
        <v>697</v>
      </c>
      <c r="I335" s="65">
        <v>46134</v>
      </c>
      <c r="J335" s="64">
        <f t="shared" ca="1" si="722"/>
        <v>50</v>
      </c>
      <c r="K335" s="64">
        <f t="shared" si="723"/>
        <v>46148</v>
      </c>
      <c r="L335" s="52" t="s">
        <v>2782</v>
      </c>
      <c r="M335" s="64">
        <v>18000</v>
      </c>
      <c r="N335" s="64">
        <v>16000</v>
      </c>
      <c r="O335" s="65">
        <v>46134</v>
      </c>
      <c r="P335" s="64">
        <f t="shared" si="724"/>
        <v>2000</v>
      </c>
      <c r="Q335" s="64" t="s">
        <v>33</v>
      </c>
      <c r="R335" s="64" t="s">
        <v>56</v>
      </c>
      <c r="S335" s="64">
        <v>20500</v>
      </c>
      <c r="T335" s="64" t="s">
        <v>1339</v>
      </c>
      <c r="U335" s="65">
        <v>46148</v>
      </c>
      <c r="V335" s="64" t="s">
        <v>28</v>
      </c>
      <c r="W335" s="64">
        <f t="shared" si="725"/>
        <v>2500</v>
      </c>
      <c r="X335" s="64" t="s">
        <v>36</v>
      </c>
      <c r="Y335" s="64" t="s">
        <v>29</v>
      </c>
      <c r="Z335" s="71">
        <f t="shared" si="726"/>
        <v>13.888888888888889</v>
      </c>
      <c r="AA335" s="93"/>
    </row>
    <row r="336" spans="1:27">
      <c r="A336" s="64">
        <f>SUBTOTAL(3,C$2:C336)</f>
        <v>335</v>
      </c>
      <c r="B336" s="64" t="s">
        <v>30</v>
      </c>
      <c r="C336" s="64" t="s">
        <v>31</v>
      </c>
      <c r="D336" s="64" t="s">
        <v>32</v>
      </c>
      <c r="E336" s="64" t="s">
        <v>33</v>
      </c>
      <c r="F336" s="52" t="s">
        <v>699</v>
      </c>
      <c r="G336" s="91" t="s">
        <v>34</v>
      </c>
      <c r="H336" s="95" t="s">
        <v>700</v>
      </c>
      <c r="I336" s="65">
        <v>46134</v>
      </c>
      <c r="J336" s="64">
        <f t="shared" ref="J336:J337" ca="1" si="727">+TODAY()-I336</f>
        <v>50</v>
      </c>
      <c r="K336" s="64">
        <f t="shared" ref="K336:K337" si="728">+U336</f>
        <v>46162</v>
      </c>
      <c r="L336" s="64" t="s">
        <v>47</v>
      </c>
      <c r="M336" s="64">
        <v>19000</v>
      </c>
      <c r="N336" s="64">
        <v>17000</v>
      </c>
      <c r="O336" s="65">
        <v>46134</v>
      </c>
      <c r="P336" s="64">
        <f t="shared" ref="P336:P337" si="729">+M336-N336</f>
        <v>2000</v>
      </c>
      <c r="Q336" s="64" t="s">
        <v>33</v>
      </c>
      <c r="R336" s="64" t="s">
        <v>39</v>
      </c>
      <c r="S336" s="64">
        <v>21800</v>
      </c>
      <c r="T336" s="64" t="s">
        <v>2145</v>
      </c>
      <c r="U336" s="65">
        <v>46162</v>
      </c>
      <c r="V336" s="64" t="s">
        <v>28</v>
      </c>
      <c r="W336" s="64">
        <f t="shared" ref="W336:W337" si="730">+S336-M336</f>
        <v>2800</v>
      </c>
      <c r="X336" s="64" t="s">
        <v>36</v>
      </c>
      <c r="Y336" s="64" t="s">
        <v>29</v>
      </c>
      <c r="Z336" s="71">
        <f t="shared" ref="Z336:Z337" si="731">+W336*100/M336</f>
        <v>14.736842105263158</v>
      </c>
      <c r="AA336" s="93"/>
    </row>
    <row r="337" spans="1:27">
      <c r="A337" s="64">
        <f>SUBTOTAL(3,C$2:C337)</f>
        <v>336</v>
      </c>
      <c r="B337" s="64" t="s">
        <v>30</v>
      </c>
      <c r="C337" s="64" t="s">
        <v>31</v>
      </c>
      <c r="D337" s="64" t="s">
        <v>32</v>
      </c>
      <c r="E337" s="64" t="s">
        <v>33</v>
      </c>
      <c r="F337" s="52" t="s">
        <v>709</v>
      </c>
      <c r="G337" s="91" t="s">
        <v>34</v>
      </c>
      <c r="H337" s="95" t="s">
        <v>710</v>
      </c>
      <c r="I337" s="65">
        <v>46134</v>
      </c>
      <c r="J337" s="64">
        <f t="shared" ca="1" si="727"/>
        <v>50</v>
      </c>
      <c r="K337" s="64">
        <f t="shared" si="728"/>
        <v>46163</v>
      </c>
      <c r="L337" s="52" t="s">
        <v>2782</v>
      </c>
      <c r="M337" s="64">
        <v>18000</v>
      </c>
      <c r="N337" s="64">
        <v>16000</v>
      </c>
      <c r="O337" s="65">
        <v>46135</v>
      </c>
      <c r="P337" s="64">
        <f t="shared" si="729"/>
        <v>2000</v>
      </c>
      <c r="Q337" s="64" t="s">
        <v>33</v>
      </c>
      <c r="R337" s="64" t="s">
        <v>56</v>
      </c>
      <c r="S337" s="64">
        <v>20500</v>
      </c>
      <c r="T337" s="64" t="s">
        <v>2183</v>
      </c>
      <c r="U337" s="65">
        <v>46163</v>
      </c>
      <c r="V337" s="64" t="s">
        <v>28</v>
      </c>
      <c r="W337" s="64">
        <f t="shared" si="730"/>
        <v>2500</v>
      </c>
      <c r="X337" s="64" t="s">
        <v>36</v>
      </c>
      <c r="Y337" s="64" t="s">
        <v>29</v>
      </c>
      <c r="Z337" s="71">
        <f t="shared" si="731"/>
        <v>13.888888888888889</v>
      </c>
      <c r="AA337" s="93"/>
    </row>
    <row r="338" spans="1:27">
      <c r="A338" s="64">
        <f>SUBTOTAL(3,C$2:C338)</f>
        <v>337</v>
      </c>
      <c r="B338" s="64" t="s">
        <v>30</v>
      </c>
      <c r="C338" s="64" t="s">
        <v>31</v>
      </c>
      <c r="D338" s="64" t="s">
        <v>32</v>
      </c>
      <c r="E338" s="64" t="s">
        <v>33</v>
      </c>
      <c r="F338" s="52" t="s">
        <v>707</v>
      </c>
      <c r="G338" s="91" t="s">
        <v>34</v>
      </c>
      <c r="H338" s="95" t="s">
        <v>708</v>
      </c>
      <c r="I338" s="65">
        <v>46134</v>
      </c>
      <c r="J338" s="64">
        <f t="shared" ref="J338" ca="1" si="732">+TODAY()-I338</f>
        <v>50</v>
      </c>
      <c r="K338" s="64">
        <f t="shared" ref="K338" si="733">+U338</f>
        <v>46148</v>
      </c>
      <c r="L338" s="64" t="s">
        <v>47</v>
      </c>
      <c r="M338" s="64">
        <v>18300</v>
      </c>
      <c r="N338" s="64">
        <v>16500</v>
      </c>
      <c r="O338" s="65">
        <v>46135</v>
      </c>
      <c r="P338" s="64">
        <f t="shared" ref="P338" si="734">+M338-N338</f>
        <v>1800</v>
      </c>
      <c r="Q338" s="64" t="s">
        <v>33</v>
      </c>
      <c r="R338" s="64" t="s">
        <v>37</v>
      </c>
      <c r="S338" s="64">
        <v>21500</v>
      </c>
      <c r="T338" s="64" t="s">
        <v>1336</v>
      </c>
      <c r="U338" s="65">
        <v>46148</v>
      </c>
      <c r="V338" s="64" t="s">
        <v>28</v>
      </c>
      <c r="W338" s="64">
        <f t="shared" ref="W338" si="735">+S338-M338</f>
        <v>3200</v>
      </c>
      <c r="X338" s="64" t="s">
        <v>36</v>
      </c>
      <c r="Y338" s="64" t="s">
        <v>29</v>
      </c>
      <c r="Z338" s="71">
        <f t="shared" ref="Z338" si="736">+W338*100/M338</f>
        <v>17.486338797814209</v>
      </c>
      <c r="AA338" s="93"/>
    </row>
    <row r="339" spans="1:27">
      <c r="A339" s="64">
        <f>SUBTOTAL(3,C$2:C339)</f>
        <v>338</v>
      </c>
      <c r="B339" s="64" t="s">
        <v>30</v>
      </c>
      <c r="C339" s="64" t="s">
        <v>227</v>
      </c>
      <c r="D339" s="64" t="s">
        <v>32</v>
      </c>
      <c r="E339" s="64" t="s">
        <v>33</v>
      </c>
      <c r="F339" s="52" t="s">
        <v>228</v>
      </c>
      <c r="G339" s="91" t="s">
        <v>34</v>
      </c>
      <c r="H339" s="95" t="s">
        <v>711</v>
      </c>
      <c r="I339" s="65">
        <v>46134</v>
      </c>
      <c r="J339" s="64">
        <f t="shared" ref="J339" ca="1" si="737">+TODAY()-I339</f>
        <v>50</v>
      </c>
      <c r="K339" s="64">
        <f t="shared" ref="K339" si="738">+U339</f>
        <v>46153</v>
      </c>
      <c r="L339" s="52" t="s">
        <v>229</v>
      </c>
      <c r="M339" s="64">
        <v>17800</v>
      </c>
      <c r="N339" s="64">
        <v>15800</v>
      </c>
      <c r="O339" s="65">
        <v>46135</v>
      </c>
      <c r="P339" s="64">
        <f t="shared" ref="P339" si="739">+M339-N339</f>
        <v>2000</v>
      </c>
      <c r="Q339" s="64" t="s">
        <v>33</v>
      </c>
      <c r="R339" s="64" t="s">
        <v>112</v>
      </c>
      <c r="S339" s="64">
        <v>20050</v>
      </c>
      <c r="T339" s="64" t="s">
        <v>1482</v>
      </c>
      <c r="U339" s="65">
        <v>46153</v>
      </c>
      <c r="V339" s="64" t="s">
        <v>28</v>
      </c>
      <c r="W339" s="64">
        <f t="shared" ref="W339" si="740">+S339-M339</f>
        <v>2250</v>
      </c>
      <c r="X339" s="64" t="s">
        <v>36</v>
      </c>
      <c r="Y339" s="64" t="s">
        <v>29</v>
      </c>
      <c r="Z339" s="71">
        <f t="shared" ref="Z339" si="741">+W339*100/M339</f>
        <v>12.640449438202246</v>
      </c>
      <c r="AA339" s="93"/>
    </row>
    <row r="340" spans="1:27">
      <c r="A340" s="64">
        <f>SUBTOTAL(3,C$2:C340)</f>
        <v>339</v>
      </c>
      <c r="B340" s="64" t="s">
        <v>30</v>
      </c>
      <c r="C340" s="64" t="s">
        <v>31</v>
      </c>
      <c r="D340" s="64" t="s">
        <v>32</v>
      </c>
      <c r="E340" s="64" t="s">
        <v>33</v>
      </c>
      <c r="F340" s="52" t="s">
        <v>712</v>
      </c>
      <c r="G340" s="91" t="s">
        <v>34</v>
      </c>
      <c r="H340" s="95" t="s">
        <v>713</v>
      </c>
      <c r="I340" s="65">
        <v>46134</v>
      </c>
      <c r="J340" s="64">
        <f t="shared" ref="J340" ca="1" si="742">+TODAY()-I340</f>
        <v>50</v>
      </c>
      <c r="K340" s="64">
        <f t="shared" ref="K340" si="743">+U340</f>
        <v>46162</v>
      </c>
      <c r="L340" s="64" t="s">
        <v>47</v>
      </c>
      <c r="M340" s="64">
        <v>19000</v>
      </c>
      <c r="N340" s="64">
        <v>17000</v>
      </c>
      <c r="O340" s="65">
        <v>46135</v>
      </c>
      <c r="P340" s="64">
        <f t="shared" ref="P340" si="744">+M340-N340</f>
        <v>2000</v>
      </c>
      <c r="Q340" s="64" t="s">
        <v>33</v>
      </c>
      <c r="R340" s="64" t="s">
        <v>39</v>
      </c>
      <c r="S340" s="64">
        <v>21800</v>
      </c>
      <c r="T340" s="64" t="s">
        <v>2145</v>
      </c>
      <c r="U340" s="65">
        <v>46162</v>
      </c>
      <c r="V340" s="64" t="s">
        <v>28</v>
      </c>
      <c r="W340" s="64">
        <f t="shared" ref="W340" si="745">+S340-M340</f>
        <v>2800</v>
      </c>
      <c r="X340" s="64" t="s">
        <v>36</v>
      </c>
      <c r="Y340" s="64" t="s">
        <v>29</v>
      </c>
      <c r="Z340" s="71">
        <f t="shared" ref="Z340" si="746">+W340*100/M340</f>
        <v>14.736842105263158</v>
      </c>
      <c r="AA340" s="93"/>
    </row>
    <row r="341" spans="1:27">
      <c r="A341" s="64">
        <f>SUBTOTAL(3,C$2:C341)</f>
        <v>340</v>
      </c>
      <c r="B341" s="64" t="s">
        <v>30</v>
      </c>
      <c r="C341" s="64" t="s">
        <v>31</v>
      </c>
      <c r="D341" s="64" t="s">
        <v>32</v>
      </c>
      <c r="E341" s="64" t="s">
        <v>33</v>
      </c>
      <c r="F341" s="52" t="s">
        <v>85</v>
      </c>
      <c r="G341" s="91" t="s">
        <v>34</v>
      </c>
      <c r="H341" s="95" t="s">
        <v>714</v>
      </c>
      <c r="I341" s="65">
        <v>46134</v>
      </c>
      <c r="J341" s="64">
        <f t="shared" ref="J341:J343" ca="1" si="747">+TODAY()-I341</f>
        <v>50</v>
      </c>
      <c r="K341" s="64">
        <f t="shared" ref="K341:K343" si="748">+U341</f>
        <v>46163</v>
      </c>
      <c r="L341" s="52" t="s">
        <v>2782</v>
      </c>
      <c r="M341" s="64">
        <v>18000</v>
      </c>
      <c r="N341" s="64">
        <v>16000</v>
      </c>
      <c r="O341" s="65">
        <v>46135</v>
      </c>
      <c r="P341" s="64">
        <f t="shared" ref="P341:P343" si="749">+M341-N341</f>
        <v>2000</v>
      </c>
      <c r="Q341" s="64" t="s">
        <v>33</v>
      </c>
      <c r="R341" s="64" t="s">
        <v>56</v>
      </c>
      <c r="S341" s="64">
        <v>20500</v>
      </c>
      <c r="T341" s="64" t="s">
        <v>2183</v>
      </c>
      <c r="U341" s="65">
        <v>46163</v>
      </c>
      <c r="V341" s="64" t="s">
        <v>28</v>
      </c>
      <c r="W341" s="64">
        <f t="shared" ref="W341:W343" si="750">+S341-M341</f>
        <v>2500</v>
      </c>
      <c r="X341" s="64" t="s">
        <v>36</v>
      </c>
      <c r="Y341" s="64" t="s">
        <v>29</v>
      </c>
      <c r="Z341" s="71">
        <f t="shared" ref="Z341:Z343" si="751">+W341*100/M341</f>
        <v>13.888888888888889</v>
      </c>
      <c r="AA341" s="93"/>
    </row>
    <row r="342" spans="1:27">
      <c r="A342" s="64">
        <f>SUBTOTAL(3,C$2:C342)</f>
        <v>341</v>
      </c>
      <c r="B342" s="64" t="s">
        <v>30</v>
      </c>
      <c r="C342" s="64" t="s">
        <v>44</v>
      </c>
      <c r="D342" s="64" t="s">
        <v>32</v>
      </c>
      <c r="E342" s="64" t="s">
        <v>33</v>
      </c>
      <c r="F342" s="52" t="s">
        <v>211</v>
      </c>
      <c r="G342" s="91">
        <v>407</v>
      </c>
      <c r="H342" s="95" t="s">
        <v>715</v>
      </c>
      <c r="I342" s="65">
        <v>46134</v>
      </c>
      <c r="J342" s="64">
        <f t="shared" ca="1" si="747"/>
        <v>50</v>
      </c>
      <c r="K342" s="64">
        <f t="shared" si="748"/>
        <v>46148</v>
      </c>
      <c r="L342" s="52" t="s">
        <v>543</v>
      </c>
      <c r="M342" s="64">
        <v>28000</v>
      </c>
      <c r="N342" s="64">
        <v>25000</v>
      </c>
      <c r="O342" s="65">
        <v>46135</v>
      </c>
      <c r="P342" s="64">
        <f t="shared" si="749"/>
        <v>3000</v>
      </c>
      <c r="Q342" s="64" t="s">
        <v>33</v>
      </c>
      <c r="R342" s="64" t="s">
        <v>56</v>
      </c>
      <c r="S342" s="64">
        <v>30800</v>
      </c>
      <c r="T342" s="64" t="s">
        <v>1343</v>
      </c>
      <c r="U342" s="65">
        <v>46148</v>
      </c>
      <c r="V342" s="64" t="s">
        <v>28</v>
      </c>
      <c r="W342" s="64">
        <f t="shared" si="750"/>
        <v>2800</v>
      </c>
      <c r="X342" s="64" t="s">
        <v>36</v>
      </c>
      <c r="Y342" s="64" t="s">
        <v>29</v>
      </c>
      <c r="Z342" s="71">
        <f t="shared" si="751"/>
        <v>10</v>
      </c>
      <c r="AA342" s="93"/>
    </row>
    <row r="343" spans="1:27">
      <c r="A343" s="64">
        <f>SUBTOTAL(3,C$2:C343)</f>
        <v>342</v>
      </c>
      <c r="B343" s="64" t="s">
        <v>30</v>
      </c>
      <c r="C343" s="64" t="s">
        <v>94</v>
      </c>
      <c r="D343" s="64" t="s">
        <v>32</v>
      </c>
      <c r="E343" s="64" t="s">
        <v>33</v>
      </c>
      <c r="F343" s="52" t="s">
        <v>95</v>
      </c>
      <c r="G343" s="91" t="s">
        <v>67</v>
      </c>
      <c r="H343" s="95" t="s">
        <v>716</v>
      </c>
      <c r="I343" s="65">
        <v>46135</v>
      </c>
      <c r="J343" s="64">
        <f t="shared" ca="1" si="747"/>
        <v>49</v>
      </c>
      <c r="K343" s="64">
        <f t="shared" si="748"/>
        <v>46148</v>
      </c>
      <c r="L343" s="64" t="s">
        <v>97</v>
      </c>
      <c r="M343" s="64">
        <f>3000+38500</f>
        <v>41500</v>
      </c>
      <c r="N343" s="64">
        <v>35500</v>
      </c>
      <c r="O343" s="65">
        <v>46135</v>
      </c>
      <c r="P343" s="64">
        <f t="shared" si="749"/>
        <v>6000</v>
      </c>
      <c r="Q343" s="64" t="s">
        <v>33</v>
      </c>
      <c r="R343" s="64" t="s">
        <v>174</v>
      </c>
      <c r="S343" s="64">
        <f>5000+42000</f>
        <v>47000</v>
      </c>
      <c r="T343" s="64" t="s">
        <v>1323</v>
      </c>
      <c r="U343" s="65">
        <v>46148</v>
      </c>
      <c r="V343" s="64" t="s">
        <v>28</v>
      </c>
      <c r="W343" s="64">
        <f t="shared" si="750"/>
        <v>5500</v>
      </c>
      <c r="X343" s="64" t="s">
        <v>36</v>
      </c>
      <c r="Y343" s="64" t="s">
        <v>29</v>
      </c>
      <c r="Z343" s="71">
        <f t="shared" si="751"/>
        <v>13.253012048192771</v>
      </c>
      <c r="AA343" s="93"/>
    </row>
    <row r="344" spans="1:27">
      <c r="A344" s="64">
        <f>SUBTOTAL(3,C$2:C344)</f>
        <v>343</v>
      </c>
      <c r="B344" s="64" t="s">
        <v>30</v>
      </c>
      <c r="C344" s="64" t="s">
        <v>31</v>
      </c>
      <c r="D344" s="64" t="s">
        <v>32</v>
      </c>
      <c r="E344" s="64" t="s">
        <v>33</v>
      </c>
      <c r="F344" s="52" t="s">
        <v>221</v>
      </c>
      <c r="G344" s="91" t="s">
        <v>34</v>
      </c>
      <c r="H344" s="95" t="s">
        <v>717</v>
      </c>
      <c r="I344" s="65">
        <v>46135</v>
      </c>
      <c r="J344" s="64">
        <f t="shared" ref="J344" ca="1" si="752">+TODAY()-I344</f>
        <v>49</v>
      </c>
      <c r="K344" s="64">
        <f t="shared" ref="K344" si="753">+U344</f>
        <v>46169</v>
      </c>
      <c r="L344" s="64" t="s">
        <v>47</v>
      </c>
      <c r="M344" s="64">
        <v>19000</v>
      </c>
      <c r="N344" s="64">
        <v>17000</v>
      </c>
      <c r="O344" s="65">
        <v>46135</v>
      </c>
      <c r="P344" s="64">
        <f t="shared" ref="P344" si="754">+M344-N344</f>
        <v>2000</v>
      </c>
      <c r="Q344" s="64" t="s">
        <v>33</v>
      </c>
      <c r="R344" s="64" t="s">
        <v>39</v>
      </c>
      <c r="S344" s="64">
        <v>21800</v>
      </c>
      <c r="T344" s="64" t="s">
        <v>2658</v>
      </c>
      <c r="U344" s="65">
        <v>46169</v>
      </c>
      <c r="V344" s="64" t="s">
        <v>28</v>
      </c>
      <c r="W344" s="64">
        <f t="shared" ref="W344" si="755">+S344-M344</f>
        <v>2800</v>
      </c>
      <c r="X344" s="64" t="s">
        <v>36</v>
      </c>
      <c r="Y344" s="64" t="s">
        <v>29</v>
      </c>
      <c r="Z344" s="71">
        <f t="shared" ref="Z344" si="756">+W344*100/M344</f>
        <v>14.736842105263158</v>
      </c>
      <c r="AA344" s="93"/>
    </row>
    <row r="345" spans="1:27">
      <c r="A345" s="64">
        <f>SUBTOTAL(3,C$2:C345)</f>
        <v>344</v>
      </c>
      <c r="B345" s="64" t="s">
        <v>30</v>
      </c>
      <c r="C345" s="64" t="s">
        <v>31</v>
      </c>
      <c r="D345" s="64" t="s">
        <v>32</v>
      </c>
      <c r="E345" s="64" t="s">
        <v>33</v>
      </c>
      <c r="F345" s="52" t="s">
        <v>718</v>
      </c>
      <c r="G345" s="91" t="s">
        <v>34</v>
      </c>
      <c r="H345" s="95" t="s">
        <v>719</v>
      </c>
      <c r="I345" s="65">
        <v>46135</v>
      </c>
      <c r="J345" s="64">
        <f t="shared" ref="J345" ca="1" si="757">+TODAY()-I345</f>
        <v>49</v>
      </c>
      <c r="K345" s="64">
        <f t="shared" ref="K345" si="758">+U345</f>
        <v>46148</v>
      </c>
      <c r="L345" s="52" t="s">
        <v>639</v>
      </c>
      <c r="M345" s="64">
        <v>18300</v>
      </c>
      <c r="N345" s="64">
        <v>16500</v>
      </c>
      <c r="O345" s="65">
        <v>46135</v>
      </c>
      <c r="P345" s="64">
        <f t="shared" ref="P345" si="759">+M345-N345</f>
        <v>1800</v>
      </c>
      <c r="Q345" s="64" t="s">
        <v>33</v>
      </c>
      <c r="R345" s="64" t="s">
        <v>37</v>
      </c>
      <c r="S345" s="64">
        <v>21500</v>
      </c>
      <c r="T345" s="64" t="s">
        <v>1336</v>
      </c>
      <c r="U345" s="65">
        <v>46148</v>
      </c>
      <c r="V345" s="64" t="s">
        <v>28</v>
      </c>
      <c r="W345" s="64">
        <f t="shared" ref="W345" si="760">+S345-M345</f>
        <v>3200</v>
      </c>
      <c r="X345" s="64" t="s">
        <v>36</v>
      </c>
      <c r="Y345" s="64" t="s">
        <v>29</v>
      </c>
      <c r="Z345" s="71">
        <f t="shared" ref="Z345" si="761">+W345*100/M345</f>
        <v>17.486338797814209</v>
      </c>
      <c r="AA345" s="93"/>
    </row>
    <row r="346" spans="1:27">
      <c r="A346" s="64">
        <f>SUBTOTAL(3,C$2:C346)</f>
        <v>345</v>
      </c>
      <c r="B346" s="64" t="s">
        <v>30</v>
      </c>
      <c r="C346" s="64" t="s">
        <v>31</v>
      </c>
      <c r="D346" s="64" t="s">
        <v>32</v>
      </c>
      <c r="E346" s="64" t="s">
        <v>33</v>
      </c>
      <c r="F346" s="52" t="s">
        <v>720</v>
      </c>
      <c r="G346" s="91" t="s">
        <v>34</v>
      </c>
      <c r="H346" s="95" t="s">
        <v>1189</v>
      </c>
      <c r="I346" s="65">
        <v>46135</v>
      </c>
      <c r="J346" s="64">
        <f t="shared" ref="J346:J347" ca="1" si="762">+TODAY()-I346</f>
        <v>49</v>
      </c>
      <c r="K346" s="64">
        <f t="shared" ref="K346:K347" si="763">+U346</f>
        <v>46148</v>
      </c>
      <c r="L346" s="64" t="s">
        <v>273</v>
      </c>
      <c r="M346" s="64">
        <v>18000</v>
      </c>
      <c r="N346" s="64">
        <v>16000</v>
      </c>
      <c r="O346" s="65">
        <v>46135</v>
      </c>
      <c r="P346" s="64">
        <f t="shared" ref="P346:P347" si="764">+M346-N346</f>
        <v>2000</v>
      </c>
      <c r="Q346" s="64" t="s">
        <v>33</v>
      </c>
      <c r="R346" s="64" t="s">
        <v>56</v>
      </c>
      <c r="S346" s="64">
        <v>20500</v>
      </c>
      <c r="T346" s="64" t="s">
        <v>1339</v>
      </c>
      <c r="U346" s="65">
        <v>46148</v>
      </c>
      <c r="V346" s="64" t="s">
        <v>28</v>
      </c>
      <c r="W346" s="64">
        <f t="shared" ref="W346:W347" si="765">+S346-M346</f>
        <v>2500</v>
      </c>
      <c r="X346" s="64" t="s">
        <v>36</v>
      </c>
      <c r="Y346" s="64" t="s">
        <v>29</v>
      </c>
      <c r="Z346" s="71">
        <f t="shared" ref="Z346:Z347" si="766">+W346*100/M346</f>
        <v>13.888888888888889</v>
      </c>
      <c r="AA346" s="93"/>
    </row>
    <row r="347" spans="1:27">
      <c r="A347" s="64">
        <f>SUBTOTAL(3,C$2:C347)</f>
        <v>346</v>
      </c>
      <c r="B347" s="64" t="s">
        <v>30</v>
      </c>
      <c r="C347" s="64" t="s">
        <v>44</v>
      </c>
      <c r="D347" s="64" t="s">
        <v>32</v>
      </c>
      <c r="E347" s="64" t="s">
        <v>33</v>
      </c>
      <c r="F347" s="52" t="s">
        <v>722</v>
      </c>
      <c r="G347" s="91">
        <v>407</v>
      </c>
      <c r="H347" s="52" t="s">
        <v>723</v>
      </c>
      <c r="I347" s="65">
        <v>46135</v>
      </c>
      <c r="J347" s="64">
        <f t="shared" ca="1" si="762"/>
        <v>49</v>
      </c>
      <c r="K347" s="64" t="str">
        <f t="shared" si="763"/>
        <v>Pending</v>
      </c>
      <c r="L347" s="64" t="s">
        <v>239</v>
      </c>
      <c r="M347" s="64">
        <v>29500</v>
      </c>
      <c r="N347" s="64">
        <v>27500</v>
      </c>
      <c r="O347" s="65">
        <v>46135</v>
      </c>
      <c r="P347" s="64">
        <f t="shared" si="764"/>
        <v>2000</v>
      </c>
      <c r="Q347" s="64" t="s">
        <v>33</v>
      </c>
      <c r="R347" s="64" t="s">
        <v>52</v>
      </c>
      <c r="S347" s="64">
        <v>33000</v>
      </c>
      <c r="T347" s="64" t="s">
        <v>33</v>
      </c>
      <c r="U347" s="65" t="s">
        <v>33</v>
      </c>
      <c r="V347" s="64" t="s">
        <v>28</v>
      </c>
      <c r="W347" s="64">
        <f t="shared" si="765"/>
        <v>3500</v>
      </c>
      <c r="X347" s="64" t="s">
        <v>36</v>
      </c>
      <c r="Y347" s="64" t="s">
        <v>29</v>
      </c>
      <c r="Z347" s="71">
        <f t="shared" si="766"/>
        <v>11.864406779661017</v>
      </c>
      <c r="AA347" s="93"/>
    </row>
    <row r="348" spans="1:27">
      <c r="A348" s="64">
        <f>SUBTOTAL(3,C$2:C348)</f>
        <v>347</v>
      </c>
      <c r="B348" s="64" t="s">
        <v>30</v>
      </c>
      <c r="C348" s="64" t="s">
        <v>31</v>
      </c>
      <c r="D348" s="64" t="s">
        <v>32</v>
      </c>
      <c r="E348" s="64" t="s">
        <v>33</v>
      </c>
      <c r="F348" s="52" t="s">
        <v>256</v>
      </c>
      <c r="G348" s="91" t="s">
        <v>34</v>
      </c>
      <c r="H348" s="95" t="s">
        <v>724</v>
      </c>
      <c r="I348" s="65">
        <v>46135</v>
      </c>
      <c r="J348" s="64">
        <f t="shared" ref="J348:J350" ca="1" si="767">+TODAY()-I348</f>
        <v>49</v>
      </c>
      <c r="K348" s="64">
        <f t="shared" ref="K348:K350" si="768">+U348</f>
        <v>46162</v>
      </c>
      <c r="L348" s="64" t="s">
        <v>47</v>
      </c>
      <c r="M348" s="64">
        <v>19000</v>
      </c>
      <c r="N348" s="64">
        <v>17000</v>
      </c>
      <c r="O348" s="65">
        <v>46135</v>
      </c>
      <c r="P348" s="64">
        <f t="shared" ref="P348:P350" si="769">+M348-N348</f>
        <v>2000</v>
      </c>
      <c r="Q348" s="64" t="s">
        <v>33</v>
      </c>
      <c r="R348" s="64" t="s">
        <v>39</v>
      </c>
      <c r="S348" s="64">
        <v>21800</v>
      </c>
      <c r="T348" s="64" t="s">
        <v>2145</v>
      </c>
      <c r="U348" s="65">
        <v>46162</v>
      </c>
      <c r="V348" s="64" t="s">
        <v>28</v>
      </c>
      <c r="W348" s="64">
        <f t="shared" ref="W348:W350" si="770">+S348-M348</f>
        <v>2800</v>
      </c>
      <c r="X348" s="64" t="s">
        <v>36</v>
      </c>
      <c r="Y348" s="64" t="s">
        <v>29</v>
      </c>
      <c r="Z348" s="71">
        <f t="shared" ref="Z348:Z350" si="771">+W348*100/M348</f>
        <v>14.736842105263158</v>
      </c>
      <c r="AA348" s="93"/>
    </row>
    <row r="349" spans="1:27">
      <c r="A349" s="64">
        <f>SUBTOTAL(3,C$2:C349)</f>
        <v>348</v>
      </c>
      <c r="B349" s="64" t="s">
        <v>30</v>
      </c>
      <c r="C349" s="64" t="s">
        <v>44</v>
      </c>
      <c r="D349" s="64" t="s">
        <v>32</v>
      </c>
      <c r="E349" s="64" t="s">
        <v>33</v>
      </c>
      <c r="F349" s="52" t="s">
        <v>281</v>
      </c>
      <c r="G349" s="91">
        <v>407</v>
      </c>
      <c r="H349" s="95" t="s">
        <v>725</v>
      </c>
      <c r="I349" s="65">
        <v>46135</v>
      </c>
      <c r="J349" s="64">
        <f t="shared" ca="1" si="767"/>
        <v>49</v>
      </c>
      <c r="K349" s="64">
        <f t="shared" si="768"/>
        <v>46170</v>
      </c>
      <c r="L349" s="52" t="s">
        <v>381</v>
      </c>
      <c r="M349" s="64">
        <v>27000</v>
      </c>
      <c r="N349" s="64">
        <v>25000</v>
      </c>
      <c r="O349" s="65">
        <v>46135</v>
      </c>
      <c r="P349" s="64">
        <f t="shared" si="769"/>
        <v>2000</v>
      </c>
      <c r="Q349" s="64" t="s">
        <v>33</v>
      </c>
      <c r="R349" s="64" t="s">
        <v>78</v>
      </c>
      <c r="S349" s="64">
        <v>29800</v>
      </c>
      <c r="T349" s="64" t="s">
        <v>2662</v>
      </c>
      <c r="U349" s="65">
        <v>46170</v>
      </c>
      <c r="V349" s="64" t="s">
        <v>28</v>
      </c>
      <c r="W349" s="64">
        <f t="shared" si="770"/>
        <v>2800</v>
      </c>
      <c r="X349" s="64" t="s">
        <v>36</v>
      </c>
      <c r="Y349" s="64" t="s">
        <v>29</v>
      </c>
      <c r="Z349" s="71">
        <f t="shared" si="771"/>
        <v>10.37037037037037</v>
      </c>
      <c r="AA349" s="93"/>
    </row>
    <row r="350" spans="1:27">
      <c r="A350" s="64">
        <f>SUBTOTAL(3,C$2:C350)</f>
        <v>349</v>
      </c>
      <c r="B350" s="64" t="s">
        <v>30</v>
      </c>
      <c r="C350" s="64" t="s">
        <v>216</v>
      </c>
      <c r="D350" s="64" t="s">
        <v>32</v>
      </c>
      <c r="E350" s="64" t="s">
        <v>33</v>
      </c>
      <c r="F350" s="52" t="s">
        <v>218</v>
      </c>
      <c r="G350" s="91" t="s">
        <v>50</v>
      </c>
      <c r="H350" s="95" t="s">
        <v>726</v>
      </c>
      <c r="I350" s="65">
        <v>46135</v>
      </c>
      <c r="J350" s="64">
        <f t="shared" ca="1" si="767"/>
        <v>49</v>
      </c>
      <c r="K350" s="64">
        <f t="shared" si="768"/>
        <v>46162</v>
      </c>
      <c r="L350" s="52" t="s">
        <v>219</v>
      </c>
      <c r="M350" s="64">
        <f>3000+44000</f>
        <v>47000</v>
      </c>
      <c r="N350" s="64">
        <v>40000</v>
      </c>
      <c r="O350" s="65">
        <v>46135</v>
      </c>
      <c r="P350" s="64">
        <f t="shared" si="769"/>
        <v>7000</v>
      </c>
      <c r="Q350" s="64" t="s">
        <v>33</v>
      </c>
      <c r="R350" s="64" t="s">
        <v>52</v>
      </c>
      <c r="S350" s="64">
        <f>5000+48000</f>
        <v>53000</v>
      </c>
      <c r="T350" s="64" t="s">
        <v>2155</v>
      </c>
      <c r="U350" s="65">
        <v>46162</v>
      </c>
      <c r="V350" s="64" t="s">
        <v>28</v>
      </c>
      <c r="W350" s="64">
        <f t="shared" si="770"/>
        <v>6000</v>
      </c>
      <c r="X350" s="64" t="s">
        <v>36</v>
      </c>
      <c r="Y350" s="64" t="s">
        <v>29</v>
      </c>
      <c r="Z350" s="71">
        <f t="shared" si="771"/>
        <v>12.76595744680851</v>
      </c>
      <c r="AA350" s="93"/>
    </row>
    <row r="351" spans="1:27">
      <c r="A351" s="64">
        <f>SUBTOTAL(3,C$2:C351)</f>
        <v>350</v>
      </c>
      <c r="B351" s="64" t="s">
        <v>30</v>
      </c>
      <c r="C351" s="64" t="s">
        <v>44</v>
      </c>
      <c r="D351" s="64" t="s">
        <v>32</v>
      </c>
      <c r="E351" s="64" t="s">
        <v>33</v>
      </c>
      <c r="F351" s="52" t="s">
        <v>730</v>
      </c>
      <c r="G351" s="91">
        <v>407</v>
      </c>
      <c r="H351" s="95" t="s">
        <v>731</v>
      </c>
      <c r="I351" s="65">
        <v>46135</v>
      </c>
      <c r="J351" s="64">
        <f t="shared" ref="J351" ca="1" si="772">+TODAY()-I351</f>
        <v>49</v>
      </c>
      <c r="K351" s="64">
        <f t="shared" ref="K351" si="773">+U351</f>
        <v>46148</v>
      </c>
      <c r="L351" s="64" t="s">
        <v>239</v>
      </c>
      <c r="M351" s="64">
        <v>29500</v>
      </c>
      <c r="N351" s="64">
        <v>27500</v>
      </c>
      <c r="O351" s="65">
        <v>46135</v>
      </c>
      <c r="P351" s="64">
        <f t="shared" ref="P351" si="774">+M351-N351</f>
        <v>2000</v>
      </c>
      <c r="Q351" s="64" t="s">
        <v>33</v>
      </c>
      <c r="R351" s="64" t="s">
        <v>37</v>
      </c>
      <c r="S351" s="64">
        <v>33000</v>
      </c>
      <c r="T351" s="64" t="s">
        <v>1338</v>
      </c>
      <c r="U351" s="65">
        <v>46148</v>
      </c>
      <c r="V351" s="64" t="s">
        <v>28</v>
      </c>
      <c r="W351" s="64">
        <f t="shared" ref="W351" si="775">+S351-M351</f>
        <v>3500</v>
      </c>
      <c r="X351" s="64" t="s">
        <v>36</v>
      </c>
      <c r="Y351" s="64" t="s">
        <v>29</v>
      </c>
      <c r="Z351" s="71">
        <f t="shared" ref="Z351" si="776">+W351*100/M351</f>
        <v>11.864406779661017</v>
      </c>
      <c r="AA351" s="93"/>
    </row>
    <row r="352" spans="1:27">
      <c r="A352" s="64">
        <f>SUBTOTAL(3,C$2:C352)</f>
        <v>351</v>
      </c>
      <c r="B352" s="64" t="s">
        <v>30</v>
      </c>
      <c r="C352" s="64" t="s">
        <v>44</v>
      </c>
      <c r="D352" s="64" t="s">
        <v>32</v>
      </c>
      <c r="E352" s="64" t="s">
        <v>33</v>
      </c>
      <c r="F352" s="52" t="s">
        <v>186</v>
      </c>
      <c r="G352" s="91">
        <v>407</v>
      </c>
      <c r="H352" s="95" t="s">
        <v>732</v>
      </c>
      <c r="I352" s="65">
        <v>46133</v>
      </c>
      <c r="J352" s="64">
        <f t="shared" ref="J352:J353" ca="1" si="777">+TODAY()-I352</f>
        <v>51</v>
      </c>
      <c r="K352" s="64">
        <f t="shared" ref="K352:K353" si="778">+U352</f>
        <v>46148</v>
      </c>
      <c r="L352" s="64" t="s">
        <v>239</v>
      </c>
      <c r="M352" s="64">
        <v>21500</v>
      </c>
      <c r="N352" s="64">
        <v>21500</v>
      </c>
      <c r="O352" s="65">
        <v>46135</v>
      </c>
      <c r="P352" s="64">
        <f t="shared" ref="P352:P353" si="779">+M352-N352</f>
        <v>0</v>
      </c>
      <c r="Q352" s="64" t="s">
        <v>33</v>
      </c>
      <c r="R352" s="64" t="s">
        <v>78</v>
      </c>
      <c r="S352" s="64">
        <v>25500</v>
      </c>
      <c r="T352" s="64" t="s">
        <v>1329</v>
      </c>
      <c r="U352" s="65">
        <v>46148</v>
      </c>
      <c r="V352" s="64" t="s">
        <v>28</v>
      </c>
      <c r="W352" s="64">
        <f t="shared" ref="W352:W353" si="780">+S352-M352</f>
        <v>4000</v>
      </c>
      <c r="X352" s="64" t="s">
        <v>36</v>
      </c>
      <c r="Y352" s="64" t="s">
        <v>29</v>
      </c>
      <c r="Z352" s="71">
        <f t="shared" ref="Z352:Z353" si="781">+W352*100/M352</f>
        <v>18.604651162790699</v>
      </c>
      <c r="AA352" s="93"/>
    </row>
    <row r="353" spans="1:27">
      <c r="A353" s="64">
        <f>SUBTOTAL(3,C$2:C353)</f>
        <v>352</v>
      </c>
      <c r="B353" s="64" t="s">
        <v>30</v>
      </c>
      <c r="C353" s="64" t="s">
        <v>31</v>
      </c>
      <c r="D353" s="64" t="s">
        <v>32</v>
      </c>
      <c r="E353" s="64" t="s">
        <v>33</v>
      </c>
      <c r="F353" s="52" t="s">
        <v>147</v>
      </c>
      <c r="G353" s="91" t="s">
        <v>34</v>
      </c>
      <c r="H353" s="95" t="s">
        <v>733</v>
      </c>
      <c r="I353" s="65">
        <v>46135</v>
      </c>
      <c r="J353" s="64">
        <f t="shared" ca="1" si="777"/>
        <v>49</v>
      </c>
      <c r="K353" s="64">
        <f t="shared" si="778"/>
        <v>46148</v>
      </c>
      <c r="L353" s="52" t="s">
        <v>519</v>
      </c>
      <c r="M353" s="64">
        <v>18300</v>
      </c>
      <c r="N353" s="64">
        <v>16500</v>
      </c>
      <c r="O353" s="65">
        <v>46135</v>
      </c>
      <c r="P353" s="64">
        <f t="shared" si="779"/>
        <v>1800</v>
      </c>
      <c r="Q353" s="64" t="s">
        <v>33</v>
      </c>
      <c r="R353" s="64" t="s">
        <v>37</v>
      </c>
      <c r="S353" s="64">
        <v>21500</v>
      </c>
      <c r="T353" s="64" t="s">
        <v>1336</v>
      </c>
      <c r="U353" s="65">
        <v>46148</v>
      </c>
      <c r="V353" s="64" t="s">
        <v>28</v>
      </c>
      <c r="W353" s="64">
        <f t="shared" si="780"/>
        <v>3200</v>
      </c>
      <c r="X353" s="64" t="s">
        <v>36</v>
      </c>
      <c r="Y353" s="64" t="s">
        <v>29</v>
      </c>
      <c r="Z353" s="71">
        <f t="shared" si="781"/>
        <v>17.486338797814209</v>
      </c>
      <c r="AA353" s="93"/>
    </row>
    <row r="354" spans="1:27">
      <c r="A354" s="64">
        <f>SUBTOTAL(3,C$2:C354)</f>
        <v>353</v>
      </c>
      <c r="B354" s="64" t="s">
        <v>30</v>
      </c>
      <c r="C354" s="64" t="s">
        <v>31</v>
      </c>
      <c r="D354" s="64" t="s">
        <v>32</v>
      </c>
      <c r="E354" s="64" t="s">
        <v>33</v>
      </c>
      <c r="F354" s="52" t="s">
        <v>280</v>
      </c>
      <c r="G354" s="91" t="s">
        <v>34</v>
      </c>
      <c r="H354" s="95" t="s">
        <v>734</v>
      </c>
      <c r="I354" s="65">
        <v>46135</v>
      </c>
      <c r="J354" s="64">
        <f t="shared" ref="J354:J362" ca="1" si="782">+TODAY()-I354</f>
        <v>49</v>
      </c>
      <c r="K354" s="64">
        <f t="shared" ref="K354:K362" si="783">+U354</f>
        <v>46162</v>
      </c>
      <c r="L354" s="64" t="s">
        <v>47</v>
      </c>
      <c r="M354" s="64">
        <v>19000</v>
      </c>
      <c r="N354" s="64">
        <v>17000</v>
      </c>
      <c r="O354" s="65">
        <v>46135</v>
      </c>
      <c r="P354" s="64">
        <f t="shared" ref="P354:P362" si="784">+M354-N354</f>
        <v>2000</v>
      </c>
      <c r="Q354" s="64" t="s">
        <v>33</v>
      </c>
      <c r="R354" s="64" t="s">
        <v>39</v>
      </c>
      <c r="S354" s="64">
        <v>21800</v>
      </c>
      <c r="T354" s="64" t="s">
        <v>2145</v>
      </c>
      <c r="U354" s="65">
        <v>46162</v>
      </c>
      <c r="V354" s="64" t="s">
        <v>28</v>
      </c>
      <c r="W354" s="64">
        <f t="shared" ref="W354:W362" si="785">+S354-M354</f>
        <v>2800</v>
      </c>
      <c r="X354" s="64" t="s">
        <v>36</v>
      </c>
      <c r="Y354" s="64" t="s">
        <v>29</v>
      </c>
      <c r="Z354" s="71">
        <f t="shared" ref="Z354:Z362" si="786">+W354*100/M354</f>
        <v>14.736842105263158</v>
      </c>
      <c r="AA354" s="93"/>
    </row>
    <row r="355" spans="1:27">
      <c r="A355" s="64">
        <f>SUBTOTAL(3,C$2:C355)</f>
        <v>354</v>
      </c>
      <c r="B355" s="64" t="s">
        <v>30</v>
      </c>
      <c r="C355" s="64" t="s">
        <v>31</v>
      </c>
      <c r="D355" s="64" t="s">
        <v>32</v>
      </c>
      <c r="E355" s="64" t="s">
        <v>33</v>
      </c>
      <c r="F355" s="52" t="s">
        <v>752</v>
      </c>
      <c r="G355" s="91" t="s">
        <v>34</v>
      </c>
      <c r="H355" s="95" t="s">
        <v>753</v>
      </c>
      <c r="I355" s="65">
        <v>46135</v>
      </c>
      <c r="J355" s="64">
        <f t="shared" ca="1" si="782"/>
        <v>49</v>
      </c>
      <c r="K355" s="64" t="str">
        <f t="shared" si="783"/>
        <v>Pending</v>
      </c>
      <c r="L355" s="52" t="s">
        <v>519</v>
      </c>
      <c r="M355" s="64">
        <v>18300</v>
      </c>
      <c r="N355" s="64">
        <v>16500</v>
      </c>
      <c r="O355" s="65">
        <v>46136</v>
      </c>
      <c r="P355" s="64">
        <f t="shared" si="784"/>
        <v>1800</v>
      </c>
      <c r="Q355" s="64" t="s">
        <v>33</v>
      </c>
      <c r="R355" s="64" t="s">
        <v>37</v>
      </c>
      <c r="S355" s="64">
        <v>21500</v>
      </c>
      <c r="T355" s="64" t="s">
        <v>33</v>
      </c>
      <c r="U355" s="65" t="s">
        <v>33</v>
      </c>
      <c r="V355" s="64" t="s">
        <v>28</v>
      </c>
      <c r="W355" s="64">
        <f t="shared" si="785"/>
        <v>3200</v>
      </c>
      <c r="X355" s="64" t="s">
        <v>36</v>
      </c>
      <c r="Y355" s="64" t="s">
        <v>29</v>
      </c>
      <c r="Z355" s="71">
        <f t="shared" si="786"/>
        <v>17.486338797814209</v>
      </c>
      <c r="AA355" s="93"/>
    </row>
    <row r="356" spans="1:27">
      <c r="A356" s="64">
        <f>SUBTOTAL(3,C$2:C356)</f>
        <v>355</v>
      </c>
      <c r="B356" s="64" t="s">
        <v>30</v>
      </c>
      <c r="C356" s="64" t="s">
        <v>31</v>
      </c>
      <c r="D356" s="64" t="s">
        <v>32</v>
      </c>
      <c r="E356" s="64" t="s">
        <v>33</v>
      </c>
      <c r="F356" s="52" t="s">
        <v>407</v>
      </c>
      <c r="G356" s="91" t="s">
        <v>34</v>
      </c>
      <c r="H356" s="95" t="s">
        <v>758</v>
      </c>
      <c r="I356" s="65">
        <v>46135</v>
      </c>
      <c r="J356" s="64">
        <f t="shared" ca="1" si="782"/>
        <v>49</v>
      </c>
      <c r="K356" s="64">
        <f t="shared" si="783"/>
        <v>46163</v>
      </c>
      <c r="L356" s="52" t="s">
        <v>2782</v>
      </c>
      <c r="M356" s="64">
        <v>18000</v>
      </c>
      <c r="N356" s="64">
        <v>16000</v>
      </c>
      <c r="O356" s="65">
        <v>46136</v>
      </c>
      <c r="P356" s="64">
        <f t="shared" si="784"/>
        <v>2000</v>
      </c>
      <c r="Q356" s="64" t="s">
        <v>33</v>
      </c>
      <c r="R356" s="64" t="s">
        <v>56</v>
      </c>
      <c r="S356" s="64">
        <v>20500</v>
      </c>
      <c r="T356" s="64" t="s">
        <v>2183</v>
      </c>
      <c r="U356" s="65">
        <v>46163</v>
      </c>
      <c r="V356" s="64" t="s">
        <v>28</v>
      </c>
      <c r="W356" s="64">
        <f t="shared" si="785"/>
        <v>2500</v>
      </c>
      <c r="X356" s="64" t="s">
        <v>36</v>
      </c>
      <c r="Y356" s="64" t="s">
        <v>29</v>
      </c>
      <c r="Z356" s="71">
        <f t="shared" si="786"/>
        <v>13.888888888888889</v>
      </c>
      <c r="AA356" s="93"/>
    </row>
    <row r="357" spans="1:27">
      <c r="A357" s="64">
        <f>SUBTOTAL(3,C$2:C357)</f>
        <v>356</v>
      </c>
      <c r="B357" s="64" t="s">
        <v>30</v>
      </c>
      <c r="C357" s="64" t="s">
        <v>44</v>
      </c>
      <c r="D357" s="64" t="s">
        <v>32</v>
      </c>
      <c r="E357" s="64" t="s">
        <v>33</v>
      </c>
      <c r="F357" s="52" t="s">
        <v>145</v>
      </c>
      <c r="G357" s="91" t="s">
        <v>34</v>
      </c>
      <c r="H357" s="95" t="s">
        <v>747</v>
      </c>
      <c r="I357" s="65">
        <v>46135</v>
      </c>
      <c r="J357" s="64">
        <f t="shared" ca="1" si="782"/>
        <v>49</v>
      </c>
      <c r="K357" s="64">
        <f t="shared" si="783"/>
        <v>46162</v>
      </c>
      <c r="L357" s="64" t="s">
        <v>47</v>
      </c>
      <c r="M357" s="64">
        <v>19000</v>
      </c>
      <c r="N357" s="64">
        <v>17000</v>
      </c>
      <c r="O357" s="65">
        <v>46136</v>
      </c>
      <c r="P357" s="64">
        <f t="shared" si="784"/>
        <v>2000</v>
      </c>
      <c r="Q357" s="64" t="s">
        <v>33</v>
      </c>
      <c r="R357" s="64" t="s">
        <v>39</v>
      </c>
      <c r="S357" s="64">
        <v>21800</v>
      </c>
      <c r="T357" s="64" t="s">
        <v>2147</v>
      </c>
      <c r="U357" s="65">
        <v>46162</v>
      </c>
      <c r="V357" s="64" t="s">
        <v>28</v>
      </c>
      <c r="W357" s="64">
        <f t="shared" si="785"/>
        <v>2800</v>
      </c>
      <c r="X357" s="64" t="s">
        <v>36</v>
      </c>
      <c r="Y357" s="64" t="s">
        <v>29</v>
      </c>
      <c r="Z357" s="71">
        <f t="shared" si="786"/>
        <v>14.736842105263158</v>
      </c>
      <c r="AA357" s="93"/>
    </row>
    <row r="358" spans="1:27">
      <c r="A358" s="64">
        <f>SUBTOTAL(3,C$2:C358)</f>
        <v>357</v>
      </c>
      <c r="B358" s="64" t="s">
        <v>30</v>
      </c>
      <c r="C358" s="64" t="s">
        <v>44</v>
      </c>
      <c r="D358" s="64" t="s">
        <v>32</v>
      </c>
      <c r="E358" s="64" t="s">
        <v>33</v>
      </c>
      <c r="F358" s="52" t="s">
        <v>359</v>
      </c>
      <c r="G358" s="91">
        <v>407</v>
      </c>
      <c r="H358" s="52" t="s">
        <v>757</v>
      </c>
      <c r="I358" s="65">
        <v>46135</v>
      </c>
      <c r="J358" s="64">
        <f t="shared" ca="1" si="782"/>
        <v>49</v>
      </c>
      <c r="K358" s="64" t="str">
        <f t="shared" si="783"/>
        <v>Pending</v>
      </c>
      <c r="L358" s="52" t="s">
        <v>381</v>
      </c>
      <c r="M358" s="64">
        <v>28000</v>
      </c>
      <c r="N358" s="64">
        <v>25000</v>
      </c>
      <c r="O358" s="65">
        <v>46136</v>
      </c>
      <c r="P358" s="64">
        <f t="shared" si="784"/>
        <v>3000</v>
      </c>
      <c r="Q358" s="64" t="s">
        <v>33</v>
      </c>
      <c r="R358" s="64" t="s">
        <v>56</v>
      </c>
      <c r="S358" s="64">
        <v>30800</v>
      </c>
      <c r="T358" s="64" t="s">
        <v>33</v>
      </c>
      <c r="U358" s="65" t="s">
        <v>33</v>
      </c>
      <c r="V358" s="64" t="s">
        <v>28</v>
      </c>
      <c r="W358" s="64">
        <f t="shared" si="785"/>
        <v>2800</v>
      </c>
      <c r="X358" s="64" t="s">
        <v>36</v>
      </c>
      <c r="Y358" s="64" t="s">
        <v>29</v>
      </c>
      <c r="Z358" s="71">
        <f t="shared" si="786"/>
        <v>10</v>
      </c>
      <c r="AA358" s="93"/>
    </row>
    <row r="359" spans="1:27">
      <c r="A359" s="64">
        <f>SUBTOTAL(3,C$2:C359)</f>
        <v>358</v>
      </c>
      <c r="B359" s="64" t="s">
        <v>30</v>
      </c>
      <c r="C359" s="64" t="s">
        <v>31</v>
      </c>
      <c r="D359" s="64" t="s">
        <v>32</v>
      </c>
      <c r="E359" s="64" t="s">
        <v>33</v>
      </c>
      <c r="F359" s="52" t="s">
        <v>759</v>
      </c>
      <c r="G359" s="91" t="s">
        <v>34</v>
      </c>
      <c r="H359" s="95" t="s">
        <v>760</v>
      </c>
      <c r="I359" s="65">
        <v>46135</v>
      </c>
      <c r="J359" s="64">
        <f t="shared" ca="1" si="782"/>
        <v>49</v>
      </c>
      <c r="K359" s="64">
        <f t="shared" si="783"/>
        <v>46148</v>
      </c>
      <c r="L359" s="52" t="s">
        <v>2782</v>
      </c>
      <c r="M359" s="64">
        <v>18000</v>
      </c>
      <c r="N359" s="64">
        <v>16000</v>
      </c>
      <c r="O359" s="65">
        <v>46136</v>
      </c>
      <c r="P359" s="64">
        <f t="shared" si="784"/>
        <v>2000</v>
      </c>
      <c r="Q359" s="64" t="s">
        <v>33</v>
      </c>
      <c r="R359" s="64" t="s">
        <v>56</v>
      </c>
      <c r="S359" s="64">
        <v>20500</v>
      </c>
      <c r="T359" s="64" t="s">
        <v>1339</v>
      </c>
      <c r="U359" s="65">
        <v>46148</v>
      </c>
      <c r="V359" s="64" t="s">
        <v>28</v>
      </c>
      <c r="W359" s="64">
        <f t="shared" si="785"/>
        <v>2500</v>
      </c>
      <c r="X359" s="64" t="s">
        <v>36</v>
      </c>
      <c r="Y359" s="64" t="s">
        <v>29</v>
      </c>
      <c r="Z359" s="71">
        <f t="shared" si="786"/>
        <v>13.888888888888889</v>
      </c>
      <c r="AA359" s="93"/>
    </row>
    <row r="360" spans="1:27">
      <c r="A360" s="64">
        <f>SUBTOTAL(3,C$2:C360)</f>
        <v>359</v>
      </c>
      <c r="B360" s="64" t="s">
        <v>30</v>
      </c>
      <c r="C360" s="64" t="s">
        <v>31</v>
      </c>
      <c r="D360" s="64" t="s">
        <v>32</v>
      </c>
      <c r="E360" s="64" t="s">
        <v>33</v>
      </c>
      <c r="F360" s="52" t="s">
        <v>743</v>
      </c>
      <c r="G360" s="91" t="s">
        <v>34</v>
      </c>
      <c r="H360" s="95" t="s">
        <v>744</v>
      </c>
      <c r="I360" s="65">
        <v>46136</v>
      </c>
      <c r="J360" s="64">
        <f t="shared" ca="1" si="782"/>
        <v>48</v>
      </c>
      <c r="K360" s="64">
        <f t="shared" si="783"/>
        <v>46162</v>
      </c>
      <c r="L360" s="64" t="s">
        <v>47</v>
      </c>
      <c r="M360" s="64">
        <v>19000</v>
      </c>
      <c r="N360" s="64">
        <v>17000</v>
      </c>
      <c r="O360" s="65">
        <v>46136</v>
      </c>
      <c r="P360" s="64">
        <f t="shared" si="784"/>
        <v>2000</v>
      </c>
      <c r="Q360" s="64" t="s">
        <v>33</v>
      </c>
      <c r="R360" s="64" t="s">
        <v>39</v>
      </c>
      <c r="S360" s="64">
        <v>21800</v>
      </c>
      <c r="T360" s="64" t="s">
        <v>2145</v>
      </c>
      <c r="U360" s="65">
        <v>46162</v>
      </c>
      <c r="V360" s="64" t="s">
        <v>28</v>
      </c>
      <c r="W360" s="64">
        <f t="shared" si="785"/>
        <v>2800</v>
      </c>
      <c r="X360" s="64" t="s">
        <v>36</v>
      </c>
      <c r="Y360" s="64" t="s">
        <v>29</v>
      </c>
      <c r="Z360" s="71">
        <f t="shared" si="786"/>
        <v>14.736842105263158</v>
      </c>
      <c r="AA360" s="93"/>
    </row>
    <row r="361" spans="1:27">
      <c r="A361" s="64">
        <f>SUBTOTAL(3,C$2:C361)</f>
        <v>360</v>
      </c>
      <c r="B361" s="64" t="s">
        <v>30</v>
      </c>
      <c r="C361" s="64" t="s">
        <v>31</v>
      </c>
      <c r="D361" s="64" t="s">
        <v>32</v>
      </c>
      <c r="E361" s="64" t="s">
        <v>33</v>
      </c>
      <c r="F361" s="52" t="s">
        <v>749</v>
      </c>
      <c r="G361" s="91" t="s">
        <v>34</v>
      </c>
      <c r="H361" s="52" t="s">
        <v>750</v>
      </c>
      <c r="I361" s="65">
        <v>46136</v>
      </c>
      <c r="J361" s="64">
        <f t="shared" ca="1" si="782"/>
        <v>48</v>
      </c>
      <c r="K361" s="64" t="str">
        <f t="shared" si="783"/>
        <v>Pending</v>
      </c>
      <c r="L361" s="64" t="s">
        <v>88</v>
      </c>
      <c r="M361" s="64">
        <v>23300</v>
      </c>
      <c r="N361" s="64">
        <v>21500</v>
      </c>
      <c r="O361" s="65">
        <v>46136</v>
      </c>
      <c r="P361" s="64">
        <f t="shared" si="784"/>
        <v>1800</v>
      </c>
      <c r="Q361" s="64" t="s">
        <v>33</v>
      </c>
      <c r="R361" s="64" t="s">
        <v>37</v>
      </c>
      <c r="S361" s="64">
        <v>26000</v>
      </c>
      <c r="T361" s="64" t="s">
        <v>33</v>
      </c>
      <c r="U361" s="65" t="s">
        <v>33</v>
      </c>
      <c r="V361" s="64" t="s">
        <v>28</v>
      </c>
      <c r="W361" s="64">
        <f t="shared" si="785"/>
        <v>2700</v>
      </c>
      <c r="X361" s="64" t="s">
        <v>36</v>
      </c>
      <c r="Y361" s="64" t="s">
        <v>29</v>
      </c>
      <c r="Z361" s="71">
        <f t="shared" si="786"/>
        <v>11.587982832618026</v>
      </c>
      <c r="AA361" s="93"/>
    </row>
    <row r="362" spans="1:27">
      <c r="A362" s="64">
        <f>SUBTOTAL(3,C$2:C362)</f>
        <v>361</v>
      </c>
      <c r="B362" s="64" t="s">
        <v>30</v>
      </c>
      <c r="C362" s="64" t="s">
        <v>31</v>
      </c>
      <c r="D362" s="64" t="s">
        <v>32</v>
      </c>
      <c r="E362" s="64" t="s">
        <v>33</v>
      </c>
      <c r="F362" s="52" t="s">
        <v>395</v>
      </c>
      <c r="G362" s="91" t="s">
        <v>34</v>
      </c>
      <c r="H362" s="95" t="s">
        <v>754</v>
      </c>
      <c r="I362" s="65">
        <v>46136</v>
      </c>
      <c r="J362" s="64">
        <f t="shared" ca="1" si="782"/>
        <v>48</v>
      </c>
      <c r="K362" s="64">
        <f t="shared" si="783"/>
        <v>46148</v>
      </c>
      <c r="L362" s="52" t="s">
        <v>519</v>
      </c>
      <c r="M362" s="64">
        <v>18300</v>
      </c>
      <c r="N362" s="64">
        <v>16500</v>
      </c>
      <c r="O362" s="65">
        <v>46136</v>
      </c>
      <c r="P362" s="64">
        <f t="shared" si="784"/>
        <v>1800</v>
      </c>
      <c r="Q362" s="64" t="s">
        <v>33</v>
      </c>
      <c r="R362" s="64" t="s">
        <v>37</v>
      </c>
      <c r="S362" s="64">
        <v>21500</v>
      </c>
      <c r="T362" s="64" t="s">
        <v>1336</v>
      </c>
      <c r="U362" s="65">
        <v>46148</v>
      </c>
      <c r="V362" s="64" t="s">
        <v>28</v>
      </c>
      <c r="W362" s="64">
        <f t="shared" si="785"/>
        <v>3200</v>
      </c>
      <c r="X362" s="64" t="s">
        <v>36</v>
      </c>
      <c r="Y362" s="64" t="s">
        <v>29</v>
      </c>
      <c r="Z362" s="71">
        <f t="shared" si="786"/>
        <v>17.486338797814209</v>
      </c>
      <c r="AA362" s="93"/>
    </row>
    <row r="363" spans="1:27">
      <c r="A363" s="64">
        <f>SUBTOTAL(3,C$2:C363)</f>
        <v>362</v>
      </c>
      <c r="B363" s="64" t="s">
        <v>30</v>
      </c>
      <c r="C363" s="64" t="s">
        <v>31</v>
      </c>
      <c r="D363" s="64" t="s">
        <v>32</v>
      </c>
      <c r="E363" s="64" t="s">
        <v>33</v>
      </c>
      <c r="F363" s="52" t="s">
        <v>741</v>
      </c>
      <c r="G363" s="91" t="s">
        <v>34</v>
      </c>
      <c r="H363" s="95" t="s">
        <v>742</v>
      </c>
      <c r="I363" s="65">
        <v>46136</v>
      </c>
      <c r="J363" s="64">
        <f t="shared" ref="J363:J367" ca="1" si="787">+TODAY()-I363</f>
        <v>48</v>
      </c>
      <c r="K363" s="64">
        <f t="shared" ref="K363:K367" si="788">+U363</f>
        <v>46162</v>
      </c>
      <c r="L363" s="64" t="s">
        <v>47</v>
      </c>
      <c r="M363" s="64">
        <v>19000</v>
      </c>
      <c r="N363" s="64">
        <v>17000</v>
      </c>
      <c r="O363" s="65">
        <v>46136</v>
      </c>
      <c r="P363" s="64">
        <f t="shared" ref="P363:P367" si="789">+M363-N363</f>
        <v>2000</v>
      </c>
      <c r="Q363" s="64" t="s">
        <v>33</v>
      </c>
      <c r="R363" s="64" t="s">
        <v>39</v>
      </c>
      <c r="S363" s="64">
        <v>21800</v>
      </c>
      <c r="T363" s="64" t="s">
        <v>2145</v>
      </c>
      <c r="U363" s="65">
        <v>46162</v>
      </c>
      <c r="V363" s="64" t="s">
        <v>28</v>
      </c>
      <c r="W363" s="64">
        <f t="shared" ref="W363:W367" si="790">+S363-M363</f>
        <v>2800</v>
      </c>
      <c r="X363" s="64" t="s">
        <v>36</v>
      </c>
      <c r="Y363" s="64" t="s">
        <v>29</v>
      </c>
      <c r="Z363" s="71">
        <f t="shared" ref="Z363:Z367" si="791">+W363*100/M363</f>
        <v>14.736842105263158</v>
      </c>
      <c r="AA363" s="93"/>
    </row>
    <row r="364" spans="1:27">
      <c r="A364" s="64">
        <f>SUBTOTAL(3,C$2:C364)</f>
        <v>363</v>
      </c>
      <c r="B364" s="64" t="s">
        <v>30</v>
      </c>
      <c r="C364" s="64" t="s">
        <v>31</v>
      </c>
      <c r="D364" s="64" t="s">
        <v>32</v>
      </c>
      <c r="E364" s="64" t="s">
        <v>33</v>
      </c>
      <c r="F364" s="52" t="s">
        <v>764</v>
      </c>
      <c r="G364" s="91" t="s">
        <v>34</v>
      </c>
      <c r="H364" s="52" t="s">
        <v>838</v>
      </c>
      <c r="I364" s="65">
        <v>46135</v>
      </c>
      <c r="J364" s="64">
        <f t="shared" ca="1" si="787"/>
        <v>49</v>
      </c>
      <c r="K364" s="64" t="str">
        <f t="shared" si="788"/>
        <v>Pending</v>
      </c>
      <c r="L364" s="52" t="s">
        <v>229</v>
      </c>
      <c r="M364" s="64">
        <v>11700</v>
      </c>
      <c r="N364" s="64">
        <v>10700</v>
      </c>
      <c r="O364" s="65">
        <v>46136</v>
      </c>
      <c r="P364" s="64">
        <f t="shared" si="789"/>
        <v>1000</v>
      </c>
      <c r="Q364" s="64" t="s">
        <v>33</v>
      </c>
      <c r="R364" s="64" t="s">
        <v>112</v>
      </c>
      <c r="S364" s="64">
        <v>13500</v>
      </c>
      <c r="T364" s="64" t="s">
        <v>33</v>
      </c>
      <c r="U364" s="65" t="s">
        <v>33</v>
      </c>
      <c r="V364" s="64" t="s">
        <v>28</v>
      </c>
      <c r="W364" s="64">
        <f t="shared" si="790"/>
        <v>1800</v>
      </c>
      <c r="X364" s="64" t="s">
        <v>36</v>
      </c>
      <c r="Y364" s="64" t="s">
        <v>29</v>
      </c>
      <c r="Z364" s="71">
        <f t="shared" si="791"/>
        <v>15.384615384615385</v>
      </c>
      <c r="AA364" s="93"/>
    </row>
    <row r="365" spans="1:27">
      <c r="A365" s="64">
        <f>SUBTOTAL(3,C$2:C365)</f>
        <v>364</v>
      </c>
      <c r="B365" s="64" t="s">
        <v>30</v>
      </c>
      <c r="C365" s="64" t="s">
        <v>31</v>
      </c>
      <c r="D365" s="64" t="s">
        <v>32</v>
      </c>
      <c r="E365" s="64" t="s">
        <v>33</v>
      </c>
      <c r="F365" s="52" t="s">
        <v>761</v>
      </c>
      <c r="G365" s="91" t="s">
        <v>34</v>
      </c>
      <c r="H365" s="95" t="s">
        <v>1190</v>
      </c>
      <c r="I365" s="65">
        <v>46135</v>
      </c>
      <c r="J365" s="64">
        <f t="shared" ca="1" si="787"/>
        <v>49</v>
      </c>
      <c r="K365" s="64">
        <f t="shared" si="788"/>
        <v>46148</v>
      </c>
      <c r="L365" s="52" t="s">
        <v>763</v>
      </c>
      <c r="M365" s="64">
        <v>18000</v>
      </c>
      <c r="N365" s="64">
        <v>16000</v>
      </c>
      <c r="O365" s="65">
        <v>46136</v>
      </c>
      <c r="P365" s="64">
        <f t="shared" si="789"/>
        <v>2000</v>
      </c>
      <c r="Q365" s="64" t="s">
        <v>33</v>
      </c>
      <c r="R365" s="64" t="s">
        <v>56</v>
      </c>
      <c r="S365" s="64">
        <v>20500</v>
      </c>
      <c r="T365" s="64" t="s">
        <v>1342</v>
      </c>
      <c r="U365" s="65">
        <v>46148</v>
      </c>
      <c r="V365" s="64" t="s">
        <v>28</v>
      </c>
      <c r="W365" s="64">
        <f t="shared" si="790"/>
        <v>2500</v>
      </c>
      <c r="X365" s="64" t="s">
        <v>36</v>
      </c>
      <c r="Y365" s="64" t="s">
        <v>29</v>
      </c>
      <c r="Z365" s="71">
        <f t="shared" si="791"/>
        <v>13.888888888888889</v>
      </c>
      <c r="AA365" s="93"/>
    </row>
    <row r="366" spans="1:27">
      <c r="A366" s="64">
        <f>SUBTOTAL(3,C$2:C366)</f>
        <v>365</v>
      </c>
      <c r="B366" s="64" t="s">
        <v>30</v>
      </c>
      <c r="C366" s="64" t="s">
        <v>137</v>
      </c>
      <c r="D366" s="64" t="s">
        <v>32</v>
      </c>
      <c r="E366" s="64" t="s">
        <v>33</v>
      </c>
      <c r="F366" s="52" t="s">
        <v>138</v>
      </c>
      <c r="G366" s="91" t="s">
        <v>50</v>
      </c>
      <c r="H366" s="95" t="s">
        <v>1191</v>
      </c>
      <c r="I366" s="65">
        <v>46136</v>
      </c>
      <c r="J366" s="64">
        <f t="shared" ca="1" si="787"/>
        <v>48</v>
      </c>
      <c r="K366" s="64">
        <f t="shared" si="788"/>
        <v>46162</v>
      </c>
      <c r="L366" s="64" t="s">
        <v>97</v>
      </c>
      <c r="M366" s="64">
        <f>3000+44000</f>
        <v>47000</v>
      </c>
      <c r="N366" s="64">
        <v>40000</v>
      </c>
      <c r="O366" s="65">
        <v>46136</v>
      </c>
      <c r="P366" s="64">
        <f t="shared" si="789"/>
        <v>7000</v>
      </c>
      <c r="Q366" s="64" t="s">
        <v>33</v>
      </c>
      <c r="R366" s="64" t="s">
        <v>52</v>
      </c>
      <c r="S366" s="64">
        <f>5000+48000</f>
        <v>53000</v>
      </c>
      <c r="T366" s="64" t="s">
        <v>2155</v>
      </c>
      <c r="U366" s="65">
        <v>46162</v>
      </c>
      <c r="V366" s="64" t="s">
        <v>28</v>
      </c>
      <c r="W366" s="64">
        <f t="shared" si="790"/>
        <v>6000</v>
      </c>
      <c r="X366" s="64" t="s">
        <v>36</v>
      </c>
      <c r="Y366" s="64" t="s">
        <v>29</v>
      </c>
      <c r="Z366" s="71">
        <f t="shared" si="791"/>
        <v>12.76595744680851</v>
      </c>
      <c r="AA366" s="93"/>
    </row>
    <row r="367" spans="1:27">
      <c r="A367" s="64">
        <f>SUBTOTAL(3,C$2:C367)</f>
        <v>366</v>
      </c>
      <c r="B367" s="64" t="s">
        <v>30</v>
      </c>
      <c r="C367" s="64" t="s">
        <v>44</v>
      </c>
      <c r="D367" s="64" t="s">
        <v>32</v>
      </c>
      <c r="E367" s="64" t="s">
        <v>33</v>
      </c>
      <c r="F367" s="52" t="s">
        <v>347</v>
      </c>
      <c r="G367" s="91">
        <v>407</v>
      </c>
      <c r="H367" s="95" t="s">
        <v>748</v>
      </c>
      <c r="I367" s="65">
        <v>46136</v>
      </c>
      <c r="J367" s="64">
        <f t="shared" ca="1" si="787"/>
        <v>48</v>
      </c>
      <c r="K367" s="64">
        <f t="shared" si="788"/>
        <v>46148</v>
      </c>
      <c r="L367" s="64" t="s">
        <v>239</v>
      </c>
      <c r="M367" s="64">
        <v>29500</v>
      </c>
      <c r="N367" s="64">
        <v>27500</v>
      </c>
      <c r="O367" s="65">
        <v>46136</v>
      </c>
      <c r="P367" s="64">
        <f t="shared" si="789"/>
        <v>2000</v>
      </c>
      <c r="Q367" s="64" t="s">
        <v>33</v>
      </c>
      <c r="R367" s="64" t="s">
        <v>37</v>
      </c>
      <c r="S367" s="64">
        <v>33000</v>
      </c>
      <c r="T367" s="64" t="s">
        <v>1338</v>
      </c>
      <c r="U367" s="65">
        <v>46148</v>
      </c>
      <c r="V367" s="64" t="s">
        <v>28</v>
      </c>
      <c r="W367" s="64">
        <f t="shared" si="790"/>
        <v>3500</v>
      </c>
      <c r="X367" s="64" t="s">
        <v>36</v>
      </c>
      <c r="Y367" s="64" t="s">
        <v>29</v>
      </c>
      <c r="Z367" s="71">
        <f t="shared" si="791"/>
        <v>11.864406779661017</v>
      </c>
      <c r="AA367" s="93"/>
    </row>
    <row r="368" spans="1:27">
      <c r="A368" s="64">
        <f>SUBTOTAL(3,C$2:C368)</f>
        <v>367</v>
      </c>
      <c r="B368" s="64" t="s">
        <v>30</v>
      </c>
      <c r="C368" s="64" t="s">
        <v>31</v>
      </c>
      <c r="D368" s="64" t="s">
        <v>32</v>
      </c>
      <c r="E368" s="64" t="s">
        <v>33</v>
      </c>
      <c r="F368" s="52" t="s">
        <v>745</v>
      </c>
      <c r="G368" s="91" t="s">
        <v>34</v>
      </c>
      <c r="H368" s="95" t="s">
        <v>746</v>
      </c>
      <c r="I368" s="65">
        <v>46136</v>
      </c>
      <c r="J368" s="64">
        <f t="shared" ref="J368" ca="1" si="792">+TODAY()-I368</f>
        <v>48</v>
      </c>
      <c r="K368" s="64">
        <f t="shared" ref="K368" si="793">+U368</f>
        <v>46162</v>
      </c>
      <c r="L368" s="64" t="s">
        <v>47</v>
      </c>
      <c r="M368" s="64">
        <v>19000</v>
      </c>
      <c r="N368" s="64">
        <v>17000</v>
      </c>
      <c r="O368" s="65">
        <v>46136</v>
      </c>
      <c r="P368" s="64">
        <f t="shared" ref="P368" si="794">+M368-N368</f>
        <v>2000</v>
      </c>
      <c r="Q368" s="64" t="s">
        <v>33</v>
      </c>
      <c r="R368" s="64" t="s">
        <v>39</v>
      </c>
      <c r="S368" s="64">
        <v>21800</v>
      </c>
      <c r="T368" s="64" t="s">
        <v>2145</v>
      </c>
      <c r="U368" s="65">
        <v>46162</v>
      </c>
      <c r="V368" s="64" t="s">
        <v>28</v>
      </c>
      <c r="W368" s="64">
        <f t="shared" ref="W368" si="795">+S368-M368</f>
        <v>2800</v>
      </c>
      <c r="X368" s="64" t="s">
        <v>36</v>
      </c>
      <c r="Y368" s="64" t="s">
        <v>29</v>
      </c>
      <c r="Z368" s="71">
        <f t="shared" ref="Z368" si="796">+W368*100/M368</f>
        <v>14.736842105263158</v>
      </c>
      <c r="AA368" s="93"/>
    </row>
    <row r="369" spans="1:27">
      <c r="A369" s="64">
        <f>SUBTOTAL(3,C$2:C369)</f>
        <v>368</v>
      </c>
      <c r="B369" s="64" t="s">
        <v>30</v>
      </c>
      <c r="C369" s="64" t="s">
        <v>31</v>
      </c>
      <c r="D369" s="64" t="s">
        <v>32</v>
      </c>
      <c r="E369" s="64" t="s">
        <v>33</v>
      </c>
      <c r="F369" s="52" t="s">
        <v>755</v>
      </c>
      <c r="G369" s="91" t="s">
        <v>34</v>
      </c>
      <c r="H369" s="95" t="s">
        <v>756</v>
      </c>
      <c r="I369" s="65">
        <v>46136</v>
      </c>
      <c r="J369" s="64">
        <f t="shared" ref="J369" ca="1" si="797">+TODAY()-I369</f>
        <v>48</v>
      </c>
      <c r="K369" s="64">
        <f t="shared" ref="K369" si="798">+U369</f>
        <v>46148</v>
      </c>
      <c r="L369" s="52" t="s">
        <v>519</v>
      </c>
      <c r="M369" s="64">
        <v>18300</v>
      </c>
      <c r="N369" s="64">
        <v>16500</v>
      </c>
      <c r="O369" s="65">
        <v>46136</v>
      </c>
      <c r="P369" s="64">
        <f t="shared" ref="P369" si="799">+M369-N369</f>
        <v>1800</v>
      </c>
      <c r="Q369" s="64" t="s">
        <v>33</v>
      </c>
      <c r="R369" s="64" t="s">
        <v>37</v>
      </c>
      <c r="S369" s="64">
        <v>21500</v>
      </c>
      <c r="T369" s="64" t="s">
        <v>1336</v>
      </c>
      <c r="U369" s="65">
        <v>46148</v>
      </c>
      <c r="V369" s="64" t="s">
        <v>28</v>
      </c>
      <c r="W369" s="64">
        <f t="shared" ref="W369" si="800">+S369-M369</f>
        <v>3200</v>
      </c>
      <c r="X369" s="64" t="s">
        <v>36</v>
      </c>
      <c r="Y369" s="64" t="s">
        <v>29</v>
      </c>
      <c r="Z369" s="71">
        <f t="shared" ref="Z369" si="801">+W369*100/M369</f>
        <v>17.486338797814209</v>
      </c>
      <c r="AA369" s="93"/>
    </row>
    <row r="370" spans="1:27">
      <c r="A370" s="64">
        <f>SUBTOTAL(3,C$2:C370)</f>
        <v>369</v>
      </c>
      <c r="B370" s="64" t="s">
        <v>30</v>
      </c>
      <c r="C370" s="64" t="s">
        <v>31</v>
      </c>
      <c r="D370" s="64" t="s">
        <v>32</v>
      </c>
      <c r="E370" s="64" t="s">
        <v>33</v>
      </c>
      <c r="F370" s="52" t="s">
        <v>778</v>
      </c>
      <c r="G370" s="91" t="s">
        <v>34</v>
      </c>
      <c r="H370" s="95" t="s">
        <v>800</v>
      </c>
      <c r="I370" s="65">
        <v>46136</v>
      </c>
      <c r="J370" s="64">
        <f t="shared" ref="J370" ca="1" si="802">+TODAY()-I370</f>
        <v>48</v>
      </c>
      <c r="K370" s="64">
        <f t="shared" ref="K370" si="803">+U370</f>
        <v>46162</v>
      </c>
      <c r="L370" s="64" t="s">
        <v>47</v>
      </c>
      <c r="M370" s="64">
        <v>19000</v>
      </c>
      <c r="N370" s="64">
        <v>17000</v>
      </c>
      <c r="O370" s="65">
        <v>46137</v>
      </c>
      <c r="P370" s="64">
        <f t="shared" ref="P370" si="804">+M370-N370</f>
        <v>2000</v>
      </c>
      <c r="Q370" s="64" t="s">
        <v>33</v>
      </c>
      <c r="R370" s="64" t="s">
        <v>39</v>
      </c>
      <c r="S370" s="64">
        <v>21800</v>
      </c>
      <c r="T370" s="64" t="s">
        <v>2147</v>
      </c>
      <c r="U370" s="65">
        <v>46162</v>
      </c>
      <c r="V370" s="64" t="s">
        <v>28</v>
      </c>
      <c r="W370" s="64">
        <f t="shared" ref="W370" si="805">+S370-M370</f>
        <v>2800</v>
      </c>
      <c r="X370" s="64" t="s">
        <v>36</v>
      </c>
      <c r="Y370" s="64" t="s">
        <v>29</v>
      </c>
      <c r="Z370" s="71">
        <f t="shared" ref="Z370" si="806">+W370*100/M370</f>
        <v>14.736842105263158</v>
      </c>
      <c r="AA370" s="93"/>
    </row>
    <row r="371" spans="1:27">
      <c r="A371" s="64">
        <f>SUBTOTAL(3,C$2:C371)</f>
        <v>370</v>
      </c>
      <c r="B371" s="64" t="s">
        <v>30</v>
      </c>
      <c r="C371" s="64" t="s">
        <v>31</v>
      </c>
      <c r="D371" s="64" t="s">
        <v>32</v>
      </c>
      <c r="E371" s="64" t="s">
        <v>33</v>
      </c>
      <c r="F371" s="52" t="s">
        <v>161</v>
      </c>
      <c r="G371" s="91" t="s">
        <v>34</v>
      </c>
      <c r="H371" s="95" t="s">
        <v>790</v>
      </c>
      <c r="I371" s="65">
        <v>46136</v>
      </c>
      <c r="J371" s="64">
        <f t="shared" ref="J371:J372" ca="1" si="807">+TODAY()-I371</f>
        <v>48</v>
      </c>
      <c r="K371" s="64">
        <f t="shared" ref="K371:K372" si="808">+U371</f>
        <v>46162</v>
      </c>
      <c r="L371" s="64" t="s">
        <v>47</v>
      </c>
      <c r="M371" s="64">
        <v>19000</v>
      </c>
      <c r="N371" s="64">
        <v>17000</v>
      </c>
      <c r="O371" s="65">
        <v>46137</v>
      </c>
      <c r="P371" s="64">
        <f t="shared" ref="P371:P372" si="809">+M371-N371</f>
        <v>2000</v>
      </c>
      <c r="Q371" s="64" t="s">
        <v>33</v>
      </c>
      <c r="R371" s="64" t="s">
        <v>39</v>
      </c>
      <c r="S371" s="64">
        <v>21800</v>
      </c>
      <c r="T371" s="64" t="s">
        <v>2147</v>
      </c>
      <c r="U371" s="65">
        <v>46162</v>
      </c>
      <c r="V371" s="64" t="s">
        <v>28</v>
      </c>
      <c r="W371" s="64">
        <f t="shared" ref="W371:W372" si="810">+S371-M371</f>
        <v>2800</v>
      </c>
      <c r="X371" s="64" t="s">
        <v>36</v>
      </c>
      <c r="Y371" s="64" t="s">
        <v>29</v>
      </c>
      <c r="Z371" s="71">
        <f t="shared" ref="Z371:Z372" si="811">+W371*100/M371</f>
        <v>14.736842105263158</v>
      </c>
      <c r="AA371" s="93"/>
    </row>
    <row r="372" spans="1:27">
      <c r="A372" s="64">
        <f>SUBTOTAL(3,C$2:C372)</f>
        <v>371</v>
      </c>
      <c r="B372" s="64" t="s">
        <v>30</v>
      </c>
      <c r="C372" s="64" t="s">
        <v>31</v>
      </c>
      <c r="D372" s="64" t="s">
        <v>32</v>
      </c>
      <c r="E372" s="64" t="s">
        <v>33</v>
      </c>
      <c r="F372" s="52" t="s">
        <v>782</v>
      </c>
      <c r="G372" s="91" t="s">
        <v>34</v>
      </c>
      <c r="H372" s="98" t="s">
        <v>799</v>
      </c>
      <c r="I372" s="65">
        <v>46136</v>
      </c>
      <c r="J372" s="64">
        <f t="shared" ca="1" si="807"/>
        <v>48</v>
      </c>
      <c r="K372" s="64">
        <f t="shared" si="808"/>
        <v>46163</v>
      </c>
      <c r="L372" s="52" t="s">
        <v>2782</v>
      </c>
      <c r="M372" s="64">
        <v>18000</v>
      </c>
      <c r="N372" s="64">
        <v>16000</v>
      </c>
      <c r="O372" s="65">
        <v>46137</v>
      </c>
      <c r="P372" s="64">
        <f t="shared" si="809"/>
        <v>2000</v>
      </c>
      <c r="Q372" s="64" t="s">
        <v>33</v>
      </c>
      <c r="R372" s="64" t="s">
        <v>56</v>
      </c>
      <c r="S372" s="64">
        <v>20500</v>
      </c>
      <c r="T372" s="64" t="s">
        <v>2183</v>
      </c>
      <c r="U372" s="65">
        <v>46163</v>
      </c>
      <c r="V372" s="64" t="s">
        <v>28</v>
      </c>
      <c r="W372" s="64">
        <f t="shared" si="810"/>
        <v>2500</v>
      </c>
      <c r="X372" s="64" t="s">
        <v>36</v>
      </c>
      <c r="Y372" s="64" t="s">
        <v>29</v>
      </c>
      <c r="Z372" s="71">
        <f t="shared" si="811"/>
        <v>13.888888888888889</v>
      </c>
      <c r="AA372" s="93"/>
    </row>
    <row r="373" spans="1:27">
      <c r="A373" s="64">
        <f>SUBTOTAL(3,C$2:C373)</f>
        <v>372</v>
      </c>
      <c r="B373" s="64" t="s">
        <v>30</v>
      </c>
      <c r="C373" s="64" t="s">
        <v>31</v>
      </c>
      <c r="D373" s="64" t="s">
        <v>32</v>
      </c>
      <c r="E373" s="64" t="s">
        <v>33</v>
      </c>
      <c r="F373" s="52" t="s">
        <v>779</v>
      </c>
      <c r="G373" s="91" t="s">
        <v>34</v>
      </c>
      <c r="H373" s="95" t="s">
        <v>791</v>
      </c>
      <c r="I373" s="65">
        <v>46137</v>
      </c>
      <c r="J373" s="64">
        <f t="shared" ref="J373" ca="1" si="812">+TODAY()-I373</f>
        <v>47</v>
      </c>
      <c r="K373" s="64">
        <f t="shared" ref="K373" si="813">+U373</f>
        <v>46169</v>
      </c>
      <c r="L373" s="64" t="s">
        <v>47</v>
      </c>
      <c r="M373" s="64">
        <v>19000</v>
      </c>
      <c r="N373" s="64">
        <v>17000</v>
      </c>
      <c r="O373" s="65">
        <v>46137</v>
      </c>
      <c r="P373" s="64">
        <f t="shared" ref="P373" si="814">+M373-N373</f>
        <v>2000</v>
      </c>
      <c r="Q373" s="64" t="s">
        <v>33</v>
      </c>
      <c r="R373" s="64" t="s">
        <v>39</v>
      </c>
      <c r="S373" s="64">
        <v>21800</v>
      </c>
      <c r="T373" s="64" t="s">
        <v>2658</v>
      </c>
      <c r="U373" s="65">
        <v>46169</v>
      </c>
      <c r="V373" s="64" t="s">
        <v>28</v>
      </c>
      <c r="W373" s="64">
        <f t="shared" ref="W373" si="815">+S373-M373</f>
        <v>2800</v>
      </c>
      <c r="X373" s="64" t="s">
        <v>36</v>
      </c>
      <c r="Y373" s="64" t="s">
        <v>29</v>
      </c>
      <c r="Z373" s="71">
        <f t="shared" ref="Z373" si="816">+W373*100/M373</f>
        <v>14.736842105263158</v>
      </c>
      <c r="AA373" s="93"/>
    </row>
    <row r="374" spans="1:27">
      <c r="A374" s="64">
        <f>SUBTOTAL(3,C$2:C374)</f>
        <v>373</v>
      </c>
      <c r="B374" s="64" t="s">
        <v>30</v>
      </c>
      <c r="C374" s="64" t="s">
        <v>31</v>
      </c>
      <c r="D374" s="64" t="s">
        <v>32</v>
      </c>
      <c r="E374" s="64" t="s">
        <v>33</v>
      </c>
      <c r="F374" s="52" t="s">
        <v>780</v>
      </c>
      <c r="G374" s="91" t="s">
        <v>34</v>
      </c>
      <c r="H374" s="95" t="s">
        <v>792</v>
      </c>
      <c r="I374" s="65">
        <v>46137</v>
      </c>
      <c r="J374" s="64">
        <f t="shared" ref="J374:J375" ca="1" si="817">+TODAY()-I374</f>
        <v>47</v>
      </c>
      <c r="K374" s="64">
        <f t="shared" ref="K374:K375" si="818">+U374</f>
        <v>46162</v>
      </c>
      <c r="L374" s="64" t="s">
        <v>47</v>
      </c>
      <c r="M374" s="64">
        <v>19000</v>
      </c>
      <c r="N374" s="64">
        <v>17000</v>
      </c>
      <c r="O374" s="65">
        <v>46137</v>
      </c>
      <c r="P374" s="64">
        <f t="shared" ref="P374:P375" si="819">+M374-N374</f>
        <v>2000</v>
      </c>
      <c r="Q374" s="64" t="s">
        <v>33</v>
      </c>
      <c r="R374" s="64" t="s">
        <v>39</v>
      </c>
      <c r="S374" s="64">
        <v>21800</v>
      </c>
      <c r="T374" s="64" t="s">
        <v>2147</v>
      </c>
      <c r="U374" s="65">
        <v>46162</v>
      </c>
      <c r="V374" s="64" t="s">
        <v>28</v>
      </c>
      <c r="W374" s="64">
        <f t="shared" ref="W374:W375" si="820">+S374-M374</f>
        <v>2800</v>
      </c>
      <c r="X374" s="64" t="s">
        <v>36</v>
      </c>
      <c r="Y374" s="64" t="s">
        <v>29</v>
      </c>
      <c r="Z374" s="71">
        <f t="shared" ref="Z374:Z375" si="821">+W374*100/M374</f>
        <v>14.736842105263158</v>
      </c>
      <c r="AA374" s="93"/>
    </row>
    <row r="375" spans="1:27">
      <c r="A375" s="64">
        <f>SUBTOTAL(3,C$2:C375)</f>
        <v>374</v>
      </c>
      <c r="B375" s="64" t="s">
        <v>30</v>
      </c>
      <c r="C375" s="64" t="s">
        <v>44</v>
      </c>
      <c r="D375" s="64" t="s">
        <v>32</v>
      </c>
      <c r="E375" s="64" t="s">
        <v>33</v>
      </c>
      <c r="F375" s="52" t="s">
        <v>479</v>
      </c>
      <c r="G375" s="91">
        <v>407</v>
      </c>
      <c r="H375" s="52" t="s">
        <v>793</v>
      </c>
      <c r="I375" s="65">
        <v>46137</v>
      </c>
      <c r="J375" s="64">
        <f t="shared" ca="1" si="817"/>
        <v>47</v>
      </c>
      <c r="K375" s="64" t="str">
        <f t="shared" si="818"/>
        <v>Pending</v>
      </c>
      <c r="L375" s="52" t="s">
        <v>381</v>
      </c>
      <c r="M375" s="64">
        <v>28000</v>
      </c>
      <c r="N375" s="64">
        <v>25000</v>
      </c>
      <c r="O375" s="65">
        <v>46137</v>
      </c>
      <c r="P375" s="64">
        <f t="shared" si="819"/>
        <v>3000</v>
      </c>
      <c r="Q375" s="64" t="s">
        <v>33</v>
      </c>
      <c r="R375" s="64" t="s">
        <v>56</v>
      </c>
      <c r="S375" s="64">
        <v>30800</v>
      </c>
      <c r="T375" s="64" t="s">
        <v>33</v>
      </c>
      <c r="U375" s="65" t="s">
        <v>33</v>
      </c>
      <c r="V375" s="64" t="s">
        <v>28</v>
      </c>
      <c r="W375" s="64">
        <f t="shared" si="820"/>
        <v>2800</v>
      </c>
      <c r="X375" s="64" t="s">
        <v>36</v>
      </c>
      <c r="Y375" s="64" t="s">
        <v>29</v>
      </c>
      <c r="Z375" s="71">
        <f t="shared" si="821"/>
        <v>10</v>
      </c>
      <c r="AA375" s="93"/>
    </row>
    <row r="376" spans="1:27">
      <c r="A376" s="64">
        <f>SUBTOTAL(3,C$2:C376)</f>
        <v>375</v>
      </c>
      <c r="B376" s="64" t="s">
        <v>30</v>
      </c>
      <c r="C376" s="64" t="s">
        <v>124</v>
      </c>
      <c r="D376" s="64" t="s">
        <v>32</v>
      </c>
      <c r="E376" s="64" t="s">
        <v>33</v>
      </c>
      <c r="F376" s="52" t="s">
        <v>784</v>
      </c>
      <c r="G376" s="91" t="s">
        <v>50</v>
      </c>
      <c r="H376" s="95" t="s">
        <v>794</v>
      </c>
      <c r="I376" s="65">
        <v>46137</v>
      </c>
      <c r="J376" s="64">
        <f t="shared" ref="J376" ca="1" si="822">+TODAY()-I376</f>
        <v>47</v>
      </c>
      <c r="K376" s="64">
        <f t="shared" ref="K376" si="823">+U376</f>
        <v>46162</v>
      </c>
      <c r="L376" s="64" t="s">
        <v>97</v>
      </c>
      <c r="M376" s="64">
        <f>3000+44000</f>
        <v>47000</v>
      </c>
      <c r="N376" s="64">
        <v>40000</v>
      </c>
      <c r="O376" s="65">
        <v>46137</v>
      </c>
      <c r="P376" s="64">
        <v>3000</v>
      </c>
      <c r="Q376" s="64" t="s">
        <v>33</v>
      </c>
      <c r="R376" s="64" t="s">
        <v>52</v>
      </c>
      <c r="S376" s="64">
        <f>5000+48000</f>
        <v>53000</v>
      </c>
      <c r="T376" s="64" t="s">
        <v>2155</v>
      </c>
      <c r="U376" s="65">
        <v>46162</v>
      </c>
      <c r="V376" s="64" t="s">
        <v>28</v>
      </c>
      <c r="W376" s="64">
        <f t="shared" ref="W376" si="824">+S376-M376</f>
        <v>6000</v>
      </c>
      <c r="X376" s="64" t="s">
        <v>36</v>
      </c>
      <c r="Y376" s="64" t="s">
        <v>29</v>
      </c>
      <c r="Z376" s="71">
        <f t="shared" ref="Z376" si="825">+W376*100/M376</f>
        <v>12.76595744680851</v>
      </c>
      <c r="AA376" s="93"/>
    </row>
    <row r="377" spans="1:27">
      <c r="A377" s="64">
        <f>SUBTOTAL(3,C$2:C377)</f>
        <v>376</v>
      </c>
      <c r="B377" s="64" t="s">
        <v>30</v>
      </c>
      <c r="C377" s="64" t="s">
        <v>31</v>
      </c>
      <c r="D377" s="64" t="s">
        <v>32</v>
      </c>
      <c r="E377" s="64" t="s">
        <v>33</v>
      </c>
      <c r="F377" s="52" t="s">
        <v>785</v>
      </c>
      <c r="G377" s="91" t="s">
        <v>34</v>
      </c>
      <c r="H377" s="52" t="s">
        <v>795</v>
      </c>
      <c r="I377" s="65">
        <v>46136</v>
      </c>
      <c r="J377" s="64">
        <f t="shared" ref="J377:J385" ca="1" si="826">+TODAY()-I377</f>
        <v>48</v>
      </c>
      <c r="K377" s="64" t="str">
        <f t="shared" ref="K377:K385" si="827">+U377</f>
        <v>Pending</v>
      </c>
      <c r="L377" s="52" t="s">
        <v>2782</v>
      </c>
      <c r="M377" s="64">
        <v>18000</v>
      </c>
      <c r="N377" s="64">
        <v>16000</v>
      </c>
      <c r="O377" s="65">
        <v>46137</v>
      </c>
      <c r="P377" s="64">
        <f t="shared" ref="P377:P385" si="828">+M377-N377</f>
        <v>2000</v>
      </c>
      <c r="Q377" s="64" t="s">
        <v>33</v>
      </c>
      <c r="R377" s="64" t="s">
        <v>56</v>
      </c>
      <c r="S377" s="64">
        <v>20500</v>
      </c>
      <c r="T377" s="64" t="s">
        <v>33</v>
      </c>
      <c r="U377" s="65" t="s">
        <v>33</v>
      </c>
      <c r="V377" s="64" t="s">
        <v>28</v>
      </c>
      <c r="W377" s="64">
        <f t="shared" ref="W377:W385" si="829">+S377-M377</f>
        <v>2500</v>
      </c>
      <c r="X377" s="64" t="s">
        <v>36</v>
      </c>
      <c r="Y377" s="64" t="s">
        <v>29</v>
      </c>
      <c r="Z377" s="71">
        <f t="shared" ref="Z377:Z385" si="830">+W377*100/M377</f>
        <v>13.888888888888889</v>
      </c>
      <c r="AA377" s="93"/>
    </row>
    <row r="378" spans="1:27">
      <c r="A378" s="64">
        <f>SUBTOTAL(3,C$2:C378)</f>
        <v>377</v>
      </c>
      <c r="B378" s="64" t="s">
        <v>30</v>
      </c>
      <c r="C378" s="64" t="s">
        <v>31</v>
      </c>
      <c r="D378" s="64" t="s">
        <v>32</v>
      </c>
      <c r="E378" s="64" t="s">
        <v>33</v>
      </c>
      <c r="F378" s="52" t="s">
        <v>781</v>
      </c>
      <c r="G378" s="91" t="s">
        <v>34</v>
      </c>
      <c r="H378" s="95" t="s">
        <v>796</v>
      </c>
      <c r="I378" s="65">
        <v>46137</v>
      </c>
      <c r="J378" s="64">
        <f t="shared" ca="1" si="826"/>
        <v>47</v>
      </c>
      <c r="K378" s="64">
        <f t="shared" si="827"/>
        <v>46169</v>
      </c>
      <c r="L378" s="64" t="s">
        <v>47</v>
      </c>
      <c r="M378" s="64">
        <v>19000</v>
      </c>
      <c r="N378" s="64">
        <v>17000</v>
      </c>
      <c r="O378" s="65">
        <v>46137</v>
      </c>
      <c r="P378" s="64">
        <f t="shared" si="828"/>
        <v>2000</v>
      </c>
      <c r="Q378" s="64" t="s">
        <v>33</v>
      </c>
      <c r="R378" s="64" t="s">
        <v>39</v>
      </c>
      <c r="S378" s="64">
        <v>21800</v>
      </c>
      <c r="T378" s="64" t="s">
        <v>2666</v>
      </c>
      <c r="U378" s="65">
        <v>46169</v>
      </c>
      <c r="V378" s="64" t="s">
        <v>28</v>
      </c>
      <c r="W378" s="64">
        <f t="shared" si="829"/>
        <v>2800</v>
      </c>
      <c r="X378" s="64" t="s">
        <v>36</v>
      </c>
      <c r="Y378" s="64" t="s">
        <v>29</v>
      </c>
      <c r="Z378" s="71">
        <f t="shared" si="830"/>
        <v>14.736842105263158</v>
      </c>
      <c r="AA378" s="93"/>
    </row>
    <row r="379" spans="1:27">
      <c r="A379" s="64">
        <f>SUBTOTAL(3,C$2:C379)</f>
        <v>378</v>
      </c>
      <c r="B379" s="64" t="s">
        <v>30</v>
      </c>
      <c r="C379" s="64" t="s">
        <v>80</v>
      </c>
      <c r="D379" s="64" t="s">
        <v>32</v>
      </c>
      <c r="E379" s="64" t="s">
        <v>33</v>
      </c>
      <c r="F379" s="52" t="s">
        <v>81</v>
      </c>
      <c r="G379" s="91" t="s">
        <v>59</v>
      </c>
      <c r="H379" s="95" t="s">
        <v>797</v>
      </c>
      <c r="I379" s="65">
        <v>46137</v>
      </c>
      <c r="J379" s="64">
        <f t="shared" ca="1" si="826"/>
        <v>47</v>
      </c>
      <c r="K379" s="64">
        <f t="shared" si="827"/>
        <v>46148</v>
      </c>
      <c r="L379" s="52" t="s">
        <v>740</v>
      </c>
      <c r="M379" s="64">
        <v>35000</v>
      </c>
      <c r="N379" s="64">
        <v>32000</v>
      </c>
      <c r="O379" s="65">
        <v>46137</v>
      </c>
      <c r="P379" s="64">
        <f t="shared" si="828"/>
        <v>3000</v>
      </c>
      <c r="Q379" s="64" t="s">
        <v>33</v>
      </c>
      <c r="R379" s="64" t="s">
        <v>37</v>
      </c>
      <c r="S379" s="64">
        <v>38000</v>
      </c>
      <c r="T379" s="64" t="s">
        <v>1335</v>
      </c>
      <c r="U379" s="65">
        <v>46148</v>
      </c>
      <c r="V379" s="64" t="s">
        <v>28</v>
      </c>
      <c r="W379" s="64">
        <f t="shared" si="829"/>
        <v>3000</v>
      </c>
      <c r="X379" s="64" t="s">
        <v>36</v>
      </c>
      <c r="Y379" s="64" t="s">
        <v>29</v>
      </c>
      <c r="Z379" s="71">
        <f t="shared" si="830"/>
        <v>8.5714285714285712</v>
      </c>
      <c r="AA379" s="93"/>
    </row>
    <row r="380" spans="1:27">
      <c r="A380" s="64">
        <f>SUBTOTAL(3,C$2:C380)</f>
        <v>379</v>
      </c>
      <c r="B380" s="64" t="s">
        <v>30</v>
      </c>
      <c r="C380" s="64" t="s">
        <v>156</v>
      </c>
      <c r="D380" s="64" t="s">
        <v>32</v>
      </c>
      <c r="E380" s="64" t="s">
        <v>33</v>
      </c>
      <c r="F380" s="52" t="s">
        <v>164</v>
      </c>
      <c r="G380" s="91" t="s">
        <v>67</v>
      </c>
      <c r="H380" s="95" t="s">
        <v>798</v>
      </c>
      <c r="I380" s="65">
        <v>46135</v>
      </c>
      <c r="J380" s="64">
        <f t="shared" ca="1" si="826"/>
        <v>49</v>
      </c>
      <c r="K380" s="64">
        <f t="shared" si="827"/>
        <v>46148</v>
      </c>
      <c r="L380" s="64" t="s">
        <v>97</v>
      </c>
      <c r="M380" s="64">
        <v>21500</v>
      </c>
      <c r="N380" s="64">
        <v>21500</v>
      </c>
      <c r="O380" s="65">
        <v>46137</v>
      </c>
      <c r="P380" s="64">
        <f t="shared" si="828"/>
        <v>0</v>
      </c>
      <c r="Q380" s="64" t="s">
        <v>33</v>
      </c>
      <c r="R380" s="64" t="s">
        <v>78</v>
      </c>
      <c r="S380" s="64">
        <v>25500</v>
      </c>
      <c r="T380" s="64" t="s">
        <v>1329</v>
      </c>
      <c r="U380" s="65">
        <v>46148</v>
      </c>
      <c r="V380" s="64" t="s">
        <v>28</v>
      </c>
      <c r="W380" s="64">
        <f t="shared" si="829"/>
        <v>4000</v>
      </c>
      <c r="X380" s="64" t="s">
        <v>36</v>
      </c>
      <c r="Y380" s="64" t="s">
        <v>29</v>
      </c>
      <c r="Z380" s="71">
        <f t="shared" si="830"/>
        <v>18.604651162790699</v>
      </c>
      <c r="AA380" s="93"/>
    </row>
    <row r="381" spans="1:27">
      <c r="A381" s="64">
        <f>SUBTOTAL(3,C$2:C381)</f>
        <v>380</v>
      </c>
      <c r="B381" s="64" t="s">
        <v>30</v>
      </c>
      <c r="C381" s="64" t="s">
        <v>31</v>
      </c>
      <c r="D381" s="64" t="s">
        <v>32</v>
      </c>
      <c r="E381" s="64" t="s">
        <v>33</v>
      </c>
      <c r="F381" s="52" t="s">
        <v>832</v>
      </c>
      <c r="G381" s="91" t="s">
        <v>34</v>
      </c>
      <c r="H381" s="98" t="s">
        <v>848</v>
      </c>
      <c r="I381" s="65">
        <v>46137</v>
      </c>
      <c r="J381" s="64">
        <f t="shared" ca="1" si="826"/>
        <v>47</v>
      </c>
      <c r="K381" s="64">
        <f t="shared" si="827"/>
        <v>46162</v>
      </c>
      <c r="L381" s="64" t="s">
        <v>47</v>
      </c>
      <c r="M381" s="64">
        <v>19000</v>
      </c>
      <c r="N381" s="64">
        <v>17000</v>
      </c>
      <c r="O381" s="65">
        <v>46139</v>
      </c>
      <c r="P381" s="64">
        <f t="shared" si="828"/>
        <v>2000</v>
      </c>
      <c r="Q381" s="64" t="s">
        <v>33</v>
      </c>
      <c r="R381" s="64" t="s">
        <v>39</v>
      </c>
      <c r="S381" s="64">
        <v>21800</v>
      </c>
      <c r="T381" s="64" t="s">
        <v>2145</v>
      </c>
      <c r="U381" s="65">
        <v>46162</v>
      </c>
      <c r="V381" s="64" t="s">
        <v>28</v>
      </c>
      <c r="W381" s="64">
        <f t="shared" si="829"/>
        <v>2800</v>
      </c>
      <c r="X381" s="64" t="s">
        <v>36</v>
      </c>
      <c r="Y381" s="64" t="s">
        <v>29</v>
      </c>
      <c r="Z381" s="71">
        <f t="shared" si="830"/>
        <v>14.736842105263158</v>
      </c>
      <c r="AA381" s="93"/>
    </row>
    <row r="382" spans="1:27">
      <c r="A382" s="64">
        <f>SUBTOTAL(3,C$2:C382)</f>
        <v>381</v>
      </c>
      <c r="B382" s="64" t="s">
        <v>30</v>
      </c>
      <c r="C382" s="64" t="s">
        <v>31</v>
      </c>
      <c r="D382" s="64" t="s">
        <v>32</v>
      </c>
      <c r="E382" s="64" t="s">
        <v>33</v>
      </c>
      <c r="F382" s="52" t="s">
        <v>43</v>
      </c>
      <c r="G382" s="91" t="s">
        <v>34</v>
      </c>
      <c r="H382" s="98" t="s">
        <v>849</v>
      </c>
      <c r="I382" s="65">
        <v>46137</v>
      </c>
      <c r="J382" s="64">
        <f t="shared" ca="1" si="826"/>
        <v>47</v>
      </c>
      <c r="K382" s="64">
        <f t="shared" si="827"/>
        <v>46162</v>
      </c>
      <c r="L382" s="64" t="s">
        <v>47</v>
      </c>
      <c r="M382" s="64">
        <v>19000</v>
      </c>
      <c r="N382" s="64">
        <v>17000</v>
      </c>
      <c r="O382" s="65">
        <v>46139</v>
      </c>
      <c r="P382" s="64">
        <f t="shared" si="828"/>
        <v>2000</v>
      </c>
      <c r="Q382" s="64" t="s">
        <v>33</v>
      </c>
      <c r="R382" s="64" t="s">
        <v>39</v>
      </c>
      <c r="S382" s="64">
        <v>21800</v>
      </c>
      <c r="T382" s="64" t="s">
        <v>2147</v>
      </c>
      <c r="U382" s="65">
        <v>46162</v>
      </c>
      <c r="V382" s="64" t="s">
        <v>28</v>
      </c>
      <c r="W382" s="64">
        <f t="shared" si="829"/>
        <v>2800</v>
      </c>
      <c r="X382" s="64" t="s">
        <v>36</v>
      </c>
      <c r="Y382" s="64" t="s">
        <v>29</v>
      </c>
      <c r="Z382" s="71">
        <f t="shared" si="830"/>
        <v>14.736842105263158</v>
      </c>
      <c r="AA382" s="93"/>
    </row>
    <row r="383" spans="1:27">
      <c r="A383" s="64">
        <f>SUBTOTAL(3,C$2:C383)</f>
        <v>382</v>
      </c>
      <c r="B383" s="64" t="s">
        <v>30</v>
      </c>
      <c r="C383" s="64" t="s">
        <v>31</v>
      </c>
      <c r="D383" s="64" t="s">
        <v>32</v>
      </c>
      <c r="E383" s="64" t="s">
        <v>33</v>
      </c>
      <c r="F383" s="52" t="s">
        <v>840</v>
      </c>
      <c r="G383" s="91" t="s">
        <v>34</v>
      </c>
      <c r="H383" s="98" t="s">
        <v>850</v>
      </c>
      <c r="I383" s="65">
        <v>46137</v>
      </c>
      <c r="J383" s="64">
        <f t="shared" ca="1" si="826"/>
        <v>47</v>
      </c>
      <c r="K383" s="64">
        <f t="shared" si="827"/>
        <v>46170</v>
      </c>
      <c r="L383" s="52" t="s">
        <v>2782</v>
      </c>
      <c r="M383" s="64">
        <v>18000</v>
      </c>
      <c r="N383" s="64">
        <v>16000</v>
      </c>
      <c r="O383" s="65">
        <v>46139</v>
      </c>
      <c r="P383" s="64">
        <f t="shared" si="828"/>
        <v>2000</v>
      </c>
      <c r="Q383" s="64" t="s">
        <v>33</v>
      </c>
      <c r="R383" s="64" t="s">
        <v>56</v>
      </c>
      <c r="S383" s="64">
        <v>20500</v>
      </c>
      <c r="T383" s="64" t="s">
        <v>2667</v>
      </c>
      <c r="U383" s="65">
        <v>46170</v>
      </c>
      <c r="V383" s="64" t="s">
        <v>28</v>
      </c>
      <c r="W383" s="64">
        <f t="shared" si="829"/>
        <v>2500</v>
      </c>
      <c r="X383" s="64" t="s">
        <v>36</v>
      </c>
      <c r="Y383" s="64" t="s">
        <v>29</v>
      </c>
      <c r="Z383" s="71">
        <f t="shared" si="830"/>
        <v>13.888888888888889</v>
      </c>
      <c r="AA383" s="93"/>
    </row>
    <row r="384" spans="1:27">
      <c r="A384" s="64">
        <f>SUBTOTAL(3,C$2:C384)</f>
        <v>383</v>
      </c>
      <c r="B384" s="64" t="s">
        <v>30</v>
      </c>
      <c r="C384" s="64" t="s">
        <v>44</v>
      </c>
      <c r="D384" s="64" t="s">
        <v>32</v>
      </c>
      <c r="E384" s="64" t="s">
        <v>33</v>
      </c>
      <c r="F384" s="52" t="s">
        <v>245</v>
      </c>
      <c r="G384" s="91">
        <v>407</v>
      </c>
      <c r="H384" s="98" t="s">
        <v>851</v>
      </c>
      <c r="I384" s="65">
        <v>46137</v>
      </c>
      <c r="J384" s="64">
        <f t="shared" ca="1" si="826"/>
        <v>47</v>
      </c>
      <c r="K384" s="64">
        <f t="shared" si="827"/>
        <v>46148</v>
      </c>
      <c r="L384" s="64" t="s">
        <v>239</v>
      </c>
      <c r="M384" s="64">
        <v>29000</v>
      </c>
      <c r="N384" s="64">
        <v>26000</v>
      </c>
      <c r="O384" s="65">
        <v>46139</v>
      </c>
      <c r="P384" s="64">
        <f t="shared" si="828"/>
        <v>3000</v>
      </c>
      <c r="Q384" s="64" t="s">
        <v>33</v>
      </c>
      <c r="R384" s="64" t="s">
        <v>37</v>
      </c>
      <c r="S384" s="64">
        <v>33000</v>
      </c>
      <c r="T384" s="64" t="s">
        <v>1338</v>
      </c>
      <c r="U384" s="65">
        <v>46148</v>
      </c>
      <c r="V384" s="64" t="s">
        <v>28</v>
      </c>
      <c r="W384" s="64">
        <f t="shared" si="829"/>
        <v>4000</v>
      </c>
      <c r="X384" s="64" t="s">
        <v>36</v>
      </c>
      <c r="Y384" s="64" t="s">
        <v>29</v>
      </c>
      <c r="Z384" s="71">
        <f t="shared" si="830"/>
        <v>13.793103448275861</v>
      </c>
      <c r="AA384" s="93"/>
    </row>
    <row r="385" spans="1:27">
      <c r="A385" s="64">
        <f>SUBTOTAL(3,C$2:C385)</f>
        <v>384</v>
      </c>
      <c r="B385" s="64" t="s">
        <v>30</v>
      </c>
      <c r="C385" s="64" t="s">
        <v>31</v>
      </c>
      <c r="D385" s="64" t="s">
        <v>32</v>
      </c>
      <c r="E385" s="64" t="s">
        <v>33</v>
      </c>
      <c r="F385" s="52" t="s">
        <v>833</v>
      </c>
      <c r="G385" s="91" t="s">
        <v>34</v>
      </c>
      <c r="H385" s="98" t="s">
        <v>852</v>
      </c>
      <c r="I385" s="65">
        <v>46137</v>
      </c>
      <c r="J385" s="64">
        <f t="shared" ca="1" si="826"/>
        <v>47</v>
      </c>
      <c r="K385" s="64">
        <f t="shared" si="827"/>
        <v>46162</v>
      </c>
      <c r="L385" s="64" t="s">
        <v>47</v>
      </c>
      <c r="M385" s="64">
        <v>19000</v>
      </c>
      <c r="N385" s="64">
        <v>17000</v>
      </c>
      <c r="O385" s="65">
        <v>46139</v>
      </c>
      <c r="P385" s="64">
        <f t="shared" si="828"/>
        <v>2000</v>
      </c>
      <c r="Q385" s="64" t="s">
        <v>33</v>
      </c>
      <c r="R385" s="64" t="s">
        <v>39</v>
      </c>
      <c r="S385" s="64">
        <v>21800</v>
      </c>
      <c r="T385" s="64" t="s">
        <v>2145</v>
      </c>
      <c r="U385" s="65">
        <v>46162</v>
      </c>
      <c r="V385" s="64" t="s">
        <v>28</v>
      </c>
      <c r="W385" s="64">
        <f t="shared" si="829"/>
        <v>2800</v>
      </c>
      <c r="X385" s="64" t="s">
        <v>36</v>
      </c>
      <c r="Y385" s="64" t="s">
        <v>29</v>
      </c>
      <c r="Z385" s="71">
        <f t="shared" si="830"/>
        <v>14.736842105263158</v>
      </c>
      <c r="AA385" s="93"/>
    </row>
    <row r="386" spans="1:27">
      <c r="A386" s="64">
        <f>SUBTOTAL(3,C$2:C386)</f>
        <v>385</v>
      </c>
      <c r="B386" s="64" t="s">
        <v>30</v>
      </c>
      <c r="C386" s="64" t="s">
        <v>44</v>
      </c>
      <c r="D386" s="64" t="s">
        <v>32</v>
      </c>
      <c r="E386" s="64" t="s">
        <v>33</v>
      </c>
      <c r="F386" s="52" t="s">
        <v>828</v>
      </c>
      <c r="G386" s="91">
        <v>407</v>
      </c>
      <c r="H386" s="98" t="s">
        <v>853</v>
      </c>
      <c r="I386" s="65">
        <v>46137</v>
      </c>
      <c r="J386" s="64">
        <f t="shared" ref="J386:J413" ca="1" si="831">+TODAY()-I386</f>
        <v>47</v>
      </c>
      <c r="K386" s="64">
        <f t="shared" ref="K386:K413" si="832">+U386</f>
        <v>46148</v>
      </c>
      <c r="L386" s="52" t="s">
        <v>381</v>
      </c>
      <c r="M386" s="64">
        <v>27000</v>
      </c>
      <c r="N386" s="64">
        <v>25000</v>
      </c>
      <c r="O386" s="65">
        <v>46139</v>
      </c>
      <c r="P386" s="64">
        <f t="shared" ref="P386:P413" si="833">+M386-N386</f>
        <v>2000</v>
      </c>
      <c r="Q386" s="64" t="s">
        <v>33</v>
      </c>
      <c r="R386" s="64" t="s">
        <v>78</v>
      </c>
      <c r="S386" s="64">
        <v>29800</v>
      </c>
      <c r="T386" s="64" t="s">
        <v>1328</v>
      </c>
      <c r="U386" s="65">
        <v>46148</v>
      </c>
      <c r="V386" s="64" t="s">
        <v>28</v>
      </c>
      <c r="W386" s="64">
        <f t="shared" ref="W386:W413" si="834">+S386-M386</f>
        <v>2800</v>
      </c>
      <c r="X386" s="64" t="s">
        <v>36</v>
      </c>
      <c r="Y386" s="64" t="s">
        <v>29</v>
      </c>
      <c r="Z386" s="71">
        <f t="shared" ref="Z386:Z413" si="835">+W386*100/M386</f>
        <v>10.37037037037037</v>
      </c>
      <c r="AA386" s="93"/>
    </row>
    <row r="387" spans="1:27">
      <c r="A387" s="64">
        <f>SUBTOTAL(3,C$2:C387)</f>
        <v>386</v>
      </c>
      <c r="B387" s="64" t="s">
        <v>30</v>
      </c>
      <c r="C387" s="64" t="s">
        <v>31</v>
      </c>
      <c r="D387" s="64" t="s">
        <v>32</v>
      </c>
      <c r="E387" s="64" t="s">
        <v>33</v>
      </c>
      <c r="F387" s="52" t="s">
        <v>115</v>
      </c>
      <c r="G387" s="91" t="s">
        <v>34</v>
      </c>
      <c r="H387" s="98" t="s">
        <v>854</v>
      </c>
      <c r="I387" s="65">
        <v>46138</v>
      </c>
      <c r="J387" s="64">
        <f t="shared" ca="1" si="831"/>
        <v>46</v>
      </c>
      <c r="K387" s="64">
        <f t="shared" si="832"/>
        <v>46169</v>
      </c>
      <c r="L387" s="64" t="s">
        <v>47</v>
      </c>
      <c r="M387" s="64">
        <v>19000</v>
      </c>
      <c r="N387" s="64">
        <v>17000</v>
      </c>
      <c r="O387" s="65">
        <v>46139</v>
      </c>
      <c r="P387" s="64">
        <f t="shared" si="833"/>
        <v>2000</v>
      </c>
      <c r="Q387" s="64" t="s">
        <v>33</v>
      </c>
      <c r="R387" s="64" t="s">
        <v>39</v>
      </c>
      <c r="S387" s="64">
        <v>21800</v>
      </c>
      <c r="T387" s="64" t="s">
        <v>2666</v>
      </c>
      <c r="U387" s="65">
        <v>46169</v>
      </c>
      <c r="V387" s="64" t="s">
        <v>28</v>
      </c>
      <c r="W387" s="64">
        <f t="shared" si="834"/>
        <v>2800</v>
      </c>
      <c r="X387" s="64" t="s">
        <v>36</v>
      </c>
      <c r="Y387" s="64" t="s">
        <v>29</v>
      </c>
      <c r="Z387" s="71">
        <f t="shared" si="835"/>
        <v>14.736842105263158</v>
      </c>
      <c r="AA387" s="93"/>
    </row>
    <row r="388" spans="1:27">
      <c r="A388" s="64">
        <f>SUBTOTAL(3,C$2:C388)</f>
        <v>387</v>
      </c>
      <c r="B388" s="64" t="s">
        <v>30</v>
      </c>
      <c r="C388" s="64" t="s">
        <v>31</v>
      </c>
      <c r="D388" s="64" t="s">
        <v>32</v>
      </c>
      <c r="E388" s="64" t="s">
        <v>33</v>
      </c>
      <c r="F388" s="52" t="s">
        <v>834</v>
      </c>
      <c r="G388" s="91" t="s">
        <v>34</v>
      </c>
      <c r="H388" s="98" t="s">
        <v>855</v>
      </c>
      <c r="I388" s="65">
        <v>46138</v>
      </c>
      <c r="J388" s="64">
        <f t="shared" ca="1" si="831"/>
        <v>46</v>
      </c>
      <c r="K388" s="64">
        <f t="shared" si="832"/>
        <v>46162</v>
      </c>
      <c r="L388" s="64" t="s">
        <v>47</v>
      </c>
      <c r="M388" s="64">
        <v>19000</v>
      </c>
      <c r="N388" s="64">
        <v>17000</v>
      </c>
      <c r="O388" s="65">
        <v>46139</v>
      </c>
      <c r="P388" s="64">
        <f t="shared" si="833"/>
        <v>2000</v>
      </c>
      <c r="Q388" s="64" t="s">
        <v>33</v>
      </c>
      <c r="R388" s="64" t="s">
        <v>39</v>
      </c>
      <c r="S388" s="64">
        <v>21800</v>
      </c>
      <c r="T388" s="64" t="s">
        <v>2145</v>
      </c>
      <c r="U388" s="65">
        <v>46162</v>
      </c>
      <c r="V388" s="64" t="s">
        <v>28</v>
      </c>
      <c r="W388" s="64">
        <f t="shared" si="834"/>
        <v>2800</v>
      </c>
      <c r="X388" s="64" t="s">
        <v>36</v>
      </c>
      <c r="Y388" s="64" t="s">
        <v>29</v>
      </c>
      <c r="Z388" s="71">
        <f t="shared" si="835"/>
        <v>14.736842105263158</v>
      </c>
      <c r="AA388" s="93"/>
    </row>
    <row r="389" spans="1:27">
      <c r="A389" s="64">
        <f>SUBTOTAL(3,C$2:C389)</f>
        <v>388</v>
      </c>
      <c r="B389" s="64" t="s">
        <v>30</v>
      </c>
      <c r="C389" s="64" t="s">
        <v>31</v>
      </c>
      <c r="D389" s="64" t="s">
        <v>32</v>
      </c>
      <c r="E389" s="64" t="s">
        <v>33</v>
      </c>
      <c r="F389" s="52" t="s">
        <v>841</v>
      </c>
      <c r="G389" s="91" t="s">
        <v>34</v>
      </c>
      <c r="H389" s="98" t="s">
        <v>856</v>
      </c>
      <c r="I389" s="65">
        <v>46138</v>
      </c>
      <c r="J389" s="64">
        <f t="shared" ca="1" si="831"/>
        <v>46</v>
      </c>
      <c r="K389" s="64">
        <f t="shared" si="832"/>
        <v>46163</v>
      </c>
      <c r="L389" s="52" t="s">
        <v>2782</v>
      </c>
      <c r="M389" s="64">
        <v>18000</v>
      </c>
      <c r="N389" s="64">
        <v>16000</v>
      </c>
      <c r="O389" s="65">
        <v>46139</v>
      </c>
      <c r="P389" s="64">
        <f t="shared" si="833"/>
        <v>2000</v>
      </c>
      <c r="Q389" s="64" t="s">
        <v>33</v>
      </c>
      <c r="R389" s="64" t="s">
        <v>56</v>
      </c>
      <c r="S389" s="64">
        <v>20500</v>
      </c>
      <c r="T389" s="64" t="s">
        <v>2183</v>
      </c>
      <c r="U389" s="65">
        <v>46163</v>
      </c>
      <c r="V389" s="64" t="s">
        <v>28</v>
      </c>
      <c r="W389" s="64">
        <f t="shared" si="834"/>
        <v>2500</v>
      </c>
      <c r="X389" s="64" t="s">
        <v>36</v>
      </c>
      <c r="Y389" s="64" t="s">
        <v>29</v>
      </c>
      <c r="Z389" s="71">
        <f t="shared" si="835"/>
        <v>13.888888888888889</v>
      </c>
      <c r="AA389" s="93"/>
    </row>
    <row r="390" spans="1:27">
      <c r="A390" s="64">
        <f>SUBTOTAL(3,C$2:C390)</f>
        <v>389</v>
      </c>
      <c r="B390" s="64" t="s">
        <v>30</v>
      </c>
      <c r="C390" s="64" t="s">
        <v>44</v>
      </c>
      <c r="D390" s="64" t="s">
        <v>32</v>
      </c>
      <c r="E390" s="64" t="s">
        <v>33</v>
      </c>
      <c r="F390" s="52" t="s">
        <v>513</v>
      </c>
      <c r="G390" s="91">
        <v>407</v>
      </c>
      <c r="H390" s="98" t="s">
        <v>857</v>
      </c>
      <c r="I390" s="65">
        <v>46138</v>
      </c>
      <c r="J390" s="64">
        <f t="shared" ca="1" si="831"/>
        <v>46</v>
      </c>
      <c r="K390" s="64">
        <f t="shared" si="832"/>
        <v>46148</v>
      </c>
      <c r="L390" s="52" t="s">
        <v>381</v>
      </c>
      <c r="M390" s="64">
        <v>28000</v>
      </c>
      <c r="N390" s="64">
        <v>25000</v>
      </c>
      <c r="O390" s="65">
        <v>46139</v>
      </c>
      <c r="P390" s="64">
        <f t="shared" si="833"/>
        <v>3000</v>
      </c>
      <c r="Q390" s="64" t="s">
        <v>33</v>
      </c>
      <c r="R390" s="64" t="s">
        <v>56</v>
      </c>
      <c r="S390" s="64">
        <v>30800</v>
      </c>
      <c r="T390" s="64" t="s">
        <v>1343</v>
      </c>
      <c r="U390" s="65">
        <v>46148</v>
      </c>
      <c r="V390" s="64" t="s">
        <v>28</v>
      </c>
      <c r="W390" s="64">
        <f t="shared" si="834"/>
        <v>2800</v>
      </c>
      <c r="X390" s="64" t="s">
        <v>36</v>
      </c>
      <c r="Y390" s="64" t="s">
        <v>29</v>
      </c>
      <c r="Z390" s="71">
        <f t="shared" si="835"/>
        <v>10</v>
      </c>
      <c r="AA390" s="93"/>
    </row>
    <row r="391" spans="1:27">
      <c r="A391" s="64">
        <f>SUBTOTAL(3,C$2:C391)</f>
        <v>390</v>
      </c>
      <c r="B391" s="64" t="s">
        <v>30</v>
      </c>
      <c r="C391" s="64" t="s">
        <v>44</v>
      </c>
      <c r="D391" s="64" t="s">
        <v>32</v>
      </c>
      <c r="E391" s="64" t="s">
        <v>33</v>
      </c>
      <c r="F391" s="52" t="s">
        <v>829</v>
      </c>
      <c r="G391" s="91">
        <v>407</v>
      </c>
      <c r="H391" s="98" t="s">
        <v>858</v>
      </c>
      <c r="I391" s="65">
        <v>46137</v>
      </c>
      <c r="J391" s="64">
        <f t="shared" ca="1" si="831"/>
        <v>47</v>
      </c>
      <c r="K391" s="64">
        <f t="shared" si="832"/>
        <v>46170</v>
      </c>
      <c r="L391" s="64" t="s">
        <v>239</v>
      </c>
      <c r="M391" s="64">
        <v>28500</v>
      </c>
      <c r="N391" s="64">
        <v>25500</v>
      </c>
      <c r="O391" s="65">
        <v>46139</v>
      </c>
      <c r="P391" s="64">
        <f t="shared" si="833"/>
        <v>3000</v>
      </c>
      <c r="Q391" s="64" t="s">
        <v>33</v>
      </c>
      <c r="R391" s="64" t="s">
        <v>118</v>
      </c>
      <c r="S391" s="64">
        <v>30500</v>
      </c>
      <c r="T391" s="64" t="s">
        <v>2665</v>
      </c>
      <c r="U391" s="65">
        <v>46170</v>
      </c>
      <c r="V391" s="64" t="s">
        <v>28</v>
      </c>
      <c r="W391" s="64">
        <f t="shared" si="834"/>
        <v>2000</v>
      </c>
      <c r="X391" s="64" t="s">
        <v>36</v>
      </c>
      <c r="Y391" s="64" t="s">
        <v>29</v>
      </c>
      <c r="Z391" s="71">
        <f t="shared" si="835"/>
        <v>7.0175438596491224</v>
      </c>
      <c r="AA391" s="93"/>
    </row>
    <row r="392" spans="1:27">
      <c r="A392" s="64">
        <f>SUBTOTAL(3,C$2:C392)</f>
        <v>391</v>
      </c>
      <c r="B392" s="64" t="s">
        <v>30</v>
      </c>
      <c r="C392" s="64" t="s">
        <v>31</v>
      </c>
      <c r="D392" s="64" t="s">
        <v>32</v>
      </c>
      <c r="E392" s="64" t="s">
        <v>33</v>
      </c>
      <c r="F392" s="52" t="s">
        <v>128</v>
      </c>
      <c r="G392" s="91" t="s">
        <v>34</v>
      </c>
      <c r="H392" s="98" t="s">
        <v>859</v>
      </c>
      <c r="I392" s="65">
        <v>46138</v>
      </c>
      <c r="J392" s="64">
        <f t="shared" ca="1" si="831"/>
        <v>46</v>
      </c>
      <c r="K392" s="64">
        <f t="shared" si="832"/>
        <v>46163</v>
      </c>
      <c r="L392" s="52" t="s">
        <v>2782</v>
      </c>
      <c r="M392" s="64">
        <v>18000</v>
      </c>
      <c r="N392" s="64">
        <v>16000</v>
      </c>
      <c r="O392" s="65">
        <v>46139</v>
      </c>
      <c r="P392" s="64">
        <f t="shared" si="833"/>
        <v>2000</v>
      </c>
      <c r="Q392" s="64" t="s">
        <v>33</v>
      </c>
      <c r="R392" s="64" t="s">
        <v>56</v>
      </c>
      <c r="S392" s="64">
        <v>20500</v>
      </c>
      <c r="T392" s="64" t="s">
        <v>2180</v>
      </c>
      <c r="U392" s="65">
        <v>46163</v>
      </c>
      <c r="V392" s="64" t="s">
        <v>28</v>
      </c>
      <c r="W392" s="64">
        <f t="shared" si="834"/>
        <v>2500</v>
      </c>
      <c r="X392" s="64" t="s">
        <v>36</v>
      </c>
      <c r="Y392" s="64" t="s">
        <v>29</v>
      </c>
      <c r="Z392" s="71">
        <f t="shared" si="835"/>
        <v>13.888888888888889</v>
      </c>
      <c r="AA392" s="93"/>
    </row>
    <row r="393" spans="1:27">
      <c r="A393" s="64">
        <f>SUBTOTAL(3,C$2:C393)</f>
        <v>392</v>
      </c>
      <c r="B393" s="64" t="s">
        <v>30</v>
      </c>
      <c r="C393" s="64" t="s">
        <v>44</v>
      </c>
      <c r="D393" s="64" t="s">
        <v>32</v>
      </c>
      <c r="E393" s="64" t="s">
        <v>33</v>
      </c>
      <c r="F393" s="52" t="s">
        <v>203</v>
      </c>
      <c r="G393" s="91" t="s">
        <v>34</v>
      </c>
      <c r="H393" s="98" t="s">
        <v>860</v>
      </c>
      <c r="I393" s="65">
        <v>46138</v>
      </c>
      <c r="J393" s="64">
        <f t="shared" ca="1" si="831"/>
        <v>46</v>
      </c>
      <c r="K393" s="64">
        <f t="shared" si="832"/>
        <v>46163</v>
      </c>
      <c r="L393" s="52" t="s">
        <v>2782</v>
      </c>
      <c r="M393" s="64">
        <v>18000</v>
      </c>
      <c r="N393" s="64">
        <v>16000</v>
      </c>
      <c r="O393" s="65">
        <v>46139</v>
      </c>
      <c r="P393" s="64">
        <f t="shared" si="833"/>
        <v>2000</v>
      </c>
      <c r="Q393" s="64" t="s">
        <v>33</v>
      </c>
      <c r="R393" s="64" t="s">
        <v>56</v>
      </c>
      <c r="S393" s="64">
        <v>20500</v>
      </c>
      <c r="T393" s="64" t="s">
        <v>2183</v>
      </c>
      <c r="U393" s="65">
        <v>46163</v>
      </c>
      <c r="V393" s="64" t="s">
        <v>28</v>
      </c>
      <c r="W393" s="64">
        <f t="shared" si="834"/>
        <v>2500</v>
      </c>
      <c r="X393" s="64" t="s">
        <v>36</v>
      </c>
      <c r="Y393" s="64" t="s">
        <v>29</v>
      </c>
      <c r="Z393" s="71">
        <f t="shared" si="835"/>
        <v>13.888888888888889</v>
      </c>
      <c r="AA393" s="93"/>
    </row>
    <row r="394" spans="1:27">
      <c r="A394" s="64">
        <f>SUBTOTAL(3,C$2:C394)</f>
        <v>393</v>
      </c>
      <c r="B394" s="64" t="s">
        <v>30</v>
      </c>
      <c r="C394" s="64" t="s">
        <v>31</v>
      </c>
      <c r="D394" s="64" t="s">
        <v>32</v>
      </c>
      <c r="E394" s="64" t="s">
        <v>33</v>
      </c>
      <c r="F394" s="52" t="s">
        <v>835</v>
      </c>
      <c r="G394" s="91" t="s">
        <v>34</v>
      </c>
      <c r="H394" s="98" t="s">
        <v>861</v>
      </c>
      <c r="I394" s="65">
        <v>46138</v>
      </c>
      <c r="J394" s="64">
        <f t="shared" ca="1" si="831"/>
        <v>46</v>
      </c>
      <c r="K394" s="64">
        <f t="shared" si="832"/>
        <v>46162</v>
      </c>
      <c r="L394" s="64" t="s">
        <v>47</v>
      </c>
      <c r="M394" s="64">
        <v>19000</v>
      </c>
      <c r="N394" s="64">
        <v>17000</v>
      </c>
      <c r="O394" s="65">
        <v>46139</v>
      </c>
      <c r="P394" s="64">
        <f t="shared" si="833"/>
        <v>2000</v>
      </c>
      <c r="Q394" s="64" t="s">
        <v>33</v>
      </c>
      <c r="R394" s="64" t="s">
        <v>39</v>
      </c>
      <c r="S394" s="64">
        <v>21800</v>
      </c>
      <c r="T394" s="64" t="s">
        <v>2147</v>
      </c>
      <c r="U394" s="65">
        <v>46162</v>
      </c>
      <c r="V394" s="64" t="s">
        <v>28</v>
      </c>
      <c r="W394" s="64">
        <f t="shared" si="834"/>
        <v>2800</v>
      </c>
      <c r="X394" s="64" t="s">
        <v>36</v>
      </c>
      <c r="Y394" s="64" t="s">
        <v>29</v>
      </c>
      <c r="Z394" s="71">
        <f t="shared" si="835"/>
        <v>14.736842105263158</v>
      </c>
      <c r="AA394" s="93"/>
    </row>
    <row r="395" spans="1:27">
      <c r="A395" s="64">
        <f>SUBTOTAL(3,C$2:C395)</f>
        <v>394</v>
      </c>
      <c r="B395" s="64" t="s">
        <v>30</v>
      </c>
      <c r="C395" s="64" t="s">
        <v>31</v>
      </c>
      <c r="D395" s="64" t="s">
        <v>32</v>
      </c>
      <c r="E395" s="64" t="s">
        <v>33</v>
      </c>
      <c r="F395" s="52" t="s">
        <v>455</v>
      </c>
      <c r="G395" s="91" t="s">
        <v>34</v>
      </c>
      <c r="H395" s="98" t="s">
        <v>862</v>
      </c>
      <c r="I395" s="65">
        <v>46138</v>
      </c>
      <c r="J395" s="64">
        <f t="shared" ca="1" si="831"/>
        <v>46</v>
      </c>
      <c r="K395" s="64">
        <f t="shared" si="832"/>
        <v>46162</v>
      </c>
      <c r="L395" s="64" t="s">
        <v>47</v>
      </c>
      <c r="M395" s="64">
        <v>19000</v>
      </c>
      <c r="N395" s="64">
        <v>17000</v>
      </c>
      <c r="O395" s="65">
        <v>46139</v>
      </c>
      <c r="P395" s="64">
        <f t="shared" si="833"/>
        <v>2000</v>
      </c>
      <c r="Q395" s="64" t="s">
        <v>33</v>
      </c>
      <c r="R395" s="64" t="s">
        <v>39</v>
      </c>
      <c r="S395" s="64">
        <v>21800</v>
      </c>
      <c r="T395" s="64" t="s">
        <v>2147</v>
      </c>
      <c r="U395" s="65">
        <v>46162</v>
      </c>
      <c r="V395" s="64" t="s">
        <v>28</v>
      </c>
      <c r="W395" s="64">
        <f t="shared" si="834"/>
        <v>2800</v>
      </c>
      <c r="X395" s="64" t="s">
        <v>36</v>
      </c>
      <c r="Y395" s="64" t="s">
        <v>29</v>
      </c>
      <c r="Z395" s="71">
        <f t="shared" si="835"/>
        <v>14.736842105263158</v>
      </c>
      <c r="AA395" s="93"/>
    </row>
    <row r="396" spans="1:27">
      <c r="A396" s="64">
        <f>SUBTOTAL(3,C$2:C396)</f>
        <v>395</v>
      </c>
      <c r="B396" s="64" t="s">
        <v>30</v>
      </c>
      <c r="C396" s="64" t="s">
        <v>156</v>
      </c>
      <c r="D396" s="64" t="s">
        <v>32</v>
      </c>
      <c r="E396" s="64" t="s">
        <v>33</v>
      </c>
      <c r="F396" s="52" t="s">
        <v>164</v>
      </c>
      <c r="G396" s="91" t="s">
        <v>67</v>
      </c>
      <c r="H396" s="98" t="s">
        <v>863</v>
      </c>
      <c r="I396" s="65">
        <v>46138</v>
      </c>
      <c r="J396" s="64">
        <f t="shared" ca="1" si="831"/>
        <v>46</v>
      </c>
      <c r="K396" s="64">
        <f t="shared" si="832"/>
        <v>46148</v>
      </c>
      <c r="L396" s="64" t="s">
        <v>97</v>
      </c>
      <c r="M396" s="64">
        <f>38500+3000</f>
        <v>41500</v>
      </c>
      <c r="N396" s="64">
        <v>35500</v>
      </c>
      <c r="O396" s="65">
        <v>46139</v>
      </c>
      <c r="P396" s="64">
        <f t="shared" si="833"/>
        <v>6000</v>
      </c>
      <c r="Q396" s="64" t="s">
        <v>33</v>
      </c>
      <c r="R396" s="64" t="s">
        <v>78</v>
      </c>
      <c r="S396" s="64">
        <f>42000+5000</f>
        <v>47000</v>
      </c>
      <c r="T396" s="64" t="s">
        <v>1323</v>
      </c>
      <c r="U396" s="65">
        <v>46148</v>
      </c>
      <c r="V396" s="64" t="s">
        <v>28</v>
      </c>
      <c r="W396" s="64">
        <f t="shared" si="834"/>
        <v>5500</v>
      </c>
      <c r="X396" s="64" t="s">
        <v>36</v>
      </c>
      <c r="Y396" s="64" t="s">
        <v>29</v>
      </c>
      <c r="Z396" s="71">
        <f t="shared" si="835"/>
        <v>13.253012048192771</v>
      </c>
      <c r="AA396" s="93"/>
    </row>
    <row r="397" spans="1:27">
      <c r="A397" s="64">
        <f>SUBTOTAL(3,C$2:C397)</f>
        <v>396</v>
      </c>
      <c r="B397" s="64" t="s">
        <v>30</v>
      </c>
      <c r="C397" s="64" t="s">
        <v>31</v>
      </c>
      <c r="D397" s="64" t="s">
        <v>32</v>
      </c>
      <c r="E397" s="64" t="s">
        <v>33</v>
      </c>
      <c r="F397" s="52" t="s">
        <v>87</v>
      </c>
      <c r="G397" s="91" t="s">
        <v>34</v>
      </c>
      <c r="H397" s="98" t="s">
        <v>864</v>
      </c>
      <c r="I397" s="65">
        <v>46138</v>
      </c>
      <c r="J397" s="64">
        <f t="shared" ca="1" si="831"/>
        <v>46</v>
      </c>
      <c r="K397" s="64" t="str">
        <f t="shared" si="832"/>
        <v>Pending</v>
      </c>
      <c r="L397" s="64" t="s">
        <v>88</v>
      </c>
      <c r="M397" s="64">
        <v>23300</v>
      </c>
      <c r="N397" s="64">
        <v>21500</v>
      </c>
      <c r="O397" s="65">
        <v>46139</v>
      </c>
      <c r="P397" s="64">
        <f t="shared" si="833"/>
        <v>1800</v>
      </c>
      <c r="Q397" s="64" t="s">
        <v>33</v>
      </c>
      <c r="R397" s="64" t="s">
        <v>37</v>
      </c>
      <c r="S397" s="64">
        <v>26000</v>
      </c>
      <c r="T397" s="64" t="s">
        <v>33</v>
      </c>
      <c r="U397" s="65" t="s">
        <v>33</v>
      </c>
      <c r="V397" s="64" t="s">
        <v>28</v>
      </c>
      <c r="W397" s="64">
        <f t="shared" si="834"/>
        <v>2700</v>
      </c>
      <c r="X397" s="64" t="s">
        <v>36</v>
      </c>
      <c r="Y397" s="64" t="s">
        <v>29</v>
      </c>
      <c r="Z397" s="71">
        <f t="shared" si="835"/>
        <v>11.587982832618026</v>
      </c>
      <c r="AA397" s="93"/>
    </row>
    <row r="398" spans="1:27">
      <c r="A398" s="64">
        <f>SUBTOTAL(3,C$2:C398)</f>
        <v>397</v>
      </c>
      <c r="B398" s="64" t="s">
        <v>30</v>
      </c>
      <c r="C398" s="64" t="s">
        <v>31</v>
      </c>
      <c r="D398" s="64" t="s">
        <v>32</v>
      </c>
      <c r="E398" s="64" t="s">
        <v>33</v>
      </c>
      <c r="F398" s="52" t="s">
        <v>831</v>
      </c>
      <c r="G398" s="91" t="s">
        <v>34</v>
      </c>
      <c r="H398" s="98" t="s">
        <v>865</v>
      </c>
      <c r="I398" s="65">
        <v>46138</v>
      </c>
      <c r="J398" s="64">
        <f t="shared" ca="1" si="831"/>
        <v>46</v>
      </c>
      <c r="K398" s="64" t="str">
        <f t="shared" si="832"/>
        <v>Pending</v>
      </c>
      <c r="L398" s="52" t="s">
        <v>519</v>
      </c>
      <c r="M398" s="64">
        <v>28500</v>
      </c>
      <c r="N398" s="64">
        <v>26500</v>
      </c>
      <c r="O398" s="65">
        <v>46139</v>
      </c>
      <c r="P398" s="64">
        <f t="shared" si="833"/>
        <v>2000</v>
      </c>
      <c r="Q398" s="64" t="s">
        <v>33</v>
      </c>
      <c r="R398" s="64" t="s">
        <v>37</v>
      </c>
      <c r="S398" s="64">
        <v>33000</v>
      </c>
      <c r="T398" s="64" t="s">
        <v>33</v>
      </c>
      <c r="U398" s="65" t="s">
        <v>33</v>
      </c>
      <c r="V398" s="64" t="s">
        <v>28</v>
      </c>
      <c r="W398" s="64">
        <f t="shared" si="834"/>
        <v>4500</v>
      </c>
      <c r="X398" s="64" t="s">
        <v>36</v>
      </c>
      <c r="Y398" s="64" t="s">
        <v>29</v>
      </c>
      <c r="Z398" s="71">
        <f t="shared" si="835"/>
        <v>15.789473684210526</v>
      </c>
      <c r="AA398" s="93"/>
    </row>
    <row r="399" spans="1:27">
      <c r="A399" s="64">
        <f>SUBTOTAL(3,C$2:C399)</f>
        <v>398</v>
      </c>
      <c r="B399" s="64" t="s">
        <v>30</v>
      </c>
      <c r="C399" s="64" t="s">
        <v>31</v>
      </c>
      <c r="D399" s="64" t="s">
        <v>32</v>
      </c>
      <c r="E399" s="64" t="s">
        <v>33</v>
      </c>
      <c r="F399" s="52" t="s">
        <v>836</v>
      </c>
      <c r="G399" s="91" t="s">
        <v>34</v>
      </c>
      <c r="H399" s="98" t="s">
        <v>866</v>
      </c>
      <c r="I399" s="65">
        <v>46138</v>
      </c>
      <c r="J399" s="64">
        <f t="shared" ca="1" si="831"/>
        <v>46</v>
      </c>
      <c r="K399" s="64">
        <f t="shared" si="832"/>
        <v>46162</v>
      </c>
      <c r="L399" s="64" t="s">
        <v>47</v>
      </c>
      <c r="M399" s="64">
        <v>19000</v>
      </c>
      <c r="N399" s="64">
        <v>17000</v>
      </c>
      <c r="O399" s="65">
        <v>46139</v>
      </c>
      <c r="P399" s="64">
        <f t="shared" si="833"/>
        <v>2000</v>
      </c>
      <c r="Q399" s="64" t="s">
        <v>33</v>
      </c>
      <c r="R399" s="64" t="s">
        <v>39</v>
      </c>
      <c r="S399" s="64">
        <v>21800</v>
      </c>
      <c r="T399" s="64" t="s">
        <v>2147</v>
      </c>
      <c r="U399" s="65">
        <v>46162</v>
      </c>
      <c r="V399" s="64" t="s">
        <v>28</v>
      </c>
      <c r="W399" s="64">
        <f t="shared" si="834"/>
        <v>2800</v>
      </c>
      <c r="X399" s="64" t="s">
        <v>36</v>
      </c>
      <c r="Y399" s="64" t="s">
        <v>29</v>
      </c>
      <c r="Z399" s="71">
        <f t="shared" si="835"/>
        <v>14.736842105263158</v>
      </c>
      <c r="AA399" s="93"/>
    </row>
    <row r="400" spans="1:27">
      <c r="A400" s="64">
        <f>SUBTOTAL(3,C$2:C400)</f>
        <v>399</v>
      </c>
      <c r="B400" s="64" t="s">
        <v>30</v>
      </c>
      <c r="C400" s="64" t="s">
        <v>80</v>
      </c>
      <c r="D400" s="64" t="s">
        <v>32</v>
      </c>
      <c r="E400" s="64" t="s">
        <v>33</v>
      </c>
      <c r="F400" s="52" t="s">
        <v>235</v>
      </c>
      <c r="G400" s="91" t="s">
        <v>607</v>
      </c>
      <c r="H400" s="98" t="s">
        <v>867</v>
      </c>
      <c r="I400" s="65">
        <v>46138</v>
      </c>
      <c r="J400" s="64">
        <f t="shared" ca="1" si="831"/>
        <v>46</v>
      </c>
      <c r="K400" s="64">
        <f t="shared" si="832"/>
        <v>46162</v>
      </c>
      <c r="L400" s="52" t="s">
        <v>609</v>
      </c>
      <c r="M400" s="64">
        <v>38500</v>
      </c>
      <c r="N400" s="64">
        <v>35500</v>
      </c>
      <c r="O400" s="65">
        <v>46139</v>
      </c>
      <c r="P400" s="64">
        <f t="shared" si="833"/>
        <v>3000</v>
      </c>
      <c r="Q400" s="64" t="s">
        <v>33</v>
      </c>
      <c r="R400" s="64" t="s">
        <v>52</v>
      </c>
      <c r="S400" s="64">
        <v>41500</v>
      </c>
      <c r="T400" s="64" t="s">
        <v>2157</v>
      </c>
      <c r="U400" s="65">
        <v>46162</v>
      </c>
      <c r="V400" s="64" t="s">
        <v>28</v>
      </c>
      <c r="W400" s="64">
        <f t="shared" si="834"/>
        <v>3000</v>
      </c>
      <c r="X400" s="64" t="s">
        <v>36</v>
      </c>
      <c r="Y400" s="64" t="s">
        <v>29</v>
      </c>
      <c r="Z400" s="71">
        <f t="shared" si="835"/>
        <v>7.7922077922077921</v>
      </c>
      <c r="AA400" s="93"/>
    </row>
    <row r="401" spans="1:27">
      <c r="A401" s="64">
        <f>SUBTOTAL(3,C$2:C401)</f>
        <v>400</v>
      </c>
      <c r="B401" s="64" t="s">
        <v>30</v>
      </c>
      <c r="C401" s="64" t="s">
        <v>31</v>
      </c>
      <c r="D401" s="64" t="s">
        <v>32</v>
      </c>
      <c r="E401" s="64" t="s">
        <v>33</v>
      </c>
      <c r="F401" s="52" t="s">
        <v>615</v>
      </c>
      <c r="G401" s="91" t="s">
        <v>34</v>
      </c>
      <c r="H401" s="98" t="s">
        <v>868</v>
      </c>
      <c r="I401" s="65">
        <v>46138</v>
      </c>
      <c r="J401" s="64">
        <f t="shared" ca="1" si="831"/>
        <v>46</v>
      </c>
      <c r="K401" s="64" t="str">
        <f t="shared" si="832"/>
        <v>Pending</v>
      </c>
      <c r="L401" s="52" t="s">
        <v>639</v>
      </c>
      <c r="M401" s="64">
        <v>18300</v>
      </c>
      <c r="N401" s="64">
        <v>16500</v>
      </c>
      <c r="O401" s="65">
        <v>46139</v>
      </c>
      <c r="P401" s="64">
        <f t="shared" si="833"/>
        <v>1800</v>
      </c>
      <c r="Q401" s="64" t="s">
        <v>33</v>
      </c>
      <c r="R401" s="64" t="s">
        <v>37</v>
      </c>
      <c r="S401" s="64">
        <v>21500</v>
      </c>
      <c r="T401" s="64" t="s">
        <v>33</v>
      </c>
      <c r="U401" s="65" t="s">
        <v>33</v>
      </c>
      <c r="V401" s="64" t="s">
        <v>28</v>
      </c>
      <c r="W401" s="64">
        <f t="shared" si="834"/>
        <v>3200</v>
      </c>
      <c r="X401" s="64" t="s">
        <v>36</v>
      </c>
      <c r="Y401" s="64" t="s">
        <v>29</v>
      </c>
      <c r="Z401" s="71">
        <f t="shared" si="835"/>
        <v>17.486338797814209</v>
      </c>
      <c r="AA401" s="93"/>
    </row>
    <row r="402" spans="1:27">
      <c r="A402" s="64">
        <f>SUBTOTAL(3,C$2:C402)</f>
        <v>401</v>
      </c>
      <c r="B402" s="64" t="s">
        <v>30</v>
      </c>
      <c r="C402" s="64" t="s">
        <v>44</v>
      </c>
      <c r="D402" s="64" t="s">
        <v>32</v>
      </c>
      <c r="E402" s="64" t="s">
        <v>33</v>
      </c>
      <c r="F402" s="52" t="s">
        <v>837</v>
      </c>
      <c r="G402" s="91" t="s">
        <v>34</v>
      </c>
      <c r="H402" s="98" t="s">
        <v>869</v>
      </c>
      <c r="I402" s="65">
        <v>46139</v>
      </c>
      <c r="J402" s="64">
        <f t="shared" ca="1" si="831"/>
        <v>45</v>
      </c>
      <c r="K402" s="64">
        <f t="shared" si="832"/>
        <v>46162</v>
      </c>
      <c r="L402" s="64" t="s">
        <v>47</v>
      </c>
      <c r="M402" s="64">
        <v>19000</v>
      </c>
      <c r="N402" s="64">
        <v>17000</v>
      </c>
      <c r="O402" s="65">
        <v>46139</v>
      </c>
      <c r="P402" s="64">
        <f t="shared" si="833"/>
        <v>2000</v>
      </c>
      <c r="Q402" s="64" t="s">
        <v>33</v>
      </c>
      <c r="R402" s="64" t="s">
        <v>39</v>
      </c>
      <c r="S402" s="64">
        <v>21800</v>
      </c>
      <c r="T402" s="64" t="s">
        <v>2147</v>
      </c>
      <c r="U402" s="65">
        <v>46162</v>
      </c>
      <c r="V402" s="64" t="s">
        <v>28</v>
      </c>
      <c r="W402" s="64">
        <f t="shared" si="834"/>
        <v>2800</v>
      </c>
      <c r="X402" s="64" t="s">
        <v>36</v>
      </c>
      <c r="Y402" s="64" t="s">
        <v>29</v>
      </c>
      <c r="Z402" s="71">
        <f t="shared" si="835"/>
        <v>14.736842105263158</v>
      </c>
      <c r="AA402" s="93"/>
    </row>
    <row r="403" spans="1:27">
      <c r="A403" s="64">
        <f>SUBTOTAL(3,C$2:C403)</f>
        <v>402</v>
      </c>
      <c r="B403" s="64" t="s">
        <v>30</v>
      </c>
      <c r="C403" s="64" t="s">
        <v>44</v>
      </c>
      <c r="D403" s="64" t="s">
        <v>32</v>
      </c>
      <c r="E403" s="64" t="s">
        <v>33</v>
      </c>
      <c r="F403" s="52" t="s">
        <v>839</v>
      </c>
      <c r="G403" s="91" t="s">
        <v>34</v>
      </c>
      <c r="H403" s="98" t="s">
        <v>870</v>
      </c>
      <c r="I403" s="65">
        <v>46139</v>
      </c>
      <c r="J403" s="64">
        <f t="shared" ca="1" si="831"/>
        <v>45</v>
      </c>
      <c r="K403" s="64">
        <f t="shared" si="832"/>
        <v>46162</v>
      </c>
      <c r="L403" s="64" t="s">
        <v>47</v>
      </c>
      <c r="M403" s="64">
        <v>19000</v>
      </c>
      <c r="N403" s="64">
        <v>17000</v>
      </c>
      <c r="O403" s="65">
        <v>46139</v>
      </c>
      <c r="P403" s="64">
        <f t="shared" si="833"/>
        <v>2000</v>
      </c>
      <c r="Q403" s="64" t="s">
        <v>33</v>
      </c>
      <c r="R403" s="64" t="s">
        <v>39</v>
      </c>
      <c r="S403" s="64">
        <v>21800</v>
      </c>
      <c r="T403" s="64" t="s">
        <v>2147</v>
      </c>
      <c r="U403" s="65">
        <v>46162</v>
      </c>
      <c r="V403" s="64" t="s">
        <v>28</v>
      </c>
      <c r="W403" s="64">
        <f t="shared" si="834"/>
        <v>2800</v>
      </c>
      <c r="X403" s="64" t="s">
        <v>36</v>
      </c>
      <c r="Y403" s="64" t="s">
        <v>29</v>
      </c>
      <c r="Z403" s="71">
        <f t="shared" si="835"/>
        <v>14.736842105263158</v>
      </c>
      <c r="AA403" s="93"/>
    </row>
    <row r="404" spans="1:27">
      <c r="A404" s="64">
        <f>SUBTOTAL(3,C$2:C404)</f>
        <v>403</v>
      </c>
      <c r="B404" s="64" t="s">
        <v>30</v>
      </c>
      <c r="C404" s="64" t="s">
        <v>44</v>
      </c>
      <c r="D404" s="64" t="s">
        <v>32</v>
      </c>
      <c r="E404" s="64" t="s">
        <v>33</v>
      </c>
      <c r="F404" s="52" t="s">
        <v>150</v>
      </c>
      <c r="G404" s="91">
        <v>407</v>
      </c>
      <c r="H404" s="98" t="s">
        <v>871</v>
      </c>
      <c r="I404" s="65">
        <v>46137</v>
      </c>
      <c r="J404" s="64">
        <f t="shared" ca="1" si="831"/>
        <v>47</v>
      </c>
      <c r="K404" s="64">
        <f t="shared" si="832"/>
        <v>46170</v>
      </c>
      <c r="L404" s="52" t="s">
        <v>381</v>
      </c>
      <c r="M404" s="64">
        <v>27000</v>
      </c>
      <c r="N404" s="64">
        <v>25000</v>
      </c>
      <c r="O404" s="65">
        <v>46139</v>
      </c>
      <c r="P404" s="64">
        <f t="shared" si="833"/>
        <v>2000</v>
      </c>
      <c r="Q404" s="64" t="s">
        <v>33</v>
      </c>
      <c r="R404" s="64" t="s">
        <v>78</v>
      </c>
      <c r="S404" s="64">
        <v>29800</v>
      </c>
      <c r="T404" s="64" t="s">
        <v>2662</v>
      </c>
      <c r="U404" s="65">
        <v>46170</v>
      </c>
      <c r="V404" s="64" t="s">
        <v>28</v>
      </c>
      <c r="W404" s="64">
        <f t="shared" si="834"/>
        <v>2800</v>
      </c>
      <c r="X404" s="64" t="s">
        <v>36</v>
      </c>
      <c r="Y404" s="64" t="s">
        <v>29</v>
      </c>
      <c r="Z404" s="71">
        <f t="shared" si="835"/>
        <v>10.37037037037037</v>
      </c>
      <c r="AA404" s="93"/>
    </row>
    <row r="405" spans="1:27">
      <c r="A405" s="64">
        <f>SUBTOTAL(3,C$2:C405)</f>
        <v>404</v>
      </c>
      <c r="B405" s="64" t="s">
        <v>30</v>
      </c>
      <c r="C405" s="64" t="s">
        <v>80</v>
      </c>
      <c r="D405" s="64" t="s">
        <v>32</v>
      </c>
      <c r="E405" s="64" t="s">
        <v>33</v>
      </c>
      <c r="F405" s="52" t="s">
        <v>251</v>
      </c>
      <c r="G405" s="91" t="s">
        <v>59</v>
      </c>
      <c r="H405" s="98" t="s">
        <v>872</v>
      </c>
      <c r="I405" s="65">
        <v>46138</v>
      </c>
      <c r="J405" s="64">
        <f t="shared" ca="1" si="831"/>
        <v>46</v>
      </c>
      <c r="K405" s="64">
        <f t="shared" si="832"/>
        <v>46148</v>
      </c>
      <c r="L405" s="52" t="s">
        <v>155</v>
      </c>
      <c r="M405" s="64">
        <v>35000</v>
      </c>
      <c r="N405" s="64">
        <v>32000</v>
      </c>
      <c r="O405" s="65">
        <v>46139</v>
      </c>
      <c r="P405" s="64">
        <f t="shared" si="833"/>
        <v>3000</v>
      </c>
      <c r="Q405" s="64" t="s">
        <v>33</v>
      </c>
      <c r="R405" s="64" t="s">
        <v>37</v>
      </c>
      <c r="S405" s="64">
        <v>38000</v>
      </c>
      <c r="T405" s="64" t="s">
        <v>1335</v>
      </c>
      <c r="U405" s="65">
        <v>46148</v>
      </c>
      <c r="V405" s="64" t="s">
        <v>28</v>
      </c>
      <c r="W405" s="64">
        <f t="shared" si="834"/>
        <v>3000</v>
      </c>
      <c r="X405" s="64" t="s">
        <v>36</v>
      </c>
      <c r="Y405" s="64" t="s">
        <v>29</v>
      </c>
      <c r="Z405" s="71">
        <f t="shared" si="835"/>
        <v>8.5714285714285712</v>
      </c>
      <c r="AA405" s="93"/>
    </row>
    <row r="406" spans="1:27">
      <c r="A406" s="64">
        <f>SUBTOTAL(3,C$2:C406)</f>
        <v>405</v>
      </c>
      <c r="B406" s="64" t="s">
        <v>30</v>
      </c>
      <c r="C406" s="64" t="s">
        <v>44</v>
      </c>
      <c r="D406" s="64" t="s">
        <v>32</v>
      </c>
      <c r="E406" s="64" t="s">
        <v>33</v>
      </c>
      <c r="F406" s="52" t="s">
        <v>108</v>
      </c>
      <c r="G406" s="91">
        <v>407</v>
      </c>
      <c r="H406" s="98" t="s">
        <v>873</v>
      </c>
      <c r="I406" s="65">
        <v>46138</v>
      </c>
      <c r="J406" s="64">
        <f t="shared" ca="1" si="831"/>
        <v>46</v>
      </c>
      <c r="K406" s="64">
        <f t="shared" si="832"/>
        <v>46170</v>
      </c>
      <c r="L406" s="52" t="s">
        <v>381</v>
      </c>
      <c r="M406" s="64">
        <v>27000</v>
      </c>
      <c r="N406" s="64">
        <v>25000</v>
      </c>
      <c r="O406" s="65">
        <v>46139</v>
      </c>
      <c r="P406" s="64">
        <f t="shared" si="833"/>
        <v>2000</v>
      </c>
      <c r="Q406" s="64" t="s">
        <v>33</v>
      </c>
      <c r="R406" s="64" t="s">
        <v>78</v>
      </c>
      <c r="S406" s="64">
        <v>29800</v>
      </c>
      <c r="T406" s="64" t="s">
        <v>2662</v>
      </c>
      <c r="U406" s="65">
        <v>46170</v>
      </c>
      <c r="V406" s="64" t="s">
        <v>28</v>
      </c>
      <c r="W406" s="64">
        <f t="shared" si="834"/>
        <v>2800</v>
      </c>
      <c r="X406" s="64" t="s">
        <v>36</v>
      </c>
      <c r="Y406" s="64" t="s">
        <v>29</v>
      </c>
      <c r="Z406" s="71">
        <f t="shared" si="835"/>
        <v>10.37037037037037</v>
      </c>
      <c r="AA406" s="93"/>
    </row>
    <row r="407" spans="1:27">
      <c r="A407" s="64">
        <f>SUBTOTAL(3,C$2:C407)</f>
        <v>406</v>
      </c>
      <c r="B407" s="64" t="s">
        <v>30</v>
      </c>
      <c r="C407" s="64" t="s">
        <v>31</v>
      </c>
      <c r="D407" s="64" t="s">
        <v>32</v>
      </c>
      <c r="E407" s="64" t="s">
        <v>33</v>
      </c>
      <c r="F407" s="52" t="s">
        <v>231</v>
      </c>
      <c r="G407" s="91" t="s">
        <v>34</v>
      </c>
      <c r="H407" s="98" t="s">
        <v>874</v>
      </c>
      <c r="I407" s="65">
        <v>46139</v>
      </c>
      <c r="J407" s="64">
        <f t="shared" ca="1" si="831"/>
        <v>45</v>
      </c>
      <c r="K407" s="64">
        <f t="shared" si="832"/>
        <v>46162</v>
      </c>
      <c r="L407" s="64" t="s">
        <v>47</v>
      </c>
      <c r="M407" s="64">
        <v>19000</v>
      </c>
      <c r="N407" s="64">
        <v>17000</v>
      </c>
      <c r="O407" s="65">
        <v>46139</v>
      </c>
      <c r="P407" s="64">
        <f t="shared" si="833"/>
        <v>2000</v>
      </c>
      <c r="Q407" s="64" t="s">
        <v>33</v>
      </c>
      <c r="R407" s="64" t="s">
        <v>39</v>
      </c>
      <c r="S407" s="64">
        <v>21800</v>
      </c>
      <c r="T407" s="64" t="s">
        <v>2146</v>
      </c>
      <c r="U407" s="65">
        <v>46162</v>
      </c>
      <c r="V407" s="64" t="s">
        <v>28</v>
      </c>
      <c r="W407" s="64">
        <f t="shared" si="834"/>
        <v>2800</v>
      </c>
      <c r="X407" s="64" t="s">
        <v>36</v>
      </c>
      <c r="Y407" s="64" t="s">
        <v>29</v>
      </c>
      <c r="Z407" s="71">
        <f t="shared" si="835"/>
        <v>14.736842105263158</v>
      </c>
      <c r="AA407" s="93"/>
    </row>
    <row r="408" spans="1:27">
      <c r="A408" s="64">
        <f>SUBTOTAL(3,C$2:C408)</f>
        <v>407</v>
      </c>
      <c r="B408" s="64" t="s">
        <v>30</v>
      </c>
      <c r="C408" s="64" t="s">
        <v>119</v>
      </c>
      <c r="D408" s="64" t="s">
        <v>32</v>
      </c>
      <c r="E408" s="64" t="s">
        <v>33</v>
      </c>
      <c r="F408" s="52" t="s">
        <v>843</v>
      </c>
      <c r="G408" s="91" t="s">
        <v>67</v>
      </c>
      <c r="H408" s="98" t="s">
        <v>875</v>
      </c>
      <c r="I408" s="65">
        <v>46138</v>
      </c>
      <c r="J408" s="64">
        <f t="shared" ca="1" si="831"/>
        <v>46</v>
      </c>
      <c r="K408" s="64">
        <f t="shared" si="832"/>
        <v>46148</v>
      </c>
      <c r="L408" s="52" t="s">
        <v>844</v>
      </c>
      <c r="M408" s="64">
        <v>21500</v>
      </c>
      <c r="N408" s="64">
        <v>21500</v>
      </c>
      <c r="O408" s="65">
        <v>46139</v>
      </c>
      <c r="P408" s="64">
        <f t="shared" si="833"/>
        <v>0</v>
      </c>
      <c r="Q408" s="64" t="s">
        <v>33</v>
      </c>
      <c r="R408" s="64" t="s">
        <v>78</v>
      </c>
      <c r="S408" s="64">
        <v>25500</v>
      </c>
      <c r="T408" s="64" t="s">
        <v>1329</v>
      </c>
      <c r="U408" s="65">
        <v>46148</v>
      </c>
      <c r="V408" s="64" t="s">
        <v>28</v>
      </c>
      <c r="W408" s="64">
        <f t="shared" si="834"/>
        <v>4000</v>
      </c>
      <c r="X408" s="64" t="s">
        <v>36</v>
      </c>
      <c r="Y408" s="64" t="s">
        <v>29</v>
      </c>
      <c r="Z408" s="71">
        <f t="shared" si="835"/>
        <v>18.604651162790699</v>
      </c>
      <c r="AA408" s="93"/>
    </row>
    <row r="409" spans="1:27">
      <c r="A409" s="64">
        <f>SUBTOTAL(3,C$2:C409)</f>
        <v>408</v>
      </c>
      <c r="B409" s="64" t="s">
        <v>30</v>
      </c>
      <c r="C409" s="64" t="s">
        <v>137</v>
      </c>
      <c r="D409" s="64" t="s">
        <v>32</v>
      </c>
      <c r="E409" s="64" t="s">
        <v>33</v>
      </c>
      <c r="F409" s="52" t="s">
        <v>138</v>
      </c>
      <c r="G409" s="91" t="s">
        <v>50</v>
      </c>
      <c r="H409" s="98" t="s">
        <v>876</v>
      </c>
      <c r="I409" s="65">
        <v>46137</v>
      </c>
      <c r="J409" s="64">
        <f t="shared" ca="1" si="831"/>
        <v>47</v>
      </c>
      <c r="K409" s="64">
        <f t="shared" si="832"/>
        <v>46157</v>
      </c>
      <c r="L409" s="64" t="s">
        <v>97</v>
      </c>
      <c r="M409" s="64">
        <v>21500</v>
      </c>
      <c r="N409" s="64">
        <v>21500</v>
      </c>
      <c r="O409" s="65">
        <v>46139</v>
      </c>
      <c r="P409" s="64">
        <f t="shared" si="833"/>
        <v>0</v>
      </c>
      <c r="Q409" s="64" t="s">
        <v>33</v>
      </c>
      <c r="R409" s="64" t="s">
        <v>52</v>
      </c>
      <c r="S409" s="64">
        <v>25500</v>
      </c>
      <c r="T409" s="64" t="s">
        <v>2142</v>
      </c>
      <c r="U409" s="65">
        <v>46157</v>
      </c>
      <c r="V409" s="64" t="s">
        <v>28</v>
      </c>
      <c r="W409" s="64">
        <f t="shared" si="834"/>
        <v>4000</v>
      </c>
      <c r="X409" s="64" t="s">
        <v>36</v>
      </c>
      <c r="Y409" s="64" t="s">
        <v>29</v>
      </c>
      <c r="Z409" s="71">
        <f t="shared" si="835"/>
        <v>18.604651162790699</v>
      </c>
      <c r="AA409" s="93"/>
    </row>
    <row r="410" spans="1:27">
      <c r="A410" s="64">
        <f>SUBTOTAL(3,C$2:C410)</f>
        <v>409</v>
      </c>
      <c r="B410" s="64" t="s">
        <v>30</v>
      </c>
      <c r="C410" s="64" t="s">
        <v>31</v>
      </c>
      <c r="D410" s="64" t="s">
        <v>32</v>
      </c>
      <c r="E410" s="64" t="s">
        <v>33</v>
      </c>
      <c r="F410" s="52" t="s">
        <v>759</v>
      </c>
      <c r="G410" s="91" t="s">
        <v>34</v>
      </c>
      <c r="H410" s="98" t="s">
        <v>877</v>
      </c>
      <c r="I410" s="65">
        <v>46139</v>
      </c>
      <c r="J410" s="64">
        <f t="shared" ca="1" si="831"/>
        <v>45</v>
      </c>
      <c r="K410" s="64">
        <f t="shared" si="832"/>
        <v>46148</v>
      </c>
      <c r="L410" s="52" t="s">
        <v>2782</v>
      </c>
      <c r="M410" s="64">
        <v>18000</v>
      </c>
      <c r="N410" s="64">
        <v>16000</v>
      </c>
      <c r="O410" s="65">
        <v>46139</v>
      </c>
      <c r="P410" s="64">
        <f t="shared" si="833"/>
        <v>2000</v>
      </c>
      <c r="Q410" s="64" t="s">
        <v>33</v>
      </c>
      <c r="R410" s="64" t="s">
        <v>56</v>
      </c>
      <c r="S410" s="64">
        <v>20500</v>
      </c>
      <c r="T410" s="64" t="s">
        <v>1339</v>
      </c>
      <c r="U410" s="65">
        <v>46148</v>
      </c>
      <c r="V410" s="64" t="s">
        <v>28</v>
      </c>
      <c r="W410" s="64">
        <f t="shared" si="834"/>
        <v>2500</v>
      </c>
      <c r="X410" s="64" t="s">
        <v>36</v>
      </c>
      <c r="Y410" s="64" t="s">
        <v>29</v>
      </c>
      <c r="Z410" s="71">
        <f t="shared" si="835"/>
        <v>13.888888888888889</v>
      </c>
      <c r="AA410" s="93"/>
    </row>
    <row r="411" spans="1:27">
      <c r="A411" s="64">
        <f>SUBTOTAL(3,C$2:C411)</f>
        <v>410</v>
      </c>
      <c r="B411" s="64" t="s">
        <v>30</v>
      </c>
      <c r="C411" s="64" t="s">
        <v>505</v>
      </c>
      <c r="D411" s="64" t="s">
        <v>32</v>
      </c>
      <c r="E411" s="64" t="s">
        <v>33</v>
      </c>
      <c r="F411" s="52" t="s">
        <v>846</v>
      </c>
      <c r="G411" s="91" t="s">
        <v>50</v>
      </c>
      <c r="H411" s="98" t="s">
        <v>878</v>
      </c>
      <c r="I411" s="65">
        <v>46139</v>
      </c>
      <c r="J411" s="64">
        <f t="shared" ca="1" si="831"/>
        <v>45</v>
      </c>
      <c r="K411" s="64">
        <f t="shared" si="832"/>
        <v>46169</v>
      </c>
      <c r="L411" s="52" t="s">
        <v>508</v>
      </c>
      <c r="M411" s="64">
        <f>44000+3000</f>
        <v>47000</v>
      </c>
      <c r="N411" s="64">
        <v>40000</v>
      </c>
      <c r="O411" s="65">
        <v>46139</v>
      </c>
      <c r="P411" s="64">
        <f t="shared" si="833"/>
        <v>7000</v>
      </c>
      <c r="Q411" s="64" t="s">
        <v>33</v>
      </c>
      <c r="R411" s="64" t="s">
        <v>52</v>
      </c>
      <c r="S411" s="64">
        <f>5000+48000</f>
        <v>53000</v>
      </c>
      <c r="T411" s="64" t="s">
        <v>2668</v>
      </c>
      <c r="U411" s="65">
        <v>46169</v>
      </c>
      <c r="V411" s="64" t="s">
        <v>28</v>
      </c>
      <c r="W411" s="64">
        <f t="shared" si="834"/>
        <v>6000</v>
      </c>
      <c r="X411" s="64" t="s">
        <v>36</v>
      </c>
      <c r="Y411" s="64" t="s">
        <v>29</v>
      </c>
      <c r="Z411" s="71">
        <f t="shared" si="835"/>
        <v>12.76595744680851</v>
      </c>
      <c r="AA411" s="93"/>
    </row>
    <row r="412" spans="1:27">
      <c r="A412" s="64">
        <f>SUBTOTAL(3,C$2:C412)</f>
        <v>411</v>
      </c>
      <c r="B412" s="64" t="s">
        <v>30</v>
      </c>
      <c r="C412" s="64" t="s">
        <v>80</v>
      </c>
      <c r="D412" s="64" t="s">
        <v>32</v>
      </c>
      <c r="E412" s="64" t="s">
        <v>33</v>
      </c>
      <c r="F412" s="52" t="s">
        <v>842</v>
      </c>
      <c r="G412" s="91" t="s">
        <v>67</v>
      </c>
      <c r="H412" s="98">
        <v>17252</v>
      </c>
      <c r="I412" s="65">
        <v>46122</v>
      </c>
      <c r="J412" s="64">
        <f t="shared" ca="1" si="831"/>
        <v>62</v>
      </c>
      <c r="K412" s="64">
        <f t="shared" si="832"/>
        <v>46137</v>
      </c>
      <c r="L412" s="64" t="s">
        <v>97</v>
      </c>
      <c r="M412" s="64">
        <v>38500</v>
      </c>
      <c r="N412" s="64">
        <v>35000</v>
      </c>
      <c r="O412" s="65">
        <v>46139</v>
      </c>
      <c r="P412" s="64">
        <f t="shared" si="833"/>
        <v>3500</v>
      </c>
      <c r="Q412" s="65">
        <v>46141</v>
      </c>
      <c r="R412" s="64" t="s">
        <v>174</v>
      </c>
      <c r="S412" s="64">
        <v>42000</v>
      </c>
      <c r="T412" s="64" t="s">
        <v>820</v>
      </c>
      <c r="U412" s="65">
        <v>46137</v>
      </c>
      <c r="V412" s="64" t="s">
        <v>28</v>
      </c>
      <c r="W412" s="64">
        <f t="shared" si="834"/>
        <v>3500</v>
      </c>
      <c r="X412" s="64" t="s">
        <v>36</v>
      </c>
      <c r="Y412" s="64" t="s">
        <v>29</v>
      </c>
      <c r="Z412" s="71">
        <f t="shared" si="835"/>
        <v>9.0909090909090917</v>
      </c>
      <c r="AA412" s="93"/>
    </row>
    <row r="413" spans="1:27">
      <c r="A413" s="64">
        <f>SUBTOTAL(3,C$2:C413)</f>
        <v>412</v>
      </c>
      <c r="B413" s="64" t="s">
        <v>30</v>
      </c>
      <c r="C413" s="64" t="s">
        <v>31</v>
      </c>
      <c r="D413" s="64" t="s">
        <v>32</v>
      </c>
      <c r="E413" s="64" t="s">
        <v>33</v>
      </c>
      <c r="F413" s="52" t="s">
        <v>232</v>
      </c>
      <c r="G413" s="91" t="s">
        <v>34</v>
      </c>
      <c r="H413" s="98" t="s">
        <v>892</v>
      </c>
      <c r="I413" s="65">
        <v>46139</v>
      </c>
      <c r="J413" s="64">
        <f t="shared" ca="1" si="831"/>
        <v>45</v>
      </c>
      <c r="K413" s="64">
        <f t="shared" si="832"/>
        <v>46162</v>
      </c>
      <c r="L413" s="64" t="s">
        <v>47</v>
      </c>
      <c r="M413" s="64">
        <v>19000</v>
      </c>
      <c r="N413" s="64">
        <v>17000</v>
      </c>
      <c r="O413" s="65">
        <v>46140</v>
      </c>
      <c r="P413" s="64">
        <f t="shared" si="833"/>
        <v>2000</v>
      </c>
      <c r="Q413" s="64" t="s">
        <v>33</v>
      </c>
      <c r="R413" s="64" t="s">
        <v>39</v>
      </c>
      <c r="S413" s="64">
        <v>21800</v>
      </c>
      <c r="T413" s="64" t="s">
        <v>2146</v>
      </c>
      <c r="U413" s="65">
        <v>46162</v>
      </c>
      <c r="V413" s="64" t="s">
        <v>28</v>
      </c>
      <c r="W413" s="64">
        <f t="shared" si="834"/>
        <v>2800</v>
      </c>
      <c r="X413" s="64" t="s">
        <v>36</v>
      </c>
      <c r="Y413" s="64" t="s">
        <v>29</v>
      </c>
      <c r="Z413" s="71">
        <f t="shared" si="835"/>
        <v>14.736842105263158</v>
      </c>
      <c r="AA413" s="93"/>
    </row>
    <row r="414" spans="1:27">
      <c r="A414" s="64">
        <f>SUBTOTAL(3,C$2:C414)</f>
        <v>413</v>
      </c>
      <c r="B414" s="64" t="s">
        <v>30</v>
      </c>
      <c r="C414" s="64" t="s">
        <v>44</v>
      </c>
      <c r="D414" s="64" t="s">
        <v>32</v>
      </c>
      <c r="E414" s="64" t="s">
        <v>33</v>
      </c>
      <c r="F414" s="52" t="s">
        <v>681</v>
      </c>
      <c r="G414" s="91">
        <v>407</v>
      </c>
      <c r="H414" s="98" t="s">
        <v>905</v>
      </c>
      <c r="I414" s="65">
        <v>46139</v>
      </c>
      <c r="J414" s="64">
        <f t="shared" ref="J414" ca="1" si="836">+TODAY()-I414</f>
        <v>45</v>
      </c>
      <c r="K414" s="64">
        <f t="shared" ref="K414" si="837">+U414</f>
        <v>46148</v>
      </c>
      <c r="L414" s="64" t="s">
        <v>84</v>
      </c>
      <c r="M414" s="64">
        <v>27000</v>
      </c>
      <c r="N414" s="64">
        <v>25000</v>
      </c>
      <c r="O414" s="65">
        <v>46140</v>
      </c>
      <c r="P414" s="64">
        <f t="shared" ref="P414" si="838">+M414-N414</f>
        <v>2000</v>
      </c>
      <c r="Q414" s="64" t="s">
        <v>33</v>
      </c>
      <c r="R414" s="64" t="s">
        <v>56</v>
      </c>
      <c r="S414" s="64">
        <v>29800</v>
      </c>
      <c r="T414" s="64" t="s">
        <v>1340</v>
      </c>
      <c r="U414" s="65">
        <v>46148</v>
      </c>
      <c r="V414" s="64" t="s">
        <v>28</v>
      </c>
      <c r="W414" s="64">
        <f t="shared" ref="W414" si="839">+S414-M414</f>
        <v>2800</v>
      </c>
      <c r="X414" s="64" t="s">
        <v>36</v>
      </c>
      <c r="Y414" s="64" t="s">
        <v>29</v>
      </c>
      <c r="Z414" s="71">
        <f t="shared" ref="Z414" si="840">+W414*100/M414</f>
        <v>10.37037037037037</v>
      </c>
      <c r="AA414" s="93"/>
    </row>
    <row r="415" spans="1:27">
      <c r="A415" s="64">
        <f>SUBTOTAL(3,C$2:C415)</f>
        <v>414</v>
      </c>
      <c r="B415" s="64" t="s">
        <v>30</v>
      </c>
      <c r="C415" s="64" t="s">
        <v>31</v>
      </c>
      <c r="D415" s="64" t="s">
        <v>32</v>
      </c>
      <c r="E415" s="64" t="s">
        <v>33</v>
      </c>
      <c r="F415" s="52" t="s">
        <v>391</v>
      </c>
      <c r="G415" s="91" t="s">
        <v>34</v>
      </c>
      <c r="H415" s="98" t="s">
        <v>893</v>
      </c>
      <c r="I415" s="65">
        <v>46139</v>
      </c>
      <c r="J415" s="64">
        <f t="shared" ref="J415:J416" ca="1" si="841">+TODAY()-I415</f>
        <v>45</v>
      </c>
      <c r="K415" s="64">
        <f t="shared" ref="K415:K416" si="842">+U415</f>
        <v>46162</v>
      </c>
      <c r="L415" s="64" t="s">
        <v>47</v>
      </c>
      <c r="M415" s="64">
        <v>19000</v>
      </c>
      <c r="N415" s="64">
        <v>17000</v>
      </c>
      <c r="O415" s="65">
        <v>46140</v>
      </c>
      <c r="P415" s="64">
        <f t="shared" ref="P415:P416" si="843">+M415-N415</f>
        <v>2000</v>
      </c>
      <c r="Q415" s="64" t="s">
        <v>33</v>
      </c>
      <c r="R415" s="64" t="s">
        <v>39</v>
      </c>
      <c r="S415" s="64">
        <v>21800</v>
      </c>
      <c r="T415" s="64" t="s">
        <v>2146</v>
      </c>
      <c r="U415" s="65">
        <v>46162</v>
      </c>
      <c r="V415" s="64" t="s">
        <v>28</v>
      </c>
      <c r="W415" s="64">
        <f t="shared" ref="W415:W416" si="844">+S415-M415</f>
        <v>2800</v>
      </c>
      <c r="X415" s="64" t="s">
        <v>36</v>
      </c>
      <c r="Y415" s="64" t="s">
        <v>29</v>
      </c>
      <c r="Z415" s="71">
        <f t="shared" ref="Z415:Z416" si="845">+W415*100/M415</f>
        <v>14.736842105263158</v>
      </c>
      <c r="AA415" s="93"/>
    </row>
    <row r="416" spans="1:27">
      <c r="A416" s="64">
        <f>SUBTOTAL(3,C$2:C416)</f>
        <v>415</v>
      </c>
      <c r="B416" s="64" t="s">
        <v>30</v>
      </c>
      <c r="C416" s="64" t="s">
        <v>31</v>
      </c>
      <c r="D416" s="64" t="s">
        <v>32</v>
      </c>
      <c r="E416" s="64" t="s">
        <v>33</v>
      </c>
      <c r="F416" s="52" t="s">
        <v>886</v>
      </c>
      <c r="G416" s="91" t="s">
        <v>34</v>
      </c>
      <c r="H416" s="98" t="s">
        <v>894</v>
      </c>
      <c r="I416" s="65">
        <v>46139</v>
      </c>
      <c r="J416" s="64">
        <f t="shared" ca="1" si="841"/>
        <v>45</v>
      </c>
      <c r="K416" s="64" t="str">
        <f t="shared" si="842"/>
        <v>Pending</v>
      </c>
      <c r="L416" s="52" t="s">
        <v>639</v>
      </c>
      <c r="M416" s="64">
        <v>18300</v>
      </c>
      <c r="N416" s="64">
        <v>16500</v>
      </c>
      <c r="O416" s="65">
        <v>46140</v>
      </c>
      <c r="P416" s="64">
        <f t="shared" si="843"/>
        <v>1800</v>
      </c>
      <c r="Q416" s="64" t="s">
        <v>33</v>
      </c>
      <c r="R416" s="64" t="s">
        <v>37</v>
      </c>
      <c r="S416" s="64">
        <v>21500</v>
      </c>
      <c r="T416" s="64" t="s">
        <v>33</v>
      </c>
      <c r="U416" s="65" t="s">
        <v>33</v>
      </c>
      <c r="V416" s="64" t="s">
        <v>28</v>
      </c>
      <c r="W416" s="64">
        <f t="shared" si="844"/>
        <v>3200</v>
      </c>
      <c r="X416" s="64" t="s">
        <v>36</v>
      </c>
      <c r="Y416" s="64" t="s">
        <v>29</v>
      </c>
      <c r="Z416" s="71">
        <f t="shared" si="845"/>
        <v>17.486338797814209</v>
      </c>
      <c r="AA416" s="93"/>
    </row>
    <row r="417" spans="1:27">
      <c r="A417" s="64">
        <f>SUBTOTAL(3,C$2:C417)</f>
        <v>416</v>
      </c>
      <c r="B417" s="64" t="s">
        <v>30</v>
      </c>
      <c r="C417" s="64" t="s">
        <v>31</v>
      </c>
      <c r="D417" s="64" t="s">
        <v>32</v>
      </c>
      <c r="E417" s="64" t="s">
        <v>33</v>
      </c>
      <c r="F417" s="52" t="s">
        <v>647</v>
      </c>
      <c r="G417" s="91" t="s">
        <v>34</v>
      </c>
      <c r="H417" s="98" t="s">
        <v>895</v>
      </c>
      <c r="I417" s="65">
        <v>46140</v>
      </c>
      <c r="J417" s="64">
        <f t="shared" ref="J417" ca="1" si="846">+TODAY()-I417</f>
        <v>44</v>
      </c>
      <c r="K417" s="64">
        <f t="shared" ref="K417" si="847">+U417</f>
        <v>46162</v>
      </c>
      <c r="L417" s="64" t="s">
        <v>47</v>
      </c>
      <c r="M417" s="64">
        <v>19000</v>
      </c>
      <c r="N417" s="64">
        <v>17000</v>
      </c>
      <c r="O417" s="65">
        <v>46140</v>
      </c>
      <c r="P417" s="64">
        <f t="shared" ref="P417" si="848">+M417-N417</f>
        <v>2000</v>
      </c>
      <c r="Q417" s="64" t="s">
        <v>33</v>
      </c>
      <c r="R417" s="64" t="s">
        <v>39</v>
      </c>
      <c r="S417" s="64">
        <v>21800</v>
      </c>
      <c r="T417" s="64" t="s">
        <v>2146</v>
      </c>
      <c r="U417" s="65">
        <v>46162</v>
      </c>
      <c r="V417" s="64" t="s">
        <v>28</v>
      </c>
      <c r="W417" s="64">
        <f t="shared" ref="W417" si="849">+S417-M417</f>
        <v>2800</v>
      </c>
      <c r="X417" s="64" t="s">
        <v>36</v>
      </c>
      <c r="Y417" s="64" t="s">
        <v>29</v>
      </c>
      <c r="Z417" s="71">
        <f t="shared" ref="Z417" si="850">+W417*100/M417</f>
        <v>14.736842105263158</v>
      </c>
      <c r="AA417" s="93"/>
    </row>
    <row r="418" spans="1:27">
      <c r="A418" s="64">
        <f>SUBTOTAL(3,C$2:C418)</f>
        <v>417</v>
      </c>
      <c r="B418" s="64" t="s">
        <v>30</v>
      </c>
      <c r="C418" s="64" t="s">
        <v>31</v>
      </c>
      <c r="D418" s="64" t="s">
        <v>32</v>
      </c>
      <c r="E418" s="64" t="s">
        <v>33</v>
      </c>
      <c r="F418" s="52" t="s">
        <v>885</v>
      </c>
      <c r="G418" s="91" t="s">
        <v>34</v>
      </c>
      <c r="H418" s="98" t="s">
        <v>896</v>
      </c>
      <c r="I418" s="65">
        <v>46140</v>
      </c>
      <c r="J418" s="64">
        <f t="shared" ref="J418" ca="1" si="851">+TODAY()-I418</f>
        <v>44</v>
      </c>
      <c r="K418" s="64">
        <f t="shared" ref="K418" si="852">+U418</f>
        <v>46162</v>
      </c>
      <c r="L418" s="64" t="s">
        <v>47</v>
      </c>
      <c r="M418" s="64">
        <v>19000</v>
      </c>
      <c r="N418" s="64">
        <v>17000</v>
      </c>
      <c r="O418" s="65">
        <v>46140</v>
      </c>
      <c r="P418" s="64">
        <f t="shared" ref="P418" si="853">+M418-N418</f>
        <v>2000</v>
      </c>
      <c r="Q418" s="64" t="s">
        <v>33</v>
      </c>
      <c r="R418" s="64" t="s">
        <v>39</v>
      </c>
      <c r="S418" s="64">
        <v>21800</v>
      </c>
      <c r="T418" s="64" t="s">
        <v>2146</v>
      </c>
      <c r="U418" s="65">
        <v>46162</v>
      </c>
      <c r="V418" s="64" t="s">
        <v>28</v>
      </c>
      <c r="W418" s="64">
        <f t="shared" ref="W418" si="854">+S418-M418</f>
        <v>2800</v>
      </c>
      <c r="X418" s="64" t="s">
        <v>36</v>
      </c>
      <c r="Y418" s="64" t="s">
        <v>29</v>
      </c>
      <c r="Z418" s="71">
        <f t="shared" ref="Z418" si="855">+W418*100/M418</f>
        <v>14.736842105263158</v>
      </c>
      <c r="AA418" s="93"/>
    </row>
    <row r="419" spans="1:27">
      <c r="A419" s="64">
        <f>SUBTOTAL(3,C$2:C419)</f>
        <v>418</v>
      </c>
      <c r="B419" s="64" t="s">
        <v>30</v>
      </c>
      <c r="C419" s="64" t="s">
        <v>31</v>
      </c>
      <c r="D419" s="64" t="s">
        <v>32</v>
      </c>
      <c r="E419" s="64" t="s">
        <v>33</v>
      </c>
      <c r="F419" s="52" t="s">
        <v>887</v>
      </c>
      <c r="G419" s="91" t="s">
        <v>34</v>
      </c>
      <c r="H419" s="70" t="s">
        <v>897</v>
      </c>
      <c r="I419" s="65">
        <v>46140</v>
      </c>
      <c r="J419" s="64">
        <f t="shared" ref="J419:J420" ca="1" si="856">+TODAY()-I419</f>
        <v>44</v>
      </c>
      <c r="K419" s="64" t="str">
        <f t="shared" ref="K419:K420" si="857">+U419</f>
        <v>Pending</v>
      </c>
      <c r="L419" s="64" t="s">
        <v>111</v>
      </c>
      <c r="M419" s="64">
        <v>11700</v>
      </c>
      <c r="N419" s="64">
        <v>10700</v>
      </c>
      <c r="O419" s="65">
        <v>46140</v>
      </c>
      <c r="P419" s="64">
        <f t="shared" ref="P419:P420" si="858">+M419-N419</f>
        <v>1000</v>
      </c>
      <c r="Q419" s="64" t="s">
        <v>33</v>
      </c>
      <c r="R419" s="64" t="s">
        <v>112</v>
      </c>
      <c r="S419" s="64">
        <v>13500</v>
      </c>
      <c r="T419" s="64" t="s">
        <v>33</v>
      </c>
      <c r="U419" s="65" t="s">
        <v>33</v>
      </c>
      <c r="V419" s="64" t="s">
        <v>28</v>
      </c>
      <c r="W419" s="64">
        <f t="shared" ref="W419:W420" si="859">+S419-M419</f>
        <v>1800</v>
      </c>
      <c r="X419" s="64" t="s">
        <v>36</v>
      </c>
      <c r="Y419" s="64" t="s">
        <v>29</v>
      </c>
      <c r="Z419" s="71">
        <f t="shared" ref="Z419:Z420" si="860">+W419*100/M419</f>
        <v>15.384615384615385</v>
      </c>
      <c r="AA419" s="93"/>
    </row>
    <row r="420" spans="1:27">
      <c r="A420" s="64">
        <f>SUBTOTAL(3,C$2:C420)</f>
        <v>419</v>
      </c>
      <c r="B420" s="64" t="s">
        <v>30</v>
      </c>
      <c r="C420" s="64" t="s">
        <v>44</v>
      </c>
      <c r="D420" s="64" t="s">
        <v>32</v>
      </c>
      <c r="E420" s="64" t="s">
        <v>33</v>
      </c>
      <c r="F420" s="52" t="s">
        <v>62</v>
      </c>
      <c r="G420" s="91">
        <v>407</v>
      </c>
      <c r="H420" s="98" t="s">
        <v>906</v>
      </c>
      <c r="I420" s="65">
        <v>46139</v>
      </c>
      <c r="J420" s="64">
        <f t="shared" ca="1" si="856"/>
        <v>45</v>
      </c>
      <c r="K420" s="64">
        <f t="shared" si="857"/>
        <v>46148</v>
      </c>
      <c r="L420" s="52" t="s">
        <v>381</v>
      </c>
      <c r="M420" s="64">
        <v>27000</v>
      </c>
      <c r="N420" s="64">
        <v>25000</v>
      </c>
      <c r="O420" s="65">
        <v>46140</v>
      </c>
      <c r="P420" s="64">
        <f t="shared" si="858"/>
        <v>2000</v>
      </c>
      <c r="Q420" s="64" t="s">
        <v>33</v>
      </c>
      <c r="R420" s="64" t="s">
        <v>56</v>
      </c>
      <c r="S420" s="64">
        <v>30800</v>
      </c>
      <c r="T420" s="64" t="s">
        <v>1343</v>
      </c>
      <c r="U420" s="65">
        <v>46148</v>
      </c>
      <c r="V420" s="64" t="s">
        <v>28</v>
      </c>
      <c r="W420" s="64">
        <f t="shared" si="859"/>
        <v>3800</v>
      </c>
      <c r="X420" s="64" t="s">
        <v>36</v>
      </c>
      <c r="Y420" s="64" t="s">
        <v>29</v>
      </c>
      <c r="Z420" s="71">
        <f t="shared" si="860"/>
        <v>14.074074074074074</v>
      </c>
      <c r="AA420" s="93"/>
    </row>
    <row r="421" spans="1:27">
      <c r="A421" s="64">
        <f>SUBTOTAL(3,C$2:C421)</f>
        <v>420</v>
      </c>
      <c r="B421" s="64" t="s">
        <v>30</v>
      </c>
      <c r="C421" s="64" t="s">
        <v>31</v>
      </c>
      <c r="D421" s="64" t="s">
        <v>32</v>
      </c>
      <c r="E421" s="64" t="s">
        <v>33</v>
      </c>
      <c r="F421" s="52" t="s">
        <v>712</v>
      </c>
      <c r="G421" s="91" t="s">
        <v>34</v>
      </c>
      <c r="H421" s="98" t="s">
        <v>898</v>
      </c>
      <c r="I421" s="65">
        <v>46140</v>
      </c>
      <c r="J421" s="64">
        <f t="shared" ref="J421:J422" ca="1" si="861">+TODAY()-I421</f>
        <v>44</v>
      </c>
      <c r="K421" s="64">
        <f t="shared" ref="K421:K422" si="862">+U421</f>
        <v>46162</v>
      </c>
      <c r="L421" s="64" t="s">
        <v>47</v>
      </c>
      <c r="M421" s="64">
        <v>19000</v>
      </c>
      <c r="N421" s="64">
        <v>17000</v>
      </c>
      <c r="O421" s="65">
        <v>46140</v>
      </c>
      <c r="P421" s="64">
        <f t="shared" ref="P421:P422" si="863">+M421-N421</f>
        <v>2000</v>
      </c>
      <c r="Q421" s="64" t="s">
        <v>33</v>
      </c>
      <c r="R421" s="64" t="s">
        <v>39</v>
      </c>
      <c r="S421" s="64">
        <v>21800</v>
      </c>
      <c r="T421" s="64" t="s">
        <v>2147</v>
      </c>
      <c r="U421" s="65">
        <v>46162</v>
      </c>
      <c r="V421" s="64" t="s">
        <v>28</v>
      </c>
      <c r="W421" s="64">
        <f t="shared" ref="W421:W422" si="864">+S421-M421</f>
        <v>2800</v>
      </c>
      <c r="X421" s="64" t="s">
        <v>36</v>
      </c>
      <c r="Y421" s="64" t="s">
        <v>29</v>
      </c>
      <c r="Z421" s="71">
        <f t="shared" ref="Z421:Z422" si="865">+W421*100/M421</f>
        <v>14.736842105263158</v>
      </c>
      <c r="AA421" s="93"/>
    </row>
    <row r="422" spans="1:27">
      <c r="A422" s="64">
        <f>SUBTOTAL(3,C$2:C422)</f>
        <v>421</v>
      </c>
      <c r="B422" s="64" t="s">
        <v>30</v>
      </c>
      <c r="C422" s="64" t="s">
        <v>44</v>
      </c>
      <c r="D422" s="64" t="s">
        <v>32</v>
      </c>
      <c r="E422" s="64" t="s">
        <v>33</v>
      </c>
      <c r="F422" s="52" t="s">
        <v>890</v>
      </c>
      <c r="G422" s="91" t="s">
        <v>59</v>
      </c>
      <c r="H422" s="98" t="s">
        <v>907</v>
      </c>
      <c r="I422" s="65">
        <v>46140</v>
      </c>
      <c r="J422" s="64">
        <f t="shared" ca="1" si="861"/>
        <v>44</v>
      </c>
      <c r="K422" s="64">
        <f t="shared" si="862"/>
        <v>46169</v>
      </c>
      <c r="L422" s="64" t="s">
        <v>47</v>
      </c>
      <c r="M422" s="64">
        <v>23000</v>
      </c>
      <c r="N422" s="64">
        <v>23000</v>
      </c>
      <c r="O422" s="65">
        <v>46140</v>
      </c>
      <c r="P422" s="64">
        <f t="shared" si="863"/>
        <v>0</v>
      </c>
      <c r="Q422" s="64" t="s">
        <v>33</v>
      </c>
      <c r="R422" s="64" t="s">
        <v>39</v>
      </c>
      <c r="S422" s="64">
        <v>25200</v>
      </c>
      <c r="T422" s="64" t="s">
        <v>2656</v>
      </c>
      <c r="U422" s="65">
        <v>46169</v>
      </c>
      <c r="V422" s="64" t="s">
        <v>28</v>
      </c>
      <c r="W422" s="64">
        <f t="shared" si="864"/>
        <v>2200</v>
      </c>
      <c r="X422" s="64" t="s">
        <v>36</v>
      </c>
      <c r="Y422" s="64" t="s">
        <v>29</v>
      </c>
      <c r="Z422" s="71">
        <f t="shared" si="865"/>
        <v>9.5652173913043477</v>
      </c>
      <c r="AA422" s="93"/>
    </row>
    <row r="423" spans="1:27">
      <c r="A423" s="64">
        <f>SUBTOTAL(3,C$2:C423)</f>
        <v>422</v>
      </c>
      <c r="B423" s="64" t="s">
        <v>30</v>
      </c>
      <c r="C423" s="64" t="s">
        <v>44</v>
      </c>
      <c r="D423" s="64" t="s">
        <v>32</v>
      </c>
      <c r="E423" s="64" t="s">
        <v>33</v>
      </c>
      <c r="F423" s="52" t="s">
        <v>414</v>
      </c>
      <c r="G423" s="91" t="s">
        <v>59</v>
      </c>
      <c r="H423" s="98" t="s">
        <v>908</v>
      </c>
      <c r="I423" s="65">
        <v>46140</v>
      </c>
      <c r="J423" s="64">
        <f t="shared" ref="J423:J424" ca="1" si="866">+TODAY()-I423</f>
        <v>44</v>
      </c>
      <c r="K423" s="64">
        <f t="shared" ref="K423:K424" si="867">+U423</f>
        <v>46170</v>
      </c>
      <c r="L423" s="52" t="s">
        <v>381</v>
      </c>
      <c r="M423" s="64">
        <v>28000</v>
      </c>
      <c r="N423" s="64">
        <v>25000</v>
      </c>
      <c r="O423" s="65">
        <v>46140</v>
      </c>
      <c r="P423" s="64">
        <f t="shared" ref="P423:P424" si="868">+M423-N423</f>
        <v>3000</v>
      </c>
      <c r="Q423" s="64" t="s">
        <v>33</v>
      </c>
      <c r="R423" s="64" t="s">
        <v>56</v>
      </c>
      <c r="S423" s="64">
        <v>30800</v>
      </c>
      <c r="T423" s="64" t="s">
        <v>2661</v>
      </c>
      <c r="U423" s="65">
        <v>46170</v>
      </c>
      <c r="V423" s="64" t="s">
        <v>28</v>
      </c>
      <c r="W423" s="64">
        <f t="shared" ref="W423:W424" si="869">+S423-M423</f>
        <v>2800</v>
      </c>
      <c r="X423" s="64" t="s">
        <v>36</v>
      </c>
      <c r="Y423" s="64" t="s">
        <v>29</v>
      </c>
      <c r="Z423" s="71">
        <f t="shared" ref="Z423:Z424" si="870">+W423*100/M423</f>
        <v>10</v>
      </c>
      <c r="AA423" s="93"/>
    </row>
    <row r="424" spans="1:27">
      <c r="A424" s="64">
        <f>SUBTOTAL(3,C$2:C424)</f>
        <v>423</v>
      </c>
      <c r="B424" s="64" t="s">
        <v>30</v>
      </c>
      <c r="C424" s="64" t="s">
        <v>31</v>
      </c>
      <c r="D424" s="64" t="s">
        <v>32</v>
      </c>
      <c r="E424" s="64" t="s">
        <v>33</v>
      </c>
      <c r="F424" s="52" t="s">
        <v>574</v>
      </c>
      <c r="G424" s="91" t="s">
        <v>34</v>
      </c>
      <c r="H424" s="98" t="s">
        <v>899</v>
      </c>
      <c r="I424" s="65">
        <v>46140</v>
      </c>
      <c r="J424" s="64">
        <f t="shared" ca="1" si="866"/>
        <v>44</v>
      </c>
      <c r="K424" s="64" t="str">
        <f t="shared" si="867"/>
        <v>Pending</v>
      </c>
      <c r="L424" s="52" t="s">
        <v>639</v>
      </c>
      <c r="M424" s="64">
        <v>18300</v>
      </c>
      <c r="N424" s="64">
        <v>16500</v>
      </c>
      <c r="O424" s="65">
        <v>46140</v>
      </c>
      <c r="P424" s="64">
        <f t="shared" si="868"/>
        <v>1800</v>
      </c>
      <c r="Q424" s="64" t="s">
        <v>33</v>
      </c>
      <c r="R424" s="64" t="s">
        <v>37</v>
      </c>
      <c r="S424" s="64">
        <v>21500</v>
      </c>
      <c r="T424" s="64" t="s">
        <v>33</v>
      </c>
      <c r="U424" s="65" t="s">
        <v>33</v>
      </c>
      <c r="V424" s="64" t="s">
        <v>28</v>
      </c>
      <c r="W424" s="64">
        <f t="shared" si="869"/>
        <v>3200</v>
      </c>
      <c r="X424" s="64" t="s">
        <v>36</v>
      </c>
      <c r="Y424" s="64" t="s">
        <v>29</v>
      </c>
      <c r="Z424" s="71">
        <f t="shared" si="870"/>
        <v>17.486338797814209</v>
      </c>
      <c r="AA424" s="93"/>
    </row>
    <row r="425" spans="1:27">
      <c r="A425" s="64">
        <f>SUBTOTAL(3,C$2:C425)</f>
        <v>424</v>
      </c>
      <c r="B425" s="64" t="s">
        <v>30</v>
      </c>
      <c r="C425" s="64" t="s">
        <v>31</v>
      </c>
      <c r="D425" s="64" t="s">
        <v>32</v>
      </c>
      <c r="E425" s="64" t="s">
        <v>33</v>
      </c>
      <c r="F425" s="52" t="s">
        <v>42</v>
      </c>
      <c r="G425" s="91" t="s">
        <v>34</v>
      </c>
      <c r="H425" s="98" t="s">
        <v>900</v>
      </c>
      <c r="I425" s="65">
        <v>46140</v>
      </c>
      <c r="J425" s="64">
        <f t="shared" ref="J425:J426" ca="1" si="871">+TODAY()-I425</f>
        <v>44</v>
      </c>
      <c r="K425" s="64" t="str">
        <f t="shared" ref="K425:K426" si="872">+U425</f>
        <v>Pending</v>
      </c>
      <c r="L425" s="52" t="s">
        <v>639</v>
      </c>
      <c r="M425" s="64">
        <v>18300</v>
      </c>
      <c r="N425" s="64">
        <v>16500</v>
      </c>
      <c r="O425" s="65">
        <v>46140</v>
      </c>
      <c r="P425" s="64">
        <f t="shared" ref="P425:P426" si="873">+M425-N425</f>
        <v>1800</v>
      </c>
      <c r="Q425" s="64" t="s">
        <v>33</v>
      </c>
      <c r="R425" s="64" t="s">
        <v>37</v>
      </c>
      <c r="S425" s="64">
        <v>21500</v>
      </c>
      <c r="T425" s="64" t="s">
        <v>33</v>
      </c>
      <c r="U425" s="65" t="s">
        <v>33</v>
      </c>
      <c r="V425" s="64" t="s">
        <v>28</v>
      </c>
      <c r="W425" s="64">
        <f t="shared" ref="W425:W426" si="874">+S425-M425</f>
        <v>3200</v>
      </c>
      <c r="X425" s="64" t="s">
        <v>36</v>
      </c>
      <c r="Y425" s="64" t="s">
        <v>29</v>
      </c>
      <c r="Z425" s="71">
        <f t="shared" ref="Z425:Z426" si="875">+W425*100/M425</f>
        <v>17.486338797814209</v>
      </c>
      <c r="AA425" s="93"/>
    </row>
    <row r="426" spans="1:27">
      <c r="A426" s="64">
        <f>SUBTOTAL(3,C$2:C426)</f>
        <v>425</v>
      </c>
      <c r="B426" s="64" t="s">
        <v>30</v>
      </c>
      <c r="C426" s="64" t="s">
        <v>44</v>
      </c>
      <c r="D426" s="64" t="s">
        <v>32</v>
      </c>
      <c r="E426" s="64" t="s">
        <v>33</v>
      </c>
      <c r="F426" s="52" t="s">
        <v>828</v>
      </c>
      <c r="G426" s="91">
        <v>407</v>
      </c>
      <c r="H426" s="98" t="s">
        <v>901</v>
      </c>
      <c r="I426" s="65">
        <v>46139</v>
      </c>
      <c r="J426" s="64">
        <f t="shared" ca="1" si="871"/>
        <v>45</v>
      </c>
      <c r="K426" s="64">
        <f t="shared" si="872"/>
        <v>46148</v>
      </c>
      <c r="L426" s="52" t="s">
        <v>381</v>
      </c>
      <c r="M426" s="64">
        <v>27000</v>
      </c>
      <c r="N426" s="64">
        <v>25000</v>
      </c>
      <c r="O426" s="65">
        <v>46140</v>
      </c>
      <c r="P426" s="64">
        <f t="shared" si="873"/>
        <v>2000</v>
      </c>
      <c r="Q426" s="64" t="s">
        <v>33</v>
      </c>
      <c r="R426" s="64" t="s">
        <v>78</v>
      </c>
      <c r="S426" s="64">
        <v>29800</v>
      </c>
      <c r="T426" s="64" t="s">
        <v>1328</v>
      </c>
      <c r="U426" s="65">
        <v>46148</v>
      </c>
      <c r="V426" s="64" t="s">
        <v>28</v>
      </c>
      <c r="W426" s="64">
        <f t="shared" si="874"/>
        <v>2800</v>
      </c>
      <c r="X426" s="64" t="s">
        <v>36</v>
      </c>
      <c r="Y426" s="64" t="s">
        <v>29</v>
      </c>
      <c r="Z426" s="71">
        <f t="shared" si="875"/>
        <v>10.37037037037037</v>
      </c>
      <c r="AA426" s="93"/>
    </row>
    <row r="427" spans="1:27">
      <c r="A427" s="64">
        <f>SUBTOTAL(3,C$2:C427)</f>
        <v>426</v>
      </c>
      <c r="B427" s="64" t="s">
        <v>30</v>
      </c>
      <c r="C427" s="64" t="s">
        <v>44</v>
      </c>
      <c r="D427" s="64" t="s">
        <v>32</v>
      </c>
      <c r="E427" s="64" t="s">
        <v>33</v>
      </c>
      <c r="F427" s="52" t="s">
        <v>669</v>
      </c>
      <c r="G427" s="91" t="s">
        <v>46</v>
      </c>
      <c r="H427" s="98" t="s">
        <v>909</v>
      </c>
      <c r="I427" s="65">
        <v>46140</v>
      </c>
      <c r="J427" s="64">
        <f t="shared" ref="J427:J445" ca="1" si="876">+TODAY()-I427</f>
        <v>44</v>
      </c>
      <c r="K427" s="64">
        <f t="shared" ref="K427:K445" si="877">+U427</f>
        <v>46162</v>
      </c>
      <c r="L427" s="52" t="s">
        <v>397</v>
      </c>
      <c r="M427" s="64">
        <v>19000</v>
      </c>
      <c r="N427" s="64">
        <v>17000</v>
      </c>
      <c r="O427" s="65">
        <v>46141</v>
      </c>
      <c r="P427" s="64">
        <f t="shared" ref="P427:P445" si="878">+M427-N427</f>
        <v>2000</v>
      </c>
      <c r="Q427" s="64" t="s">
        <v>33</v>
      </c>
      <c r="R427" s="64" t="s">
        <v>39</v>
      </c>
      <c r="S427" s="64">
        <v>21800</v>
      </c>
      <c r="T427" s="64" t="s">
        <v>2148</v>
      </c>
      <c r="U427" s="65">
        <v>46162</v>
      </c>
      <c r="V427" s="64" t="s">
        <v>28</v>
      </c>
      <c r="W427" s="64">
        <f t="shared" ref="W427:W445" si="879">+S427-M427</f>
        <v>2800</v>
      </c>
      <c r="X427" s="64" t="s">
        <v>36</v>
      </c>
      <c r="Y427" s="64" t="s">
        <v>29</v>
      </c>
      <c r="Z427" s="71">
        <f t="shared" ref="Z427:Z445" si="880">+W427*100/M427</f>
        <v>14.736842105263158</v>
      </c>
      <c r="AA427" s="93"/>
    </row>
    <row r="428" spans="1:27">
      <c r="A428" s="64">
        <f>SUBTOTAL(3,C$2:C428)</f>
        <v>427</v>
      </c>
      <c r="B428" s="64" t="s">
        <v>30</v>
      </c>
      <c r="C428" s="64" t="s">
        <v>119</v>
      </c>
      <c r="D428" s="64" t="s">
        <v>32</v>
      </c>
      <c r="E428" s="64" t="s">
        <v>33</v>
      </c>
      <c r="F428" s="52" t="s">
        <v>304</v>
      </c>
      <c r="G428" s="91" t="s">
        <v>914</v>
      </c>
      <c r="H428" s="70" t="s">
        <v>913</v>
      </c>
      <c r="I428" s="65">
        <v>46139</v>
      </c>
      <c r="J428" s="64">
        <f t="shared" ca="1" si="876"/>
        <v>45</v>
      </c>
      <c r="K428" s="64" t="str">
        <f t="shared" si="877"/>
        <v>Pending</v>
      </c>
      <c r="L428" s="52" t="s">
        <v>915</v>
      </c>
      <c r="M428" s="64">
        <v>40000</v>
      </c>
      <c r="N428" s="64">
        <v>37000</v>
      </c>
      <c r="O428" s="65">
        <v>46141</v>
      </c>
      <c r="P428" s="64">
        <f t="shared" si="878"/>
        <v>3000</v>
      </c>
      <c r="Q428" s="64" t="s">
        <v>33</v>
      </c>
      <c r="R428" s="64" t="s">
        <v>112</v>
      </c>
      <c r="S428" s="64">
        <v>44000</v>
      </c>
      <c r="T428" s="64" t="s">
        <v>33</v>
      </c>
      <c r="U428" s="65" t="s">
        <v>33</v>
      </c>
      <c r="V428" s="64" t="s">
        <v>28</v>
      </c>
      <c r="W428" s="64">
        <f t="shared" si="879"/>
        <v>4000</v>
      </c>
      <c r="X428" s="64" t="s">
        <v>36</v>
      </c>
      <c r="Y428" s="64" t="s">
        <v>29</v>
      </c>
      <c r="Z428" s="71">
        <f t="shared" si="880"/>
        <v>10</v>
      </c>
      <c r="AA428" s="93"/>
    </row>
    <row r="429" spans="1:27">
      <c r="A429" s="64">
        <f>SUBTOTAL(3,C$2:C429)</f>
        <v>428</v>
      </c>
      <c r="B429" s="64" t="s">
        <v>30</v>
      </c>
      <c r="C429" s="64" t="s">
        <v>31</v>
      </c>
      <c r="D429" s="64" t="s">
        <v>32</v>
      </c>
      <c r="E429" s="64" t="s">
        <v>33</v>
      </c>
      <c r="F429" s="52" t="s">
        <v>931</v>
      </c>
      <c r="G429" s="91" t="s">
        <v>34</v>
      </c>
      <c r="H429" s="98" t="s">
        <v>932</v>
      </c>
      <c r="I429" s="65">
        <v>46140</v>
      </c>
      <c r="J429" s="64">
        <f t="shared" ca="1" si="876"/>
        <v>44</v>
      </c>
      <c r="K429" s="64">
        <f t="shared" si="877"/>
        <v>46162</v>
      </c>
      <c r="L429" s="64" t="s">
        <v>47</v>
      </c>
      <c r="M429" s="64">
        <v>19000</v>
      </c>
      <c r="N429" s="64">
        <v>17000</v>
      </c>
      <c r="O429" s="65">
        <v>46141</v>
      </c>
      <c r="P429" s="64">
        <f t="shared" si="878"/>
        <v>2000</v>
      </c>
      <c r="Q429" s="64" t="s">
        <v>33</v>
      </c>
      <c r="R429" s="64" t="s">
        <v>39</v>
      </c>
      <c r="S429" s="64">
        <v>21800</v>
      </c>
      <c r="T429" s="64" t="s">
        <v>2147</v>
      </c>
      <c r="U429" s="65">
        <v>46162</v>
      </c>
      <c r="V429" s="64" t="s">
        <v>28</v>
      </c>
      <c r="W429" s="64">
        <f t="shared" si="879"/>
        <v>2800</v>
      </c>
      <c r="X429" s="64" t="s">
        <v>36</v>
      </c>
      <c r="Y429" s="64" t="s">
        <v>29</v>
      </c>
      <c r="Z429" s="71">
        <f t="shared" si="880"/>
        <v>14.736842105263158</v>
      </c>
      <c r="AA429" s="93"/>
    </row>
    <row r="430" spans="1:27">
      <c r="A430" s="64">
        <f>SUBTOTAL(3,C$2:C430)</f>
        <v>429</v>
      </c>
      <c r="B430" s="64" t="s">
        <v>30</v>
      </c>
      <c r="C430" s="64" t="s">
        <v>31</v>
      </c>
      <c r="D430" s="64" t="s">
        <v>32</v>
      </c>
      <c r="E430" s="64" t="s">
        <v>33</v>
      </c>
      <c r="F430" s="52" t="s">
        <v>671</v>
      </c>
      <c r="G430" s="91" t="s">
        <v>34</v>
      </c>
      <c r="H430" s="98" t="s">
        <v>916</v>
      </c>
      <c r="I430" s="65">
        <v>46140</v>
      </c>
      <c r="J430" s="64">
        <f t="shared" ca="1" si="876"/>
        <v>44</v>
      </c>
      <c r="K430" s="64" t="str">
        <f t="shared" si="877"/>
        <v>Pending</v>
      </c>
      <c r="L430" s="64" t="s">
        <v>88</v>
      </c>
      <c r="M430" s="64">
        <v>23300</v>
      </c>
      <c r="N430" s="64">
        <v>21500</v>
      </c>
      <c r="O430" s="65">
        <v>46141</v>
      </c>
      <c r="P430" s="64">
        <f t="shared" si="878"/>
        <v>1800</v>
      </c>
      <c r="Q430" s="64" t="s">
        <v>33</v>
      </c>
      <c r="R430" s="64" t="s">
        <v>37</v>
      </c>
      <c r="S430" s="64">
        <v>26000</v>
      </c>
      <c r="T430" s="64" t="s">
        <v>33</v>
      </c>
      <c r="U430" s="65" t="s">
        <v>33</v>
      </c>
      <c r="V430" s="64" t="s">
        <v>28</v>
      </c>
      <c r="W430" s="64">
        <f t="shared" si="879"/>
        <v>2700</v>
      </c>
      <c r="X430" s="64" t="s">
        <v>36</v>
      </c>
      <c r="Y430" s="64" t="s">
        <v>29</v>
      </c>
      <c r="Z430" s="71">
        <f t="shared" si="880"/>
        <v>11.587982832618026</v>
      </c>
      <c r="AA430" s="93"/>
    </row>
    <row r="431" spans="1:27">
      <c r="A431" s="64">
        <f>SUBTOTAL(3,C$2:C431)</f>
        <v>430</v>
      </c>
      <c r="B431" s="64" t="s">
        <v>30</v>
      </c>
      <c r="C431" s="64" t="s">
        <v>31</v>
      </c>
      <c r="D431" s="64" t="s">
        <v>32</v>
      </c>
      <c r="E431" s="64" t="s">
        <v>33</v>
      </c>
      <c r="F431" s="52" t="s">
        <v>922</v>
      </c>
      <c r="G431" s="91" t="s">
        <v>34</v>
      </c>
      <c r="H431" s="98" t="s">
        <v>923</v>
      </c>
      <c r="I431" s="65">
        <v>46140</v>
      </c>
      <c r="J431" s="64">
        <f t="shared" ca="1" si="876"/>
        <v>44</v>
      </c>
      <c r="K431" s="64">
        <f t="shared" si="877"/>
        <v>46170</v>
      </c>
      <c r="L431" s="52" t="s">
        <v>2782</v>
      </c>
      <c r="M431" s="64">
        <v>18000</v>
      </c>
      <c r="N431" s="64">
        <v>16000</v>
      </c>
      <c r="O431" s="65">
        <v>46141</v>
      </c>
      <c r="P431" s="64">
        <f t="shared" si="878"/>
        <v>2000</v>
      </c>
      <c r="Q431" s="64" t="s">
        <v>33</v>
      </c>
      <c r="R431" s="64" t="s">
        <v>56</v>
      </c>
      <c r="S431" s="64">
        <v>20500</v>
      </c>
      <c r="T431" s="64" t="s">
        <v>2667</v>
      </c>
      <c r="U431" s="65">
        <v>46170</v>
      </c>
      <c r="V431" s="64" t="s">
        <v>28</v>
      </c>
      <c r="W431" s="64">
        <f t="shared" si="879"/>
        <v>2500</v>
      </c>
      <c r="X431" s="64" t="s">
        <v>36</v>
      </c>
      <c r="Y431" s="64" t="s">
        <v>29</v>
      </c>
      <c r="Z431" s="71">
        <f t="shared" si="880"/>
        <v>13.888888888888889</v>
      </c>
      <c r="AA431" s="93"/>
    </row>
    <row r="432" spans="1:27">
      <c r="A432" s="64">
        <f>SUBTOTAL(3,C$2:C432)</f>
        <v>431</v>
      </c>
      <c r="B432" s="64" t="s">
        <v>30</v>
      </c>
      <c r="C432" s="64" t="s">
        <v>31</v>
      </c>
      <c r="D432" s="64" t="s">
        <v>32</v>
      </c>
      <c r="E432" s="64" t="s">
        <v>33</v>
      </c>
      <c r="F432" s="52" t="s">
        <v>782</v>
      </c>
      <c r="G432" s="91" t="s">
        <v>34</v>
      </c>
      <c r="H432" s="98" t="s">
        <v>924</v>
      </c>
      <c r="I432" s="65">
        <v>46140</v>
      </c>
      <c r="J432" s="64">
        <f t="shared" ca="1" si="876"/>
        <v>44</v>
      </c>
      <c r="K432" s="64">
        <f t="shared" si="877"/>
        <v>46169</v>
      </c>
      <c r="L432" s="52" t="s">
        <v>2782</v>
      </c>
      <c r="M432" s="64">
        <v>18000</v>
      </c>
      <c r="N432" s="64">
        <v>16000</v>
      </c>
      <c r="O432" s="65">
        <v>46141</v>
      </c>
      <c r="P432" s="64">
        <f t="shared" si="878"/>
        <v>2000</v>
      </c>
      <c r="Q432" s="64" t="s">
        <v>33</v>
      </c>
      <c r="R432" s="64" t="s">
        <v>56</v>
      </c>
      <c r="S432" s="64">
        <v>20500</v>
      </c>
      <c r="T432" s="64" t="s">
        <v>2669</v>
      </c>
      <c r="U432" s="65">
        <v>46169</v>
      </c>
      <c r="V432" s="64" t="s">
        <v>28</v>
      </c>
      <c r="W432" s="64">
        <f t="shared" si="879"/>
        <v>2500</v>
      </c>
      <c r="X432" s="64" t="s">
        <v>36</v>
      </c>
      <c r="Y432" s="64" t="s">
        <v>29</v>
      </c>
      <c r="Z432" s="71">
        <f t="shared" si="880"/>
        <v>13.888888888888889</v>
      </c>
      <c r="AA432" s="93"/>
    </row>
    <row r="433" spans="1:27">
      <c r="A433" s="64">
        <f>SUBTOTAL(3,C$2:C433)</f>
        <v>432</v>
      </c>
      <c r="B433" s="64" t="s">
        <v>30</v>
      </c>
      <c r="C433" s="64" t="s">
        <v>31</v>
      </c>
      <c r="D433" s="64" t="s">
        <v>32</v>
      </c>
      <c r="E433" s="64" t="s">
        <v>33</v>
      </c>
      <c r="F433" s="52" t="s">
        <v>147</v>
      </c>
      <c r="G433" s="91" t="s">
        <v>34</v>
      </c>
      <c r="H433" s="98" t="s">
        <v>917</v>
      </c>
      <c r="I433" s="65">
        <v>46141</v>
      </c>
      <c r="J433" s="64">
        <f t="shared" ca="1" si="876"/>
        <v>43</v>
      </c>
      <c r="K433" s="64" t="str">
        <f t="shared" si="877"/>
        <v>Pending</v>
      </c>
      <c r="L433" s="52" t="s">
        <v>639</v>
      </c>
      <c r="M433" s="64">
        <v>18300</v>
      </c>
      <c r="N433" s="64">
        <v>16500</v>
      </c>
      <c r="O433" s="65">
        <v>46141</v>
      </c>
      <c r="P433" s="64">
        <f t="shared" si="878"/>
        <v>1800</v>
      </c>
      <c r="Q433" s="64" t="s">
        <v>33</v>
      </c>
      <c r="R433" s="64" t="s">
        <v>37</v>
      </c>
      <c r="S433" s="64">
        <v>21500</v>
      </c>
      <c r="T433" s="64" t="s">
        <v>33</v>
      </c>
      <c r="U433" s="65" t="s">
        <v>33</v>
      </c>
      <c r="V433" s="64" t="s">
        <v>28</v>
      </c>
      <c r="W433" s="64">
        <f t="shared" si="879"/>
        <v>3200</v>
      </c>
      <c r="X433" s="64" t="s">
        <v>36</v>
      </c>
      <c r="Y433" s="64" t="s">
        <v>29</v>
      </c>
      <c r="Z433" s="71">
        <f t="shared" si="880"/>
        <v>17.486338797814209</v>
      </c>
      <c r="AA433" s="93"/>
    </row>
    <row r="434" spans="1:27">
      <c r="A434" s="64">
        <f>SUBTOTAL(3,C$2:C434)</f>
        <v>433</v>
      </c>
      <c r="B434" s="64" t="s">
        <v>30</v>
      </c>
      <c r="C434" s="64" t="s">
        <v>44</v>
      </c>
      <c r="D434" s="64" t="s">
        <v>32</v>
      </c>
      <c r="E434" s="64" t="s">
        <v>33</v>
      </c>
      <c r="F434" s="52" t="s">
        <v>910</v>
      </c>
      <c r="G434" s="91" t="s">
        <v>46</v>
      </c>
      <c r="H434" s="70" t="s">
        <v>911</v>
      </c>
      <c r="I434" s="65">
        <v>46141</v>
      </c>
      <c r="J434" s="64">
        <f t="shared" ca="1" si="876"/>
        <v>43</v>
      </c>
      <c r="K434" s="64" t="str">
        <f t="shared" si="877"/>
        <v>Pending</v>
      </c>
      <c r="L434" s="52" t="s">
        <v>397</v>
      </c>
      <c r="M434" s="64">
        <v>19000</v>
      </c>
      <c r="N434" s="64">
        <v>17000</v>
      </c>
      <c r="O434" s="65">
        <v>46141</v>
      </c>
      <c r="P434" s="64">
        <f t="shared" si="878"/>
        <v>2000</v>
      </c>
      <c r="Q434" s="64" t="s">
        <v>33</v>
      </c>
      <c r="R434" s="64" t="s">
        <v>39</v>
      </c>
      <c r="S434" s="64">
        <v>21800</v>
      </c>
      <c r="T434" s="64" t="s">
        <v>33</v>
      </c>
      <c r="U434" s="65" t="s">
        <v>33</v>
      </c>
      <c r="V434" s="64" t="s">
        <v>28</v>
      </c>
      <c r="W434" s="64">
        <f t="shared" si="879"/>
        <v>2800</v>
      </c>
      <c r="X434" s="64" t="s">
        <v>36</v>
      </c>
      <c r="Y434" s="64" t="s">
        <v>29</v>
      </c>
      <c r="Z434" s="71">
        <f t="shared" si="880"/>
        <v>14.736842105263158</v>
      </c>
      <c r="AA434" s="93"/>
    </row>
    <row r="435" spans="1:27">
      <c r="A435" s="64">
        <f>SUBTOTAL(3,C$2:C435)</f>
        <v>434</v>
      </c>
      <c r="B435" s="64" t="s">
        <v>30</v>
      </c>
      <c r="C435" s="64" t="s">
        <v>31</v>
      </c>
      <c r="D435" s="64" t="s">
        <v>32</v>
      </c>
      <c r="E435" s="64" t="s">
        <v>33</v>
      </c>
      <c r="F435" s="52" t="s">
        <v>201</v>
      </c>
      <c r="G435" s="91" t="s">
        <v>34</v>
      </c>
      <c r="H435" s="98" t="s">
        <v>918</v>
      </c>
      <c r="I435" s="65">
        <v>46141</v>
      </c>
      <c r="J435" s="64">
        <f t="shared" ca="1" si="876"/>
        <v>43</v>
      </c>
      <c r="K435" s="64">
        <f t="shared" si="877"/>
        <v>46170</v>
      </c>
      <c r="L435" s="52" t="s">
        <v>519</v>
      </c>
      <c r="M435" s="64">
        <v>28000</v>
      </c>
      <c r="N435" s="64">
        <v>26000</v>
      </c>
      <c r="O435" s="65">
        <v>46141</v>
      </c>
      <c r="P435" s="64">
        <f t="shared" si="878"/>
        <v>2000</v>
      </c>
      <c r="Q435" s="64" t="s">
        <v>33</v>
      </c>
      <c r="R435" s="64" t="s">
        <v>52</v>
      </c>
      <c r="S435" s="64">
        <v>32500</v>
      </c>
      <c r="T435" s="64" t="s">
        <v>2670</v>
      </c>
      <c r="U435" s="65">
        <v>46170</v>
      </c>
      <c r="V435" s="64" t="s">
        <v>28</v>
      </c>
      <c r="W435" s="64">
        <f t="shared" si="879"/>
        <v>4500</v>
      </c>
      <c r="X435" s="64" t="s">
        <v>36</v>
      </c>
      <c r="Y435" s="64" t="s">
        <v>29</v>
      </c>
      <c r="Z435" s="71">
        <f t="shared" si="880"/>
        <v>16.071428571428573</v>
      </c>
      <c r="AA435" s="93"/>
    </row>
    <row r="436" spans="1:27">
      <c r="A436" s="64">
        <f>SUBTOTAL(3,C$2:C436)</f>
        <v>435</v>
      </c>
      <c r="B436" s="64" t="s">
        <v>30</v>
      </c>
      <c r="C436" s="64" t="s">
        <v>44</v>
      </c>
      <c r="D436" s="64" t="s">
        <v>32</v>
      </c>
      <c r="E436" s="64" t="s">
        <v>33</v>
      </c>
      <c r="F436" s="52" t="s">
        <v>669</v>
      </c>
      <c r="G436" s="91" t="s">
        <v>46</v>
      </c>
      <c r="H436" s="98" t="s">
        <v>912</v>
      </c>
      <c r="I436" s="65">
        <v>46141</v>
      </c>
      <c r="J436" s="64">
        <f t="shared" ca="1" si="876"/>
        <v>43</v>
      </c>
      <c r="K436" s="64">
        <f t="shared" si="877"/>
        <v>46170</v>
      </c>
      <c r="L436" s="52" t="s">
        <v>397</v>
      </c>
      <c r="M436" s="64">
        <v>19000</v>
      </c>
      <c r="N436" s="64">
        <v>17000</v>
      </c>
      <c r="O436" s="65">
        <v>46141</v>
      </c>
      <c r="P436" s="64">
        <f t="shared" si="878"/>
        <v>2000</v>
      </c>
      <c r="Q436" s="64" t="s">
        <v>33</v>
      </c>
      <c r="R436" s="64" t="s">
        <v>196</v>
      </c>
      <c r="S436" s="64">
        <v>21800</v>
      </c>
      <c r="T436" s="64" t="s">
        <v>2657</v>
      </c>
      <c r="U436" s="65">
        <v>46170</v>
      </c>
      <c r="V436" s="64" t="s">
        <v>28</v>
      </c>
      <c r="W436" s="64">
        <f t="shared" si="879"/>
        <v>2800</v>
      </c>
      <c r="X436" s="64" t="s">
        <v>36</v>
      </c>
      <c r="Y436" s="64" t="s">
        <v>29</v>
      </c>
      <c r="Z436" s="71">
        <f t="shared" si="880"/>
        <v>14.736842105263158</v>
      </c>
      <c r="AA436" s="93"/>
    </row>
    <row r="437" spans="1:27">
      <c r="A437" s="64">
        <f>SUBTOTAL(3,C$2:C437)</f>
        <v>436</v>
      </c>
      <c r="B437" s="64" t="s">
        <v>30</v>
      </c>
      <c r="C437" s="64" t="s">
        <v>137</v>
      </c>
      <c r="D437" s="64" t="s">
        <v>32</v>
      </c>
      <c r="E437" s="64" t="s">
        <v>33</v>
      </c>
      <c r="F437" s="52" t="s">
        <v>138</v>
      </c>
      <c r="G437" s="91" t="s">
        <v>50</v>
      </c>
      <c r="H437" s="98" t="s">
        <v>919</v>
      </c>
      <c r="I437" s="65">
        <v>46141</v>
      </c>
      <c r="J437" s="64">
        <f t="shared" ca="1" si="876"/>
        <v>43</v>
      </c>
      <c r="K437" s="64">
        <f t="shared" si="877"/>
        <v>46178</v>
      </c>
      <c r="L437" s="64" t="s">
        <v>97</v>
      </c>
      <c r="M437" s="64">
        <f>44000+3000</f>
        <v>47000</v>
      </c>
      <c r="N437" s="64">
        <v>40000</v>
      </c>
      <c r="O437" s="65">
        <v>46141</v>
      </c>
      <c r="P437" s="64">
        <f t="shared" si="878"/>
        <v>7000</v>
      </c>
      <c r="Q437" s="64" t="s">
        <v>33</v>
      </c>
      <c r="R437" s="64" t="s">
        <v>52</v>
      </c>
      <c r="S437" s="64">
        <f>48000+5000</f>
        <v>53000</v>
      </c>
      <c r="T437" s="64" t="s">
        <v>1321</v>
      </c>
      <c r="U437" s="65">
        <v>46178</v>
      </c>
      <c r="V437" s="64" t="s">
        <v>28</v>
      </c>
      <c r="W437" s="64">
        <f t="shared" si="879"/>
        <v>6000</v>
      </c>
      <c r="X437" s="64" t="s">
        <v>36</v>
      </c>
      <c r="Y437" s="64" t="s">
        <v>29</v>
      </c>
      <c r="Z437" s="71">
        <f t="shared" si="880"/>
        <v>12.76595744680851</v>
      </c>
      <c r="AA437" s="93"/>
    </row>
    <row r="438" spans="1:27">
      <c r="A438" s="64">
        <f>SUBTOTAL(3,C$2:C438)</f>
        <v>437</v>
      </c>
      <c r="B438" s="64" t="s">
        <v>30</v>
      </c>
      <c r="C438" s="64" t="s">
        <v>31</v>
      </c>
      <c r="D438" s="64" t="s">
        <v>32</v>
      </c>
      <c r="E438" s="64" t="s">
        <v>33</v>
      </c>
      <c r="F438" s="52" t="s">
        <v>920</v>
      </c>
      <c r="G438" s="91" t="s">
        <v>34</v>
      </c>
      <c r="H438" s="70" t="s">
        <v>921</v>
      </c>
      <c r="I438" s="65">
        <v>46141</v>
      </c>
      <c r="J438" s="64">
        <f t="shared" ca="1" si="876"/>
        <v>43</v>
      </c>
      <c r="K438" s="64" t="str">
        <f t="shared" si="877"/>
        <v>Pending</v>
      </c>
      <c r="L438" s="64" t="s">
        <v>111</v>
      </c>
      <c r="M438" s="64">
        <v>11700</v>
      </c>
      <c r="N438" s="64">
        <v>10700</v>
      </c>
      <c r="O438" s="65">
        <v>46141</v>
      </c>
      <c r="P438" s="64">
        <f t="shared" si="878"/>
        <v>1000</v>
      </c>
      <c r="Q438" s="64" t="s">
        <v>33</v>
      </c>
      <c r="R438" s="64" t="s">
        <v>112</v>
      </c>
      <c r="S438" s="64">
        <v>13500</v>
      </c>
      <c r="T438" s="64" t="s">
        <v>33</v>
      </c>
      <c r="U438" s="65" t="s">
        <v>33</v>
      </c>
      <c r="V438" s="64" t="s">
        <v>28</v>
      </c>
      <c r="W438" s="64">
        <f t="shared" si="879"/>
        <v>1800</v>
      </c>
      <c r="X438" s="64" t="s">
        <v>36</v>
      </c>
      <c r="Y438" s="64" t="s">
        <v>29</v>
      </c>
      <c r="Z438" s="71">
        <f t="shared" si="880"/>
        <v>15.384615384615385</v>
      </c>
      <c r="AA438" s="93"/>
    </row>
    <row r="439" spans="1:27">
      <c r="A439" s="64">
        <f>SUBTOTAL(3,C$2:C439)</f>
        <v>438</v>
      </c>
      <c r="B439" s="64" t="s">
        <v>30</v>
      </c>
      <c r="C439" s="64" t="s">
        <v>31</v>
      </c>
      <c r="D439" s="64" t="s">
        <v>32</v>
      </c>
      <c r="E439" s="64" t="s">
        <v>33</v>
      </c>
      <c r="F439" s="52" t="s">
        <v>255</v>
      </c>
      <c r="G439" s="91" t="s">
        <v>34</v>
      </c>
      <c r="H439" s="70" t="s">
        <v>933</v>
      </c>
      <c r="I439" s="65">
        <v>46141</v>
      </c>
      <c r="J439" s="64">
        <f t="shared" ca="1" si="876"/>
        <v>43</v>
      </c>
      <c r="K439" s="64" t="str">
        <f t="shared" si="877"/>
        <v>Pending</v>
      </c>
      <c r="L439" s="64" t="s">
        <v>47</v>
      </c>
      <c r="M439" s="64">
        <v>19000</v>
      </c>
      <c r="N439" s="64">
        <v>17000</v>
      </c>
      <c r="O439" s="65">
        <v>46141</v>
      </c>
      <c r="P439" s="64">
        <f t="shared" si="878"/>
        <v>2000</v>
      </c>
      <c r="Q439" s="64" t="s">
        <v>33</v>
      </c>
      <c r="R439" s="64" t="s">
        <v>39</v>
      </c>
      <c r="S439" s="64">
        <v>21800</v>
      </c>
      <c r="T439" s="64" t="s">
        <v>33</v>
      </c>
      <c r="U439" s="65" t="s">
        <v>33</v>
      </c>
      <c r="V439" s="64" t="s">
        <v>28</v>
      </c>
      <c r="W439" s="64">
        <f t="shared" si="879"/>
        <v>2800</v>
      </c>
      <c r="X439" s="64" t="s">
        <v>36</v>
      </c>
      <c r="Y439" s="64" t="s">
        <v>29</v>
      </c>
      <c r="Z439" s="71">
        <f t="shared" si="880"/>
        <v>14.736842105263158</v>
      </c>
      <c r="AA439" s="93"/>
    </row>
    <row r="440" spans="1:27">
      <c r="A440" s="64">
        <f>SUBTOTAL(3,C$2:C440)</f>
        <v>439</v>
      </c>
      <c r="B440" s="64" t="s">
        <v>30</v>
      </c>
      <c r="C440" s="64" t="s">
        <v>31</v>
      </c>
      <c r="D440" s="64" t="s">
        <v>32</v>
      </c>
      <c r="E440" s="64" t="s">
        <v>33</v>
      </c>
      <c r="F440" s="52" t="s">
        <v>925</v>
      </c>
      <c r="G440" s="91" t="s">
        <v>34</v>
      </c>
      <c r="H440" s="70" t="s">
        <v>926</v>
      </c>
      <c r="I440" s="65">
        <v>46141</v>
      </c>
      <c r="J440" s="64">
        <f t="shared" ca="1" si="876"/>
        <v>43</v>
      </c>
      <c r="K440" s="64" t="str">
        <f t="shared" si="877"/>
        <v>Pending</v>
      </c>
      <c r="L440" s="52" t="s">
        <v>2782</v>
      </c>
      <c r="M440" s="64">
        <v>18000</v>
      </c>
      <c r="N440" s="64">
        <v>16000</v>
      </c>
      <c r="O440" s="65">
        <v>46141</v>
      </c>
      <c r="P440" s="64">
        <f t="shared" si="878"/>
        <v>2000</v>
      </c>
      <c r="Q440" s="64" t="s">
        <v>33</v>
      </c>
      <c r="R440" s="64" t="s">
        <v>56</v>
      </c>
      <c r="S440" s="64">
        <v>20500</v>
      </c>
      <c r="T440" s="64" t="s">
        <v>33</v>
      </c>
      <c r="U440" s="65" t="s">
        <v>33</v>
      </c>
      <c r="V440" s="64" t="s">
        <v>28</v>
      </c>
      <c r="W440" s="64">
        <f t="shared" si="879"/>
        <v>2500</v>
      </c>
      <c r="X440" s="64" t="s">
        <v>36</v>
      </c>
      <c r="Y440" s="64" t="s">
        <v>29</v>
      </c>
      <c r="Z440" s="71">
        <f t="shared" si="880"/>
        <v>13.888888888888889</v>
      </c>
      <c r="AA440" s="93"/>
    </row>
    <row r="441" spans="1:27">
      <c r="A441" s="64">
        <f>SUBTOTAL(3,C$2:C441)</f>
        <v>440</v>
      </c>
      <c r="B441" s="64" t="s">
        <v>30</v>
      </c>
      <c r="C441" s="64" t="s">
        <v>31</v>
      </c>
      <c r="D441" s="64" t="s">
        <v>32</v>
      </c>
      <c r="E441" s="64" t="s">
        <v>33</v>
      </c>
      <c r="F441" s="52" t="s">
        <v>298</v>
      </c>
      <c r="G441" s="91" t="s">
        <v>34</v>
      </c>
      <c r="H441" s="98" t="s">
        <v>934</v>
      </c>
      <c r="I441" s="65">
        <v>46141</v>
      </c>
      <c r="J441" s="64">
        <f t="shared" ca="1" si="876"/>
        <v>43</v>
      </c>
      <c r="K441" s="64">
        <f t="shared" si="877"/>
        <v>46162</v>
      </c>
      <c r="L441" s="64" t="s">
        <v>47</v>
      </c>
      <c r="M441" s="64">
        <v>19000</v>
      </c>
      <c r="N441" s="64">
        <v>17000</v>
      </c>
      <c r="O441" s="65">
        <v>46141</v>
      </c>
      <c r="P441" s="64">
        <f t="shared" si="878"/>
        <v>2000</v>
      </c>
      <c r="Q441" s="64" t="s">
        <v>33</v>
      </c>
      <c r="R441" s="64" t="s">
        <v>39</v>
      </c>
      <c r="S441" s="64">
        <v>21800</v>
      </c>
      <c r="T441" s="64" t="s">
        <v>2146</v>
      </c>
      <c r="U441" s="65">
        <v>46162</v>
      </c>
      <c r="V441" s="64" t="s">
        <v>28</v>
      </c>
      <c r="W441" s="64">
        <f t="shared" si="879"/>
        <v>2800</v>
      </c>
      <c r="X441" s="64" t="s">
        <v>36</v>
      </c>
      <c r="Y441" s="64" t="s">
        <v>29</v>
      </c>
      <c r="Z441" s="71">
        <f t="shared" si="880"/>
        <v>14.736842105263158</v>
      </c>
      <c r="AA441" s="93"/>
    </row>
    <row r="442" spans="1:27">
      <c r="A442" s="64">
        <f>SUBTOTAL(3,C$2:C442)</f>
        <v>441</v>
      </c>
      <c r="B442" s="64" t="s">
        <v>30</v>
      </c>
      <c r="C442" s="64" t="s">
        <v>44</v>
      </c>
      <c r="D442" s="64" t="s">
        <v>32</v>
      </c>
      <c r="E442" s="64" t="s">
        <v>33</v>
      </c>
      <c r="F442" s="52" t="s">
        <v>928</v>
      </c>
      <c r="G442" s="91">
        <v>407</v>
      </c>
      <c r="H442" s="98" t="s">
        <v>929</v>
      </c>
      <c r="I442" s="65">
        <v>46141</v>
      </c>
      <c r="J442" s="64">
        <f t="shared" ca="1" si="876"/>
        <v>43</v>
      </c>
      <c r="K442" s="64">
        <f t="shared" si="877"/>
        <v>46162</v>
      </c>
      <c r="L442" s="64" t="s">
        <v>239</v>
      </c>
      <c r="M442" s="64">
        <v>30000</v>
      </c>
      <c r="N442" s="64">
        <v>27500</v>
      </c>
      <c r="O442" s="65">
        <v>46141</v>
      </c>
      <c r="P442" s="64">
        <f t="shared" si="878"/>
        <v>2500</v>
      </c>
      <c r="Q442" s="64" t="s">
        <v>33</v>
      </c>
      <c r="R442" s="64" t="s">
        <v>37</v>
      </c>
      <c r="S442" s="64">
        <v>32500</v>
      </c>
      <c r="T442" s="64" t="s">
        <v>2157</v>
      </c>
      <c r="U442" s="65">
        <v>46162</v>
      </c>
      <c r="V442" s="64" t="s">
        <v>28</v>
      </c>
      <c r="W442" s="64">
        <f t="shared" si="879"/>
        <v>2500</v>
      </c>
      <c r="X442" s="64" t="s">
        <v>36</v>
      </c>
      <c r="Y442" s="64" t="s">
        <v>29</v>
      </c>
      <c r="Z442" s="71">
        <f t="shared" si="880"/>
        <v>8.3333333333333339</v>
      </c>
      <c r="AA442" s="93"/>
    </row>
    <row r="443" spans="1:27">
      <c r="A443" s="64">
        <f>SUBTOTAL(3,C$2:C443)</f>
        <v>442</v>
      </c>
      <c r="B443" s="64" t="s">
        <v>30</v>
      </c>
      <c r="C443" s="64" t="s">
        <v>44</v>
      </c>
      <c r="D443" s="64" t="s">
        <v>32</v>
      </c>
      <c r="E443" s="64" t="s">
        <v>33</v>
      </c>
      <c r="F443" s="52" t="s">
        <v>145</v>
      </c>
      <c r="G443" s="91" t="s">
        <v>46</v>
      </c>
      <c r="H443" s="99" t="s">
        <v>1337</v>
      </c>
      <c r="I443" s="65">
        <v>46140</v>
      </c>
      <c r="J443" s="64">
        <f t="shared" ca="1" si="876"/>
        <v>44</v>
      </c>
      <c r="K443" s="64">
        <f t="shared" si="877"/>
        <v>46148</v>
      </c>
      <c r="L443" s="52" t="s">
        <v>397</v>
      </c>
      <c r="M443" s="64">
        <v>18300</v>
      </c>
      <c r="N443" s="64">
        <v>16300</v>
      </c>
      <c r="O443" s="65">
        <v>46141</v>
      </c>
      <c r="P443" s="64">
        <f t="shared" si="878"/>
        <v>2000</v>
      </c>
      <c r="Q443" s="64" t="s">
        <v>33</v>
      </c>
      <c r="R443" s="64" t="s">
        <v>37</v>
      </c>
      <c r="S443" s="64">
        <v>21500</v>
      </c>
      <c r="T443" s="64" t="s">
        <v>1336</v>
      </c>
      <c r="U443" s="65">
        <v>46148</v>
      </c>
      <c r="V443" s="64" t="s">
        <v>28</v>
      </c>
      <c r="W443" s="64">
        <f t="shared" si="879"/>
        <v>3200</v>
      </c>
      <c r="X443" s="64" t="s">
        <v>36</v>
      </c>
      <c r="Y443" s="64" t="s">
        <v>29</v>
      </c>
      <c r="Z443" s="71">
        <f t="shared" si="880"/>
        <v>17.486338797814209</v>
      </c>
      <c r="AA443" s="93"/>
    </row>
    <row r="444" spans="1:27">
      <c r="A444" s="64">
        <f>SUBTOTAL(3,C$2:C444)</f>
        <v>443</v>
      </c>
      <c r="B444" s="64" t="s">
        <v>30</v>
      </c>
      <c r="C444" s="64" t="s">
        <v>31</v>
      </c>
      <c r="D444" s="64" t="s">
        <v>32</v>
      </c>
      <c r="E444" s="64" t="s">
        <v>33</v>
      </c>
      <c r="F444" s="52" t="s">
        <v>354</v>
      </c>
      <c r="G444" s="91" t="s">
        <v>34</v>
      </c>
      <c r="H444" s="98" t="s">
        <v>930</v>
      </c>
      <c r="I444" s="65">
        <v>46141</v>
      </c>
      <c r="J444" s="64">
        <f t="shared" ca="1" si="876"/>
        <v>43</v>
      </c>
      <c r="K444" s="64">
        <f t="shared" si="877"/>
        <v>46162</v>
      </c>
      <c r="L444" s="52" t="s">
        <v>519</v>
      </c>
      <c r="M444" s="64">
        <v>18300</v>
      </c>
      <c r="N444" s="64">
        <v>16500</v>
      </c>
      <c r="O444" s="65">
        <v>46141</v>
      </c>
      <c r="P444" s="64">
        <f t="shared" si="878"/>
        <v>1800</v>
      </c>
      <c r="Q444" s="64" t="s">
        <v>33</v>
      </c>
      <c r="R444" s="64" t="s">
        <v>52</v>
      </c>
      <c r="S444" s="64">
        <v>21500</v>
      </c>
      <c r="T444" s="64" t="s">
        <v>2153</v>
      </c>
      <c r="U444" s="65">
        <v>46162</v>
      </c>
      <c r="V444" s="64" t="s">
        <v>28</v>
      </c>
      <c r="W444" s="64">
        <f t="shared" si="879"/>
        <v>3200</v>
      </c>
      <c r="X444" s="64" t="s">
        <v>36</v>
      </c>
      <c r="Y444" s="64" t="s">
        <v>29</v>
      </c>
      <c r="Z444" s="71">
        <f t="shared" si="880"/>
        <v>17.486338797814209</v>
      </c>
      <c r="AA444" s="93"/>
    </row>
    <row r="445" spans="1:27">
      <c r="A445" s="64">
        <f>SUBTOTAL(3,C$2:C445)</f>
        <v>444</v>
      </c>
      <c r="B445" s="64" t="s">
        <v>30</v>
      </c>
      <c r="C445" s="64" t="s">
        <v>31</v>
      </c>
      <c r="D445" s="64" t="s">
        <v>32</v>
      </c>
      <c r="E445" s="64" t="s">
        <v>33</v>
      </c>
      <c r="F445" s="52" t="s">
        <v>377</v>
      </c>
      <c r="G445" s="91" t="s">
        <v>34</v>
      </c>
      <c r="H445" s="98" t="s">
        <v>935</v>
      </c>
      <c r="I445" s="65">
        <v>46141</v>
      </c>
      <c r="J445" s="64">
        <f t="shared" ca="1" si="876"/>
        <v>43</v>
      </c>
      <c r="K445" s="64">
        <f t="shared" si="877"/>
        <v>46162</v>
      </c>
      <c r="L445" s="64" t="s">
        <v>47</v>
      </c>
      <c r="M445" s="64">
        <v>19000</v>
      </c>
      <c r="N445" s="64">
        <v>17000</v>
      </c>
      <c r="O445" s="65">
        <v>46141</v>
      </c>
      <c r="P445" s="64">
        <f t="shared" si="878"/>
        <v>2000</v>
      </c>
      <c r="Q445" s="64" t="s">
        <v>33</v>
      </c>
      <c r="R445" s="64" t="s">
        <v>39</v>
      </c>
      <c r="S445" s="64">
        <v>21800</v>
      </c>
      <c r="T445" s="64" t="s">
        <v>2148</v>
      </c>
      <c r="U445" s="65">
        <v>46162</v>
      </c>
      <c r="V445" s="64" t="s">
        <v>28</v>
      </c>
      <c r="W445" s="64">
        <f t="shared" si="879"/>
        <v>2800</v>
      </c>
      <c r="X445" s="64" t="s">
        <v>36</v>
      </c>
      <c r="Y445" s="64" t="s">
        <v>29</v>
      </c>
      <c r="Z445" s="71">
        <f t="shared" si="880"/>
        <v>14.736842105263158</v>
      </c>
      <c r="AA445" s="93"/>
    </row>
    <row r="446" spans="1:27">
      <c r="A446" s="64">
        <f>SUBTOTAL(3,C$2:C446)</f>
        <v>445</v>
      </c>
      <c r="B446" s="64" t="s">
        <v>30</v>
      </c>
      <c r="C446" s="64" t="s">
        <v>31</v>
      </c>
      <c r="D446" s="64" t="s">
        <v>32</v>
      </c>
      <c r="E446" s="64" t="s">
        <v>33</v>
      </c>
      <c r="F446" s="52" t="s">
        <v>936</v>
      </c>
      <c r="G446" s="91" t="s">
        <v>34</v>
      </c>
      <c r="H446" s="98" t="s">
        <v>937</v>
      </c>
      <c r="I446" s="65">
        <v>46141</v>
      </c>
      <c r="J446" s="64">
        <f t="shared" ref="J446:J447" ca="1" si="881">+TODAY()-I446</f>
        <v>43</v>
      </c>
      <c r="K446" s="64" t="str">
        <f t="shared" ref="K446:K447" si="882">+U446</f>
        <v>Pending</v>
      </c>
      <c r="L446" s="52" t="s">
        <v>519</v>
      </c>
      <c r="M446" s="64">
        <v>18300</v>
      </c>
      <c r="N446" s="64">
        <v>16500</v>
      </c>
      <c r="O446" s="65">
        <v>46141</v>
      </c>
      <c r="P446" s="64">
        <f t="shared" ref="P446:P447" si="883">+M446-N446</f>
        <v>1800</v>
      </c>
      <c r="Q446" s="64" t="s">
        <v>33</v>
      </c>
      <c r="R446" s="64" t="s">
        <v>37</v>
      </c>
      <c r="S446" s="64">
        <v>21500</v>
      </c>
      <c r="T446" s="64" t="s">
        <v>33</v>
      </c>
      <c r="U446" s="65" t="s">
        <v>33</v>
      </c>
      <c r="V446" s="64" t="s">
        <v>28</v>
      </c>
      <c r="W446" s="64">
        <f t="shared" ref="W446:W447" si="884">+S446-M446</f>
        <v>3200</v>
      </c>
      <c r="X446" s="64" t="s">
        <v>36</v>
      </c>
      <c r="Y446" s="64" t="s">
        <v>29</v>
      </c>
      <c r="Z446" s="71">
        <f t="shared" ref="Z446:Z447" si="885">+W446*100/M446</f>
        <v>17.486338797814209</v>
      </c>
      <c r="AA446" s="93"/>
    </row>
    <row r="447" spans="1:27">
      <c r="A447" s="64">
        <f>SUBTOTAL(3,C$2:C447)</f>
        <v>446</v>
      </c>
      <c r="B447" s="64" t="s">
        <v>30</v>
      </c>
      <c r="C447" s="64" t="s">
        <v>44</v>
      </c>
      <c r="D447" s="64" t="s">
        <v>32</v>
      </c>
      <c r="E447" s="64" t="s">
        <v>33</v>
      </c>
      <c r="F447" s="52" t="s">
        <v>939</v>
      </c>
      <c r="G447" s="91">
        <v>407</v>
      </c>
      <c r="H447" s="98" t="s">
        <v>938</v>
      </c>
      <c r="I447" s="65">
        <v>46140</v>
      </c>
      <c r="J447" s="64">
        <f t="shared" ca="1" si="881"/>
        <v>44</v>
      </c>
      <c r="K447" s="64" t="str">
        <f t="shared" si="882"/>
        <v>Pending</v>
      </c>
      <c r="L447" s="52" t="s">
        <v>381</v>
      </c>
      <c r="M447" s="64">
        <v>27000</v>
      </c>
      <c r="N447" s="64">
        <v>25000</v>
      </c>
      <c r="O447" s="65">
        <v>46141</v>
      </c>
      <c r="P447" s="64">
        <f t="shared" si="883"/>
        <v>2000</v>
      </c>
      <c r="Q447" s="64" t="s">
        <v>33</v>
      </c>
      <c r="R447" s="64" t="s">
        <v>78</v>
      </c>
      <c r="S447" s="64">
        <v>29800</v>
      </c>
      <c r="T447" s="64" t="s">
        <v>33</v>
      </c>
      <c r="U447" s="65" t="s">
        <v>33</v>
      </c>
      <c r="V447" s="64" t="s">
        <v>28</v>
      </c>
      <c r="W447" s="64">
        <f t="shared" si="884"/>
        <v>2800</v>
      </c>
      <c r="X447" s="64" t="s">
        <v>36</v>
      </c>
      <c r="Y447" s="64" t="s">
        <v>29</v>
      </c>
      <c r="Z447" s="71">
        <f t="shared" si="885"/>
        <v>10.37037037037037</v>
      </c>
      <c r="AA447" s="93"/>
    </row>
    <row r="448" spans="1:27">
      <c r="A448" s="64">
        <f>SUBTOTAL(3,C$2:C448)</f>
        <v>447</v>
      </c>
      <c r="B448" s="64" t="s">
        <v>30</v>
      </c>
      <c r="C448" s="64" t="s">
        <v>44</v>
      </c>
      <c r="D448" s="64" t="s">
        <v>32</v>
      </c>
      <c r="E448" s="64" t="s">
        <v>33</v>
      </c>
      <c r="F448" s="52" t="s">
        <v>940</v>
      </c>
      <c r="G448" s="91">
        <v>407</v>
      </c>
      <c r="H448" s="98" t="s">
        <v>941</v>
      </c>
      <c r="I448" s="65">
        <v>46140</v>
      </c>
      <c r="J448" s="64">
        <f t="shared" ref="J448:J449" ca="1" si="886">+TODAY()-I448</f>
        <v>44</v>
      </c>
      <c r="K448" s="64">
        <f t="shared" ref="K448:K449" si="887">+U448</f>
        <v>46163</v>
      </c>
      <c r="L448" s="52" t="s">
        <v>381</v>
      </c>
      <c r="M448" s="64">
        <v>28000</v>
      </c>
      <c r="N448" s="64">
        <v>25000</v>
      </c>
      <c r="O448" s="65">
        <v>46141</v>
      </c>
      <c r="P448" s="64">
        <f t="shared" ref="P448:P449" si="888">+M448-N448</f>
        <v>3000</v>
      </c>
      <c r="Q448" s="64" t="s">
        <v>33</v>
      </c>
      <c r="R448" s="64" t="s">
        <v>56</v>
      </c>
      <c r="S448" s="64">
        <v>30800</v>
      </c>
      <c r="T448" s="64" t="s">
        <v>2187</v>
      </c>
      <c r="U448" s="65">
        <v>46163</v>
      </c>
      <c r="V448" s="64" t="s">
        <v>28</v>
      </c>
      <c r="W448" s="64">
        <f t="shared" ref="W448:W449" si="889">+S448-M448</f>
        <v>2800</v>
      </c>
      <c r="X448" s="64" t="s">
        <v>36</v>
      </c>
      <c r="Y448" s="64" t="s">
        <v>29</v>
      </c>
      <c r="Z448" s="71">
        <f t="shared" ref="Z448:Z449" si="890">+W448*100/M448</f>
        <v>10</v>
      </c>
      <c r="AA448" s="93"/>
    </row>
    <row r="449" spans="1:27">
      <c r="A449" s="64">
        <f>SUBTOTAL(3,C$2:C449)</f>
        <v>448</v>
      </c>
      <c r="B449" s="64" t="s">
        <v>30</v>
      </c>
      <c r="C449" s="64" t="s">
        <v>31</v>
      </c>
      <c r="D449" s="64" t="s">
        <v>32</v>
      </c>
      <c r="E449" s="64" t="s">
        <v>33</v>
      </c>
      <c r="F449" s="52" t="s">
        <v>641</v>
      </c>
      <c r="G449" s="91" t="s">
        <v>34</v>
      </c>
      <c r="H449" s="98" t="s">
        <v>942</v>
      </c>
      <c r="I449" s="65">
        <v>46141</v>
      </c>
      <c r="J449" s="64">
        <f t="shared" ca="1" si="886"/>
        <v>43</v>
      </c>
      <c r="K449" s="64">
        <f t="shared" si="887"/>
        <v>46163</v>
      </c>
      <c r="L449" s="52" t="s">
        <v>2782</v>
      </c>
      <c r="M449" s="64">
        <v>18000</v>
      </c>
      <c r="N449" s="64">
        <v>16000</v>
      </c>
      <c r="O449" s="65">
        <v>46141</v>
      </c>
      <c r="P449" s="64">
        <f t="shared" si="888"/>
        <v>2000</v>
      </c>
      <c r="Q449" s="64" t="s">
        <v>33</v>
      </c>
      <c r="R449" s="64" t="s">
        <v>56</v>
      </c>
      <c r="S449" s="64">
        <v>20500</v>
      </c>
      <c r="T449" s="64" t="s">
        <v>2183</v>
      </c>
      <c r="U449" s="65">
        <v>46163</v>
      </c>
      <c r="V449" s="64" t="s">
        <v>28</v>
      </c>
      <c r="W449" s="64">
        <f t="shared" si="889"/>
        <v>2500</v>
      </c>
      <c r="X449" s="64" t="s">
        <v>36</v>
      </c>
      <c r="Y449" s="64" t="s">
        <v>29</v>
      </c>
      <c r="Z449" s="71">
        <f t="shared" si="890"/>
        <v>13.888888888888889</v>
      </c>
      <c r="AA449" s="93"/>
    </row>
    <row r="450" spans="1:27">
      <c r="A450" s="64">
        <f>SUBTOTAL(3,C$2:C450)</f>
        <v>449</v>
      </c>
      <c r="B450" s="64" t="s">
        <v>30</v>
      </c>
      <c r="C450" s="64" t="s">
        <v>44</v>
      </c>
      <c r="D450" s="64" t="s">
        <v>32</v>
      </c>
      <c r="E450" s="64" t="s">
        <v>33</v>
      </c>
      <c r="F450" s="52" t="s">
        <v>647</v>
      </c>
      <c r="G450" s="91" t="s">
        <v>46</v>
      </c>
      <c r="H450" s="98" t="s">
        <v>952</v>
      </c>
      <c r="I450" s="65">
        <v>46141</v>
      </c>
      <c r="J450" s="64">
        <f t="shared" ref="J450:J451" ca="1" si="891">+TODAY()-I450</f>
        <v>43</v>
      </c>
      <c r="K450" s="64">
        <f t="shared" ref="K450:K451" si="892">+U450</f>
        <v>46148</v>
      </c>
      <c r="L450" s="52" t="s">
        <v>220</v>
      </c>
      <c r="M450" s="64">
        <v>14500</v>
      </c>
      <c r="N450" s="64">
        <v>13000</v>
      </c>
      <c r="O450" s="65">
        <v>46141</v>
      </c>
      <c r="P450" s="64">
        <f t="shared" ref="P450:P451" si="893">+M450-N450</f>
        <v>1500</v>
      </c>
      <c r="Q450" s="64" t="s">
        <v>33</v>
      </c>
      <c r="R450" s="64" t="s">
        <v>56</v>
      </c>
      <c r="S450" s="64">
        <v>17500</v>
      </c>
      <c r="T450" s="64" t="s">
        <v>1341</v>
      </c>
      <c r="U450" s="65">
        <v>46148</v>
      </c>
      <c r="V450" s="64" t="s">
        <v>28</v>
      </c>
      <c r="W450" s="64">
        <f t="shared" ref="W450:W451" si="894">+S450-M450</f>
        <v>3000</v>
      </c>
      <c r="X450" s="64" t="s">
        <v>36</v>
      </c>
      <c r="Y450" s="64" t="s">
        <v>29</v>
      </c>
      <c r="Z450" s="71">
        <f t="shared" ref="Z450:Z451" si="895">+W450*100/M450</f>
        <v>20.689655172413794</v>
      </c>
      <c r="AA450" s="93"/>
    </row>
    <row r="451" spans="1:27">
      <c r="A451" s="64">
        <f>SUBTOTAL(3,C$2:C451)</f>
        <v>450</v>
      </c>
      <c r="B451" s="64" t="s">
        <v>30</v>
      </c>
      <c r="C451" s="64" t="s">
        <v>31</v>
      </c>
      <c r="D451" s="64" t="s">
        <v>32</v>
      </c>
      <c r="E451" s="64" t="s">
        <v>33</v>
      </c>
      <c r="F451" s="52" t="s">
        <v>953</v>
      </c>
      <c r="G451" s="91" t="s">
        <v>34</v>
      </c>
      <c r="H451" s="98" t="s">
        <v>954</v>
      </c>
      <c r="I451" s="65">
        <v>46141</v>
      </c>
      <c r="J451" s="64">
        <f t="shared" ca="1" si="891"/>
        <v>43</v>
      </c>
      <c r="K451" s="64">
        <f t="shared" si="892"/>
        <v>46162</v>
      </c>
      <c r="L451" s="52" t="s">
        <v>519</v>
      </c>
      <c r="M451" s="64">
        <v>18300</v>
      </c>
      <c r="N451" s="64">
        <v>16500</v>
      </c>
      <c r="O451" s="65">
        <v>46142</v>
      </c>
      <c r="P451" s="64">
        <f t="shared" si="893"/>
        <v>1800</v>
      </c>
      <c r="Q451" s="64" t="s">
        <v>33</v>
      </c>
      <c r="R451" s="64" t="s">
        <v>52</v>
      </c>
      <c r="S451" s="64">
        <v>21500</v>
      </c>
      <c r="T451" s="64" t="s">
        <v>2153</v>
      </c>
      <c r="U451" s="65">
        <v>46162</v>
      </c>
      <c r="V451" s="64" t="s">
        <v>28</v>
      </c>
      <c r="W451" s="64">
        <f t="shared" si="894"/>
        <v>3200</v>
      </c>
      <c r="X451" s="64" t="s">
        <v>36</v>
      </c>
      <c r="Y451" s="64" t="s">
        <v>29</v>
      </c>
      <c r="Z451" s="71">
        <f t="shared" si="895"/>
        <v>17.486338797814209</v>
      </c>
      <c r="AA451" s="93"/>
    </row>
    <row r="452" spans="1:27">
      <c r="A452" s="64">
        <f>SUBTOTAL(3,C$2:C452)</f>
        <v>451</v>
      </c>
      <c r="B452" s="64" t="s">
        <v>30</v>
      </c>
      <c r="C452" s="64" t="s">
        <v>31</v>
      </c>
      <c r="D452" s="64" t="s">
        <v>32</v>
      </c>
      <c r="E452" s="64" t="s">
        <v>33</v>
      </c>
      <c r="F452" s="52" t="s">
        <v>955</v>
      </c>
      <c r="G452" s="91" t="s">
        <v>34</v>
      </c>
      <c r="H452" s="70" t="s">
        <v>956</v>
      </c>
      <c r="I452" s="65">
        <v>46141</v>
      </c>
      <c r="J452" s="64">
        <f t="shared" ref="J452" ca="1" si="896">+TODAY()-I452</f>
        <v>43</v>
      </c>
      <c r="K452" s="64" t="str">
        <f t="shared" ref="K452" si="897">+U452</f>
        <v>Pending</v>
      </c>
      <c r="L452" s="52" t="s">
        <v>2782</v>
      </c>
      <c r="M452" s="64">
        <v>18000</v>
      </c>
      <c r="N452" s="64">
        <v>16000</v>
      </c>
      <c r="O452" s="65">
        <v>46142</v>
      </c>
      <c r="P452" s="64">
        <f t="shared" ref="P452" si="898">+M452-N452</f>
        <v>2000</v>
      </c>
      <c r="Q452" s="64" t="s">
        <v>33</v>
      </c>
      <c r="R452" s="64" t="s">
        <v>56</v>
      </c>
      <c r="S452" s="64">
        <v>20500</v>
      </c>
      <c r="T452" s="64" t="s">
        <v>33</v>
      </c>
      <c r="U452" s="65" t="s">
        <v>33</v>
      </c>
      <c r="V452" s="64" t="s">
        <v>28</v>
      </c>
      <c r="W452" s="64">
        <f t="shared" ref="W452" si="899">+S452-M452</f>
        <v>2500</v>
      </c>
      <c r="X452" s="64" t="s">
        <v>36</v>
      </c>
      <c r="Y452" s="64" t="s">
        <v>29</v>
      </c>
      <c r="Z452" s="71">
        <f t="shared" ref="Z452" si="900">+W452*100/M452</f>
        <v>13.888888888888889</v>
      </c>
      <c r="AA452" s="93"/>
    </row>
    <row r="453" spans="1:27">
      <c r="A453" s="64">
        <f>SUBTOTAL(3,C$2:C453)</f>
        <v>452</v>
      </c>
      <c r="B453" s="64" t="s">
        <v>30</v>
      </c>
      <c r="C453" s="64" t="s">
        <v>31</v>
      </c>
      <c r="D453" s="64" t="s">
        <v>32</v>
      </c>
      <c r="E453" s="64" t="s">
        <v>33</v>
      </c>
      <c r="F453" s="52" t="s">
        <v>401</v>
      </c>
      <c r="G453" s="91" t="s">
        <v>34</v>
      </c>
      <c r="H453" s="98" t="s">
        <v>957</v>
      </c>
      <c r="I453" s="65">
        <v>46141</v>
      </c>
      <c r="J453" s="64">
        <f t="shared" ref="J453" ca="1" si="901">+TODAY()-I453</f>
        <v>43</v>
      </c>
      <c r="K453" s="64" t="str">
        <f t="shared" ref="K453" si="902">+U453</f>
        <v>Pending</v>
      </c>
      <c r="L453" s="52" t="s">
        <v>639</v>
      </c>
      <c r="M453" s="64">
        <v>18300</v>
      </c>
      <c r="N453" s="64">
        <v>16500</v>
      </c>
      <c r="O453" s="65">
        <v>46142</v>
      </c>
      <c r="P453" s="64">
        <f t="shared" ref="P453" si="903">+M453-N453</f>
        <v>1800</v>
      </c>
      <c r="Q453" s="64" t="s">
        <v>33</v>
      </c>
      <c r="R453" s="64" t="s">
        <v>37</v>
      </c>
      <c r="S453" s="64">
        <v>21500</v>
      </c>
      <c r="T453" s="64" t="s">
        <v>33</v>
      </c>
      <c r="U453" s="65" t="s">
        <v>33</v>
      </c>
      <c r="V453" s="64" t="s">
        <v>28</v>
      </c>
      <c r="W453" s="64">
        <f t="shared" ref="W453" si="904">+S453-M453</f>
        <v>3200</v>
      </c>
      <c r="X453" s="64" t="s">
        <v>36</v>
      </c>
      <c r="Y453" s="64" t="s">
        <v>29</v>
      </c>
      <c r="Z453" s="71">
        <f t="shared" ref="Z453" si="905">+W453*100/M453</f>
        <v>17.486338797814209</v>
      </c>
      <c r="AA453" s="93"/>
    </row>
    <row r="454" spans="1:27">
      <c r="A454" s="64">
        <f>SUBTOTAL(3,C$2:C454)</f>
        <v>453</v>
      </c>
      <c r="B454" s="64" t="s">
        <v>30</v>
      </c>
      <c r="C454" s="64" t="s">
        <v>31</v>
      </c>
      <c r="D454" s="64" t="s">
        <v>32</v>
      </c>
      <c r="E454" s="64" t="s">
        <v>33</v>
      </c>
      <c r="F454" s="52" t="s">
        <v>958</v>
      </c>
      <c r="G454" s="91" t="s">
        <v>34</v>
      </c>
      <c r="H454" s="70" t="s">
        <v>959</v>
      </c>
      <c r="I454" s="65">
        <v>46141</v>
      </c>
      <c r="J454" s="64">
        <f t="shared" ref="J454:J456" ca="1" si="906">+TODAY()-I454</f>
        <v>43</v>
      </c>
      <c r="K454" s="64" t="str">
        <f t="shared" ref="K454:K456" si="907">+U454</f>
        <v>Pending</v>
      </c>
      <c r="L454" s="52" t="s">
        <v>639</v>
      </c>
      <c r="M454" s="64">
        <v>19000</v>
      </c>
      <c r="N454" s="64">
        <v>17000</v>
      </c>
      <c r="O454" s="65">
        <v>46142</v>
      </c>
      <c r="P454" s="64">
        <f t="shared" ref="P454:P456" si="908">+M454-N454</f>
        <v>2000</v>
      </c>
      <c r="Q454" s="64" t="s">
        <v>33</v>
      </c>
      <c r="R454" s="64" t="s">
        <v>112</v>
      </c>
      <c r="S454" s="64">
        <v>24000</v>
      </c>
      <c r="T454" s="64" t="s">
        <v>33</v>
      </c>
      <c r="U454" s="65" t="s">
        <v>33</v>
      </c>
      <c r="V454" s="64" t="s">
        <v>28</v>
      </c>
      <c r="W454" s="64">
        <f t="shared" ref="W454:W456" si="909">+S454-M454</f>
        <v>5000</v>
      </c>
      <c r="X454" s="64" t="s">
        <v>36</v>
      </c>
      <c r="Y454" s="64" t="s">
        <v>29</v>
      </c>
      <c r="Z454" s="71">
        <f t="shared" ref="Z454:Z456" si="910">+W454*100/M454</f>
        <v>26.315789473684209</v>
      </c>
      <c r="AA454" s="93"/>
    </row>
    <row r="455" spans="1:27">
      <c r="A455" s="64">
        <f>SUBTOTAL(3,C$2:C455)</f>
        <v>454</v>
      </c>
      <c r="B455" s="64" t="s">
        <v>30</v>
      </c>
      <c r="C455" s="64" t="s">
        <v>31</v>
      </c>
      <c r="D455" s="64" t="s">
        <v>32</v>
      </c>
      <c r="E455" s="64" t="s">
        <v>33</v>
      </c>
      <c r="F455" s="52" t="s">
        <v>964</v>
      </c>
      <c r="G455" s="91" t="s">
        <v>34</v>
      </c>
      <c r="H455" s="98" t="s">
        <v>965</v>
      </c>
      <c r="I455" s="65">
        <v>46141</v>
      </c>
      <c r="J455" s="64">
        <f t="shared" ca="1" si="906"/>
        <v>43</v>
      </c>
      <c r="K455" s="64">
        <f t="shared" si="907"/>
        <v>46162</v>
      </c>
      <c r="L455" s="64" t="s">
        <v>47</v>
      </c>
      <c r="M455" s="64">
        <v>19000</v>
      </c>
      <c r="N455" s="64">
        <v>17000</v>
      </c>
      <c r="O455" s="65">
        <v>46142</v>
      </c>
      <c r="P455" s="64">
        <f t="shared" si="908"/>
        <v>2000</v>
      </c>
      <c r="Q455" s="64" t="s">
        <v>33</v>
      </c>
      <c r="R455" s="64" t="s">
        <v>39</v>
      </c>
      <c r="S455" s="64">
        <v>21800</v>
      </c>
      <c r="T455" s="64" t="s">
        <v>2148</v>
      </c>
      <c r="U455" s="65">
        <v>46162</v>
      </c>
      <c r="V455" s="64" t="s">
        <v>28</v>
      </c>
      <c r="W455" s="64">
        <f t="shared" si="909"/>
        <v>2800</v>
      </c>
      <c r="X455" s="64" t="s">
        <v>963</v>
      </c>
      <c r="Y455" s="64" t="s">
        <v>29</v>
      </c>
      <c r="Z455" s="71">
        <f t="shared" si="910"/>
        <v>14.736842105263158</v>
      </c>
      <c r="AA455" s="93"/>
    </row>
    <row r="456" spans="1:27">
      <c r="A456" s="64">
        <f>SUBTOTAL(3,C$2:C456)</f>
        <v>455</v>
      </c>
      <c r="B456" s="64" t="s">
        <v>30</v>
      </c>
      <c r="C456" s="64" t="s">
        <v>31</v>
      </c>
      <c r="D456" s="64" t="s">
        <v>32</v>
      </c>
      <c r="E456" s="64" t="s">
        <v>33</v>
      </c>
      <c r="F456" s="52" t="s">
        <v>743</v>
      </c>
      <c r="G456" s="91" t="s">
        <v>34</v>
      </c>
      <c r="H456" s="98" t="s">
        <v>966</v>
      </c>
      <c r="I456" s="65">
        <v>46142</v>
      </c>
      <c r="J456" s="64">
        <f t="shared" ca="1" si="906"/>
        <v>42</v>
      </c>
      <c r="K456" s="64">
        <f t="shared" si="907"/>
        <v>46162</v>
      </c>
      <c r="L456" s="64" t="s">
        <v>47</v>
      </c>
      <c r="M456" s="64">
        <v>19000</v>
      </c>
      <c r="N456" s="64">
        <v>17000</v>
      </c>
      <c r="O456" s="65">
        <v>46142</v>
      </c>
      <c r="P456" s="64">
        <f t="shared" si="908"/>
        <v>2000</v>
      </c>
      <c r="Q456" s="64" t="s">
        <v>33</v>
      </c>
      <c r="R456" s="64" t="s">
        <v>39</v>
      </c>
      <c r="S456" s="64">
        <v>21800</v>
      </c>
      <c r="T456" s="64" t="s">
        <v>2148</v>
      </c>
      <c r="U456" s="65">
        <v>46162</v>
      </c>
      <c r="V456" s="64" t="s">
        <v>28</v>
      </c>
      <c r="W456" s="64">
        <f t="shared" si="909"/>
        <v>2800</v>
      </c>
      <c r="X456" s="64" t="s">
        <v>963</v>
      </c>
      <c r="Y456" s="64" t="s">
        <v>29</v>
      </c>
      <c r="Z456" s="71">
        <f t="shared" si="910"/>
        <v>14.736842105263158</v>
      </c>
      <c r="AA456" s="93"/>
    </row>
    <row r="457" spans="1:27">
      <c r="A457" s="64">
        <f>SUBTOTAL(3,C$2:C457)</f>
        <v>456</v>
      </c>
      <c r="B457" s="64" t="s">
        <v>30</v>
      </c>
      <c r="C457" s="64" t="s">
        <v>31</v>
      </c>
      <c r="D457" s="64" t="s">
        <v>32</v>
      </c>
      <c r="E457" s="64" t="s">
        <v>33</v>
      </c>
      <c r="F457" s="52" t="s">
        <v>674</v>
      </c>
      <c r="G457" s="91" t="s">
        <v>34</v>
      </c>
      <c r="H457" s="98" t="s">
        <v>960</v>
      </c>
      <c r="I457" s="65">
        <v>46142</v>
      </c>
      <c r="J457" s="64">
        <f t="shared" ref="J457:J458" ca="1" si="911">+TODAY()-I457</f>
        <v>42</v>
      </c>
      <c r="K457" s="64">
        <f t="shared" ref="K457:K458" si="912">+U457</f>
        <v>46163</v>
      </c>
      <c r="L457" s="52" t="s">
        <v>2782</v>
      </c>
      <c r="M457" s="64">
        <v>18000</v>
      </c>
      <c r="N457" s="64">
        <v>16000</v>
      </c>
      <c r="O457" s="65">
        <v>46142</v>
      </c>
      <c r="P457" s="64">
        <f t="shared" ref="P457:P458" si="913">+M457-N457</f>
        <v>2000</v>
      </c>
      <c r="Q457" s="64" t="s">
        <v>33</v>
      </c>
      <c r="R457" s="64" t="s">
        <v>56</v>
      </c>
      <c r="S457" s="64">
        <v>20500</v>
      </c>
      <c r="T457" s="64" t="s">
        <v>2183</v>
      </c>
      <c r="U457" s="65">
        <v>46163</v>
      </c>
      <c r="V457" s="64" t="s">
        <v>28</v>
      </c>
      <c r="W457" s="64">
        <f t="shared" ref="W457:W458" si="914">+S457-M457</f>
        <v>2500</v>
      </c>
      <c r="X457" s="64" t="s">
        <v>36</v>
      </c>
      <c r="Y457" s="64" t="s">
        <v>29</v>
      </c>
      <c r="Z457" s="71">
        <f t="shared" ref="Z457:Z458" si="915">+W457*100/M457</f>
        <v>13.888888888888889</v>
      </c>
      <c r="AA457" s="93"/>
    </row>
    <row r="458" spans="1:27">
      <c r="A458" s="64">
        <f>SUBTOTAL(3,C$2:C458)</f>
        <v>457</v>
      </c>
      <c r="B458" s="64" t="s">
        <v>30</v>
      </c>
      <c r="C458" s="64" t="s">
        <v>31</v>
      </c>
      <c r="D458" s="64" t="s">
        <v>32</v>
      </c>
      <c r="E458" s="64" t="s">
        <v>33</v>
      </c>
      <c r="F458" s="52" t="s">
        <v>967</v>
      </c>
      <c r="G458" s="91" t="s">
        <v>34</v>
      </c>
      <c r="H458" s="98" t="s">
        <v>968</v>
      </c>
      <c r="I458" s="65">
        <v>46142</v>
      </c>
      <c r="J458" s="64">
        <f t="shared" ca="1" si="911"/>
        <v>42</v>
      </c>
      <c r="K458" s="64">
        <f t="shared" si="912"/>
        <v>46162</v>
      </c>
      <c r="L458" s="64" t="s">
        <v>47</v>
      </c>
      <c r="M458" s="64">
        <v>19000</v>
      </c>
      <c r="N458" s="64">
        <v>17000</v>
      </c>
      <c r="O458" s="65">
        <v>46142</v>
      </c>
      <c r="P458" s="64">
        <f t="shared" si="913"/>
        <v>2000</v>
      </c>
      <c r="Q458" s="64" t="s">
        <v>33</v>
      </c>
      <c r="R458" s="64" t="s">
        <v>39</v>
      </c>
      <c r="S458" s="64">
        <v>21800</v>
      </c>
      <c r="T458" s="64" t="s">
        <v>2148</v>
      </c>
      <c r="U458" s="65">
        <v>46162</v>
      </c>
      <c r="V458" s="64" t="s">
        <v>28</v>
      </c>
      <c r="W458" s="64">
        <f t="shared" si="914"/>
        <v>2800</v>
      </c>
      <c r="X458" s="64" t="s">
        <v>963</v>
      </c>
      <c r="Y458" s="64" t="s">
        <v>29</v>
      </c>
      <c r="Z458" s="71">
        <f t="shared" si="915"/>
        <v>14.736842105263158</v>
      </c>
      <c r="AA458" s="93"/>
    </row>
    <row r="459" spans="1:27">
      <c r="A459" s="64">
        <f>SUBTOTAL(3,C$2:C459)</f>
        <v>458</v>
      </c>
      <c r="B459" s="64" t="s">
        <v>30</v>
      </c>
      <c r="C459" s="64" t="s">
        <v>31</v>
      </c>
      <c r="D459" s="64" t="s">
        <v>32</v>
      </c>
      <c r="E459" s="64" t="s">
        <v>33</v>
      </c>
      <c r="F459" s="52" t="s">
        <v>674</v>
      </c>
      <c r="G459" s="91" t="s">
        <v>34</v>
      </c>
      <c r="H459" s="98" t="s">
        <v>961</v>
      </c>
      <c r="I459" s="65">
        <v>46142</v>
      </c>
      <c r="J459" s="64">
        <f t="shared" ref="J459" ca="1" si="916">+TODAY()-I459</f>
        <v>42</v>
      </c>
      <c r="K459" s="64">
        <f t="shared" ref="K459" si="917">+U459</f>
        <v>46163</v>
      </c>
      <c r="L459" s="52" t="s">
        <v>2782</v>
      </c>
      <c r="M459" s="64">
        <v>18000</v>
      </c>
      <c r="N459" s="64">
        <v>16000</v>
      </c>
      <c r="O459" s="65">
        <v>46142</v>
      </c>
      <c r="P459" s="64">
        <f t="shared" ref="P459" si="918">+M459-N459</f>
        <v>2000</v>
      </c>
      <c r="Q459" s="64" t="s">
        <v>33</v>
      </c>
      <c r="R459" s="64" t="s">
        <v>56</v>
      </c>
      <c r="S459" s="64">
        <v>20500</v>
      </c>
      <c r="T459" s="64" t="s">
        <v>2183</v>
      </c>
      <c r="U459" s="65">
        <v>46163</v>
      </c>
      <c r="V459" s="64" t="s">
        <v>28</v>
      </c>
      <c r="W459" s="64">
        <f t="shared" ref="W459" si="919">+S459-M459</f>
        <v>2500</v>
      </c>
      <c r="X459" s="64" t="s">
        <v>36</v>
      </c>
      <c r="Y459" s="64" t="s">
        <v>29</v>
      </c>
      <c r="Z459" s="71">
        <f t="shared" ref="Z459" si="920">+W459*100/M459</f>
        <v>13.888888888888889</v>
      </c>
      <c r="AA459" s="93"/>
    </row>
    <row r="460" spans="1:27">
      <c r="A460" s="64">
        <f>SUBTOTAL(3,C$2:C460)</f>
        <v>459</v>
      </c>
      <c r="B460" s="64" t="s">
        <v>30</v>
      </c>
      <c r="C460" s="64" t="s">
        <v>31</v>
      </c>
      <c r="D460" s="64" t="s">
        <v>32</v>
      </c>
      <c r="E460" s="64" t="s">
        <v>33</v>
      </c>
      <c r="F460" s="52" t="s">
        <v>241</v>
      </c>
      <c r="G460" s="91" t="s">
        <v>34</v>
      </c>
      <c r="H460" s="70" t="s">
        <v>962</v>
      </c>
      <c r="I460" s="65">
        <v>46142</v>
      </c>
      <c r="J460" s="64">
        <f t="shared" ref="J460" ca="1" si="921">+TODAY()-I460</f>
        <v>42</v>
      </c>
      <c r="K460" s="64" t="str">
        <f t="shared" ref="K460" si="922">+U460</f>
        <v>Pending</v>
      </c>
      <c r="L460" s="64" t="s">
        <v>111</v>
      </c>
      <c r="M460" s="64">
        <v>11700</v>
      </c>
      <c r="N460" s="64">
        <v>10700</v>
      </c>
      <c r="O460" s="65">
        <v>46142</v>
      </c>
      <c r="P460" s="64">
        <f t="shared" ref="P460" si="923">+M460-N460</f>
        <v>1000</v>
      </c>
      <c r="Q460" s="64" t="s">
        <v>33</v>
      </c>
      <c r="R460" s="64" t="s">
        <v>112</v>
      </c>
      <c r="S460" s="64">
        <v>13500</v>
      </c>
      <c r="T460" s="64" t="s">
        <v>33</v>
      </c>
      <c r="U460" s="65" t="s">
        <v>33</v>
      </c>
      <c r="V460" s="64" t="s">
        <v>28</v>
      </c>
      <c r="W460" s="64">
        <f t="shared" ref="W460" si="924">+S460-M460</f>
        <v>1800</v>
      </c>
      <c r="X460" s="64" t="s">
        <v>963</v>
      </c>
      <c r="Y460" s="64" t="s">
        <v>29</v>
      </c>
      <c r="Z460" s="71">
        <f t="shared" ref="Z460" si="925">+W460*100/M460</f>
        <v>15.384615384615385</v>
      </c>
      <c r="AA460" s="93"/>
    </row>
    <row r="461" spans="1:27">
      <c r="A461" s="64">
        <f>SUBTOTAL(3,C$2:C461)</f>
        <v>460</v>
      </c>
      <c r="B461" s="64" t="s">
        <v>30</v>
      </c>
      <c r="C461" s="64" t="s">
        <v>31</v>
      </c>
      <c r="D461" s="64" t="s">
        <v>32</v>
      </c>
      <c r="E461" s="64" t="s">
        <v>33</v>
      </c>
      <c r="F461" s="52" t="s">
        <v>969</v>
      </c>
      <c r="G461" s="91" t="s">
        <v>34</v>
      </c>
      <c r="H461" s="98" t="s">
        <v>970</v>
      </c>
      <c r="I461" s="65">
        <v>46142</v>
      </c>
      <c r="J461" s="64">
        <f t="shared" ref="J461" ca="1" si="926">+TODAY()-I461</f>
        <v>42</v>
      </c>
      <c r="K461" s="64">
        <f t="shared" ref="K461" si="927">+U461</f>
        <v>46162</v>
      </c>
      <c r="L461" s="64" t="s">
        <v>47</v>
      </c>
      <c r="M461" s="64">
        <v>19000</v>
      </c>
      <c r="N461" s="64">
        <v>17000</v>
      </c>
      <c r="O461" s="65">
        <v>46142</v>
      </c>
      <c r="P461" s="64">
        <f t="shared" ref="P461" si="928">+M461-N461</f>
        <v>2000</v>
      </c>
      <c r="Q461" s="64" t="s">
        <v>33</v>
      </c>
      <c r="R461" s="64" t="s">
        <v>39</v>
      </c>
      <c r="S461" s="64">
        <v>21800</v>
      </c>
      <c r="T461" s="64" t="s">
        <v>2148</v>
      </c>
      <c r="U461" s="65">
        <v>46162</v>
      </c>
      <c r="V461" s="64" t="s">
        <v>28</v>
      </c>
      <c r="W461" s="64">
        <f t="shared" ref="W461" si="929">+S461-M461</f>
        <v>2800</v>
      </c>
      <c r="X461" s="64" t="s">
        <v>963</v>
      </c>
      <c r="Y461" s="64" t="s">
        <v>29</v>
      </c>
      <c r="Z461" s="71">
        <f t="shared" ref="Z461" si="930">+W461*100/M461</f>
        <v>14.736842105263158</v>
      </c>
      <c r="AA461" s="93"/>
    </row>
    <row r="462" spans="1:27">
      <c r="A462" s="64">
        <f>SUBTOTAL(3,C$2:C462)</f>
        <v>461</v>
      </c>
      <c r="B462" s="64" t="s">
        <v>30</v>
      </c>
      <c r="C462" s="64" t="s">
        <v>31</v>
      </c>
      <c r="D462" s="64" t="s">
        <v>32</v>
      </c>
      <c r="E462" s="64" t="s">
        <v>33</v>
      </c>
      <c r="F462" s="52" t="s">
        <v>971</v>
      </c>
      <c r="G462" s="91" t="s">
        <v>34</v>
      </c>
      <c r="H462" s="98" t="s">
        <v>972</v>
      </c>
      <c r="I462" s="65">
        <v>46142</v>
      </c>
      <c r="J462" s="64">
        <f t="shared" ref="J462:J464" ca="1" si="931">+TODAY()-I462</f>
        <v>42</v>
      </c>
      <c r="K462" s="64" t="str">
        <f t="shared" ref="K462:K464" si="932">+U462</f>
        <v>Pending</v>
      </c>
      <c r="L462" s="64" t="s">
        <v>88</v>
      </c>
      <c r="M462" s="64">
        <v>23300</v>
      </c>
      <c r="N462" s="64">
        <v>21500</v>
      </c>
      <c r="O462" s="65">
        <v>46142</v>
      </c>
      <c r="P462" s="64">
        <f t="shared" ref="P462:P464" si="933">+M462-N462</f>
        <v>1800</v>
      </c>
      <c r="Q462" s="64" t="s">
        <v>33</v>
      </c>
      <c r="R462" s="64" t="s">
        <v>37</v>
      </c>
      <c r="S462" s="64">
        <v>26000</v>
      </c>
      <c r="T462" s="64" t="s">
        <v>33</v>
      </c>
      <c r="U462" s="65" t="s">
        <v>33</v>
      </c>
      <c r="V462" s="64" t="s">
        <v>28</v>
      </c>
      <c r="W462" s="64">
        <f t="shared" ref="W462:W464" si="934">+S462-M462</f>
        <v>2700</v>
      </c>
      <c r="X462" s="64" t="s">
        <v>963</v>
      </c>
      <c r="Y462" s="64" t="s">
        <v>29</v>
      </c>
      <c r="Z462" s="71">
        <f t="shared" ref="Z462:Z464" si="935">+W462*100/M462</f>
        <v>11.587982832618026</v>
      </c>
      <c r="AA462" s="93"/>
    </row>
    <row r="463" spans="1:27">
      <c r="A463" s="64">
        <f>SUBTOTAL(3,C$2:C463)</f>
        <v>462</v>
      </c>
      <c r="B463" s="64" t="s">
        <v>30</v>
      </c>
      <c r="C463" s="64" t="s">
        <v>156</v>
      </c>
      <c r="D463" s="64" t="s">
        <v>32</v>
      </c>
      <c r="E463" s="64" t="s">
        <v>33</v>
      </c>
      <c r="F463" s="52" t="s">
        <v>164</v>
      </c>
      <c r="G463" s="91" t="s">
        <v>67</v>
      </c>
      <c r="H463" s="98" t="s">
        <v>974</v>
      </c>
      <c r="I463" s="65">
        <v>46140</v>
      </c>
      <c r="J463" s="64">
        <f t="shared" ca="1" si="931"/>
        <v>44</v>
      </c>
      <c r="K463" s="64">
        <f t="shared" si="932"/>
        <v>46148</v>
      </c>
      <c r="L463" s="64" t="s">
        <v>97</v>
      </c>
      <c r="M463" s="64">
        <v>21500</v>
      </c>
      <c r="N463" s="64">
        <v>21500</v>
      </c>
      <c r="O463" s="65">
        <v>46142</v>
      </c>
      <c r="P463" s="64">
        <f t="shared" si="933"/>
        <v>0</v>
      </c>
      <c r="Q463" s="64" t="s">
        <v>33</v>
      </c>
      <c r="R463" s="64" t="s">
        <v>78</v>
      </c>
      <c r="S463" s="64">
        <v>25500</v>
      </c>
      <c r="T463" s="64" t="s">
        <v>1329</v>
      </c>
      <c r="U463" s="65">
        <v>46148</v>
      </c>
      <c r="V463" s="64" t="s">
        <v>28</v>
      </c>
      <c r="W463" s="64">
        <f t="shared" si="934"/>
        <v>4000</v>
      </c>
      <c r="X463" s="64" t="s">
        <v>36</v>
      </c>
      <c r="Y463" s="64" t="s">
        <v>29</v>
      </c>
      <c r="Z463" s="71">
        <f t="shared" si="935"/>
        <v>18.604651162790699</v>
      </c>
      <c r="AA463" s="93"/>
    </row>
    <row r="464" spans="1:27">
      <c r="A464" s="64">
        <f>SUBTOTAL(3,C$2:C464)</f>
        <v>463</v>
      </c>
      <c r="B464" s="64" t="s">
        <v>30</v>
      </c>
      <c r="C464" s="64" t="s">
        <v>48</v>
      </c>
      <c r="D464" s="64" t="s">
        <v>32</v>
      </c>
      <c r="E464" s="64" t="s">
        <v>33</v>
      </c>
      <c r="F464" s="52" t="s">
        <v>49</v>
      </c>
      <c r="G464" s="91" t="s">
        <v>979</v>
      </c>
      <c r="H464" s="98" t="s">
        <v>978</v>
      </c>
      <c r="I464" s="65">
        <v>46142</v>
      </c>
      <c r="J464" s="64">
        <f t="shared" ca="1" si="931"/>
        <v>42</v>
      </c>
      <c r="K464" s="64">
        <f t="shared" si="932"/>
        <v>46162</v>
      </c>
      <c r="L464" s="52" t="s">
        <v>830</v>
      </c>
      <c r="M464" s="64">
        <v>44000</v>
      </c>
      <c r="N464" s="64">
        <v>40000</v>
      </c>
      <c r="O464" s="65">
        <v>46142</v>
      </c>
      <c r="P464" s="64">
        <f t="shared" si="933"/>
        <v>4000</v>
      </c>
      <c r="Q464" s="64" t="s">
        <v>33</v>
      </c>
      <c r="R464" s="64" t="s">
        <v>52</v>
      </c>
      <c r="S464" s="64">
        <v>48000</v>
      </c>
      <c r="T464" s="64" t="s">
        <v>2156</v>
      </c>
      <c r="U464" s="65">
        <v>46162</v>
      </c>
      <c r="V464" s="64" t="s">
        <v>28</v>
      </c>
      <c r="W464" s="64">
        <f t="shared" si="934"/>
        <v>4000</v>
      </c>
      <c r="X464" s="64" t="s">
        <v>36</v>
      </c>
      <c r="Y464" s="64" t="s">
        <v>29</v>
      </c>
      <c r="Z464" s="71">
        <f t="shared" si="935"/>
        <v>9.0909090909090917</v>
      </c>
      <c r="AA464" s="93"/>
    </row>
    <row r="465" spans="1:27">
      <c r="A465" s="64">
        <f>SUBTOTAL(3,C$2:C465)</f>
        <v>464</v>
      </c>
      <c r="B465" s="64" t="s">
        <v>30</v>
      </c>
      <c r="C465" s="64" t="s">
        <v>31</v>
      </c>
      <c r="D465" s="64" t="s">
        <v>32</v>
      </c>
      <c r="E465" s="64" t="s">
        <v>33</v>
      </c>
      <c r="F465" s="52" t="s">
        <v>280</v>
      </c>
      <c r="G465" s="91" t="s">
        <v>34</v>
      </c>
      <c r="H465" s="98" t="s">
        <v>982</v>
      </c>
      <c r="I465" s="65">
        <v>46142</v>
      </c>
      <c r="J465" s="64">
        <f t="shared" ref="J465:J466" ca="1" si="936">+TODAY()-I465</f>
        <v>42</v>
      </c>
      <c r="K465" s="64">
        <f t="shared" ref="K465:K466" si="937">+U465</f>
        <v>46162</v>
      </c>
      <c r="L465" s="64" t="s">
        <v>47</v>
      </c>
      <c r="M465" s="64">
        <v>19000</v>
      </c>
      <c r="N465" s="64">
        <v>17000</v>
      </c>
      <c r="O465" s="65">
        <v>46142</v>
      </c>
      <c r="P465" s="64">
        <f t="shared" ref="P465:P466" si="938">+M465-N465</f>
        <v>2000</v>
      </c>
      <c r="Q465" s="64" t="s">
        <v>33</v>
      </c>
      <c r="R465" s="64" t="s">
        <v>39</v>
      </c>
      <c r="S465" s="64">
        <v>21800</v>
      </c>
      <c r="T465" s="64" t="s">
        <v>2148</v>
      </c>
      <c r="U465" s="65">
        <v>46162</v>
      </c>
      <c r="V465" s="64" t="s">
        <v>28</v>
      </c>
      <c r="W465" s="64">
        <f t="shared" ref="W465:W466" si="939">+S465-M465</f>
        <v>2800</v>
      </c>
      <c r="X465" s="64" t="s">
        <v>963</v>
      </c>
      <c r="Y465" s="64" t="s">
        <v>29</v>
      </c>
      <c r="Z465" s="71">
        <f t="shared" ref="Z465:Z466" si="940">+W465*100/M465</f>
        <v>14.736842105263158</v>
      </c>
      <c r="AA465" s="93"/>
    </row>
    <row r="466" spans="1:27">
      <c r="A466" s="64">
        <f>SUBTOTAL(3,C$2:C466)</f>
        <v>465</v>
      </c>
      <c r="B466" s="64" t="s">
        <v>30</v>
      </c>
      <c r="C466" s="64" t="s">
        <v>44</v>
      </c>
      <c r="D466" s="64" t="s">
        <v>32</v>
      </c>
      <c r="E466" s="64" t="s">
        <v>33</v>
      </c>
      <c r="F466" s="52" t="s">
        <v>479</v>
      </c>
      <c r="G466" s="91">
        <v>407</v>
      </c>
      <c r="H466" s="70" t="s">
        <v>983</v>
      </c>
      <c r="I466" s="65">
        <v>46142</v>
      </c>
      <c r="J466" s="64">
        <f t="shared" ca="1" si="936"/>
        <v>42</v>
      </c>
      <c r="K466" s="64" t="str">
        <f t="shared" si="937"/>
        <v>Pending</v>
      </c>
      <c r="L466" s="52" t="s">
        <v>381</v>
      </c>
      <c r="M466" s="64">
        <v>28000</v>
      </c>
      <c r="N466" s="64">
        <v>25000</v>
      </c>
      <c r="O466" s="65">
        <v>46142</v>
      </c>
      <c r="P466" s="64">
        <f t="shared" si="938"/>
        <v>3000</v>
      </c>
      <c r="Q466" s="64" t="s">
        <v>33</v>
      </c>
      <c r="R466" s="64" t="s">
        <v>56</v>
      </c>
      <c r="S466" s="64">
        <v>30800</v>
      </c>
      <c r="T466" s="64" t="s">
        <v>33</v>
      </c>
      <c r="U466" s="65" t="s">
        <v>33</v>
      </c>
      <c r="V466" s="64" t="s">
        <v>28</v>
      </c>
      <c r="W466" s="64">
        <f t="shared" si="939"/>
        <v>2800</v>
      </c>
      <c r="X466" s="64" t="s">
        <v>36</v>
      </c>
      <c r="Y466" s="64" t="s">
        <v>29</v>
      </c>
      <c r="Z466" s="71">
        <f t="shared" si="940"/>
        <v>10</v>
      </c>
      <c r="AA466" s="93"/>
    </row>
    <row r="467" spans="1:27">
      <c r="A467" s="64">
        <f>SUBTOTAL(3,C$2:C467)</f>
        <v>466</v>
      </c>
      <c r="B467" s="64" t="s">
        <v>30</v>
      </c>
      <c r="C467" s="64" t="s">
        <v>44</v>
      </c>
      <c r="D467" s="64" t="s">
        <v>32</v>
      </c>
      <c r="E467" s="64" t="s">
        <v>33</v>
      </c>
      <c r="F467" s="52" t="s">
        <v>479</v>
      </c>
      <c r="G467" s="91">
        <v>407</v>
      </c>
      <c r="H467" s="98" t="s">
        <v>984</v>
      </c>
      <c r="I467" s="65">
        <v>46142</v>
      </c>
      <c r="J467" s="64">
        <f t="shared" ref="J467:J476" ca="1" si="941">+TODAY()-I467</f>
        <v>42</v>
      </c>
      <c r="K467" s="64">
        <f t="shared" ref="K467:K476" si="942">+U467</f>
        <v>46170</v>
      </c>
      <c r="L467" s="52" t="s">
        <v>381</v>
      </c>
      <c r="M467" s="64">
        <v>27000</v>
      </c>
      <c r="N467" s="64">
        <v>25000</v>
      </c>
      <c r="O467" s="65">
        <v>46142</v>
      </c>
      <c r="P467" s="64">
        <f t="shared" ref="P467:P476" si="943">+M467-N467</f>
        <v>2000</v>
      </c>
      <c r="Q467" s="64" t="s">
        <v>33</v>
      </c>
      <c r="R467" s="64" t="s">
        <v>78</v>
      </c>
      <c r="S467" s="64">
        <v>29800</v>
      </c>
      <c r="T467" s="64" t="s">
        <v>2662</v>
      </c>
      <c r="U467" s="65">
        <v>46170</v>
      </c>
      <c r="V467" s="64" t="s">
        <v>28</v>
      </c>
      <c r="W467" s="64">
        <f t="shared" ref="W467:W476" si="944">+S467-M467</f>
        <v>2800</v>
      </c>
      <c r="X467" s="64" t="s">
        <v>36</v>
      </c>
      <c r="Y467" s="64" t="s">
        <v>29</v>
      </c>
      <c r="Z467" s="71">
        <f t="shared" ref="Z467:Z476" si="945">+W467*100/M467</f>
        <v>10.37037037037037</v>
      </c>
      <c r="AA467" s="93"/>
    </row>
    <row r="468" spans="1:27">
      <c r="A468" s="64">
        <f>SUBTOTAL(3,C$2:C468)</f>
        <v>467</v>
      </c>
      <c r="B468" s="64" t="s">
        <v>30</v>
      </c>
      <c r="C468" s="64" t="s">
        <v>31</v>
      </c>
      <c r="D468" s="64" t="s">
        <v>32</v>
      </c>
      <c r="E468" s="64" t="s">
        <v>33</v>
      </c>
      <c r="F468" s="52" t="s">
        <v>985</v>
      </c>
      <c r="G468" s="91" t="s">
        <v>34</v>
      </c>
      <c r="H468" s="98" t="s">
        <v>986</v>
      </c>
      <c r="I468" s="65">
        <v>46141</v>
      </c>
      <c r="J468" s="64">
        <f t="shared" ca="1" si="941"/>
        <v>43</v>
      </c>
      <c r="K468" s="64">
        <f t="shared" si="942"/>
        <v>46148</v>
      </c>
      <c r="L468" s="52" t="s">
        <v>987</v>
      </c>
      <c r="M468" s="64">
        <v>17000</v>
      </c>
      <c r="N468" s="64">
        <v>16000</v>
      </c>
      <c r="O468" s="65">
        <v>46142</v>
      </c>
      <c r="P468" s="64">
        <f t="shared" si="943"/>
        <v>1000</v>
      </c>
      <c r="Q468" s="64" t="s">
        <v>33</v>
      </c>
      <c r="R468" s="64" t="s">
        <v>78</v>
      </c>
      <c r="S468" s="64">
        <v>21000</v>
      </c>
      <c r="T468" s="64" t="s">
        <v>1333</v>
      </c>
      <c r="U468" s="65">
        <v>46148</v>
      </c>
      <c r="V468" s="64" t="s">
        <v>28</v>
      </c>
      <c r="W468" s="64">
        <f t="shared" si="944"/>
        <v>4000</v>
      </c>
      <c r="X468" s="64" t="s">
        <v>963</v>
      </c>
      <c r="Y468" s="64" t="s">
        <v>29</v>
      </c>
      <c r="Z468" s="71">
        <f t="shared" si="945"/>
        <v>23.529411764705884</v>
      </c>
      <c r="AA468" s="93"/>
    </row>
    <row r="469" spans="1:27" hidden="1">
      <c r="A469" s="64">
        <f>SUBTOTAL(3,C$2:C469)</f>
        <v>467</v>
      </c>
      <c r="B469" s="64" t="s">
        <v>1086</v>
      </c>
      <c r="C469" s="64" t="s">
        <v>31</v>
      </c>
      <c r="D469" s="64" t="s">
        <v>32</v>
      </c>
      <c r="E469" s="64" t="s">
        <v>33</v>
      </c>
      <c r="F469" s="52" t="s">
        <v>996</v>
      </c>
      <c r="G469" s="91" t="s">
        <v>34</v>
      </c>
      <c r="H469" s="98" t="s">
        <v>1001</v>
      </c>
      <c r="I469" s="65">
        <v>46142</v>
      </c>
      <c r="J469" s="64">
        <f t="shared" ca="1" si="941"/>
        <v>42</v>
      </c>
      <c r="K469" s="64">
        <f t="shared" si="942"/>
        <v>46162</v>
      </c>
      <c r="L469" s="52" t="s">
        <v>355</v>
      </c>
      <c r="M469" s="64">
        <v>19000</v>
      </c>
      <c r="N469" s="64">
        <v>17000</v>
      </c>
      <c r="O469" s="65">
        <v>46144</v>
      </c>
      <c r="P469" s="64">
        <f t="shared" si="943"/>
        <v>2000</v>
      </c>
      <c r="Q469" s="64" t="s">
        <v>33</v>
      </c>
      <c r="R469" s="64" t="s">
        <v>39</v>
      </c>
      <c r="S469" s="64">
        <v>21800</v>
      </c>
      <c r="T469" s="64" t="s">
        <v>2148</v>
      </c>
      <c r="U469" s="65">
        <v>46162</v>
      </c>
      <c r="V469" s="64" t="s">
        <v>28</v>
      </c>
      <c r="W469" s="64">
        <f t="shared" si="944"/>
        <v>2800</v>
      </c>
      <c r="X469" s="64" t="s">
        <v>963</v>
      </c>
      <c r="Y469" s="64" t="s">
        <v>29</v>
      </c>
      <c r="Z469" s="71">
        <f t="shared" si="945"/>
        <v>14.736842105263158</v>
      </c>
      <c r="AA469" s="93"/>
    </row>
    <row r="470" spans="1:27" hidden="1">
      <c r="A470" s="64">
        <f>SUBTOTAL(3,C$2:C470)</f>
        <v>467</v>
      </c>
      <c r="B470" s="64" t="s">
        <v>1086</v>
      </c>
      <c r="C470" s="64" t="s">
        <v>44</v>
      </c>
      <c r="D470" s="64" t="s">
        <v>32</v>
      </c>
      <c r="E470" s="64" t="s">
        <v>33</v>
      </c>
      <c r="F470" s="52" t="s">
        <v>999</v>
      </c>
      <c r="G470" s="91" t="s">
        <v>994</v>
      </c>
      <c r="H470" s="98" t="s">
        <v>1009</v>
      </c>
      <c r="I470" s="65">
        <v>46142</v>
      </c>
      <c r="J470" s="64">
        <f t="shared" ca="1" si="941"/>
        <v>42</v>
      </c>
      <c r="K470" s="64">
        <f t="shared" si="942"/>
        <v>46169</v>
      </c>
      <c r="L470" s="52" t="s">
        <v>995</v>
      </c>
      <c r="M470" s="64">
        <v>41000</v>
      </c>
      <c r="N470" s="64">
        <v>38000</v>
      </c>
      <c r="O470" s="65">
        <v>46144</v>
      </c>
      <c r="P470" s="64">
        <f t="shared" si="943"/>
        <v>3000</v>
      </c>
      <c r="Q470" s="64" t="s">
        <v>33</v>
      </c>
      <c r="R470" s="97" t="s">
        <v>39</v>
      </c>
      <c r="S470" s="64">
        <v>44000</v>
      </c>
      <c r="T470" s="64" t="s">
        <v>2671</v>
      </c>
      <c r="U470" s="65">
        <v>46169</v>
      </c>
      <c r="V470" s="64" t="s">
        <v>28</v>
      </c>
      <c r="W470" s="64">
        <f t="shared" si="944"/>
        <v>3000</v>
      </c>
      <c r="X470" s="64" t="s">
        <v>36</v>
      </c>
      <c r="Y470" s="64" t="s">
        <v>29</v>
      </c>
      <c r="Z470" s="71">
        <f t="shared" si="945"/>
        <v>7.3170731707317076</v>
      </c>
      <c r="AA470" s="93"/>
    </row>
    <row r="471" spans="1:27" hidden="1">
      <c r="A471" s="64">
        <f>SUBTOTAL(3,C$2:C471)</f>
        <v>467</v>
      </c>
      <c r="B471" s="64" t="s">
        <v>1086</v>
      </c>
      <c r="C471" s="64" t="s">
        <v>31</v>
      </c>
      <c r="D471" s="64" t="s">
        <v>32</v>
      </c>
      <c r="E471" s="64" t="s">
        <v>33</v>
      </c>
      <c r="F471" s="52" t="s">
        <v>997</v>
      </c>
      <c r="G471" s="91" t="s">
        <v>34</v>
      </c>
      <c r="H471" s="98" t="s">
        <v>1002</v>
      </c>
      <c r="I471" s="65">
        <v>46143</v>
      </c>
      <c r="J471" s="64">
        <f t="shared" ca="1" si="941"/>
        <v>41</v>
      </c>
      <c r="K471" s="64">
        <f t="shared" si="942"/>
        <v>46169</v>
      </c>
      <c r="L471" s="52" t="s">
        <v>355</v>
      </c>
      <c r="M471" s="64">
        <v>19000</v>
      </c>
      <c r="N471" s="64">
        <v>17000</v>
      </c>
      <c r="O471" s="65">
        <v>46144</v>
      </c>
      <c r="P471" s="64">
        <f t="shared" si="943"/>
        <v>2000</v>
      </c>
      <c r="Q471" s="64" t="s">
        <v>33</v>
      </c>
      <c r="R471" s="64" t="s">
        <v>39</v>
      </c>
      <c r="S471" s="64">
        <v>21800</v>
      </c>
      <c r="T471" s="64" t="s">
        <v>2672</v>
      </c>
      <c r="U471" s="65">
        <v>46169</v>
      </c>
      <c r="V471" s="64" t="s">
        <v>28</v>
      </c>
      <c r="W471" s="64">
        <f t="shared" si="944"/>
        <v>2800</v>
      </c>
      <c r="X471" s="64" t="s">
        <v>963</v>
      </c>
      <c r="Y471" s="64" t="s">
        <v>29</v>
      </c>
      <c r="Z471" s="71">
        <f t="shared" si="945"/>
        <v>14.736842105263158</v>
      </c>
      <c r="AA471" s="93"/>
    </row>
    <row r="472" spans="1:27" hidden="1">
      <c r="A472" s="64">
        <f>SUBTOTAL(3,C$2:C472)</f>
        <v>467</v>
      </c>
      <c r="B472" s="64" t="s">
        <v>1086</v>
      </c>
      <c r="C472" s="64" t="s">
        <v>31</v>
      </c>
      <c r="D472" s="64" t="s">
        <v>32</v>
      </c>
      <c r="E472" s="64" t="s">
        <v>33</v>
      </c>
      <c r="F472" s="52" t="s">
        <v>741</v>
      </c>
      <c r="G472" s="91" t="s">
        <v>34</v>
      </c>
      <c r="H472" s="98" t="s">
        <v>1003</v>
      </c>
      <c r="I472" s="65">
        <v>46143</v>
      </c>
      <c r="J472" s="64">
        <f t="shared" ca="1" si="941"/>
        <v>41</v>
      </c>
      <c r="K472" s="64">
        <f t="shared" si="942"/>
        <v>46170</v>
      </c>
      <c r="L472" s="52" t="s">
        <v>355</v>
      </c>
      <c r="M472" s="64">
        <v>19000</v>
      </c>
      <c r="N472" s="64">
        <v>17000</v>
      </c>
      <c r="O472" s="65">
        <v>46144</v>
      </c>
      <c r="P472" s="64">
        <f t="shared" si="943"/>
        <v>2000</v>
      </c>
      <c r="Q472" s="64" t="s">
        <v>33</v>
      </c>
      <c r="R472" s="64" t="s">
        <v>196</v>
      </c>
      <c r="S472" s="64">
        <v>21800</v>
      </c>
      <c r="T472" s="64" t="s">
        <v>2673</v>
      </c>
      <c r="U472" s="65">
        <v>46170</v>
      </c>
      <c r="V472" s="64" t="s">
        <v>28</v>
      </c>
      <c r="W472" s="64">
        <f t="shared" si="944"/>
        <v>2800</v>
      </c>
      <c r="X472" s="64" t="s">
        <v>963</v>
      </c>
      <c r="Y472" s="64" t="s">
        <v>29</v>
      </c>
      <c r="Z472" s="71">
        <f t="shared" si="945"/>
        <v>14.736842105263158</v>
      </c>
      <c r="AA472" s="93"/>
    </row>
    <row r="473" spans="1:27" hidden="1">
      <c r="A473" s="64">
        <f>SUBTOTAL(3,C$2:C473)</f>
        <v>467</v>
      </c>
      <c r="B473" s="64" t="s">
        <v>1086</v>
      </c>
      <c r="C473" s="64" t="s">
        <v>31</v>
      </c>
      <c r="D473" s="64" t="s">
        <v>32</v>
      </c>
      <c r="E473" s="64" t="s">
        <v>33</v>
      </c>
      <c r="F473" s="52" t="s">
        <v>327</v>
      </c>
      <c r="G473" s="91" t="s">
        <v>34</v>
      </c>
      <c r="H473" s="98" t="s">
        <v>1004</v>
      </c>
      <c r="I473" s="65">
        <v>46143</v>
      </c>
      <c r="J473" s="64">
        <f t="shared" ca="1" si="941"/>
        <v>41</v>
      </c>
      <c r="K473" s="64">
        <f t="shared" si="942"/>
        <v>46162</v>
      </c>
      <c r="L473" s="52" t="s">
        <v>355</v>
      </c>
      <c r="M473" s="64">
        <v>19000</v>
      </c>
      <c r="N473" s="64">
        <v>17000</v>
      </c>
      <c r="O473" s="65">
        <v>46144</v>
      </c>
      <c r="P473" s="64">
        <f t="shared" si="943"/>
        <v>2000</v>
      </c>
      <c r="Q473" s="64" t="s">
        <v>33</v>
      </c>
      <c r="R473" s="64" t="s">
        <v>39</v>
      </c>
      <c r="S473" s="64">
        <v>21800</v>
      </c>
      <c r="T473" s="64" t="s">
        <v>2149</v>
      </c>
      <c r="U473" s="65">
        <v>46162</v>
      </c>
      <c r="V473" s="64" t="s">
        <v>28</v>
      </c>
      <c r="W473" s="64">
        <f t="shared" si="944"/>
        <v>2800</v>
      </c>
      <c r="X473" s="64" t="s">
        <v>963</v>
      </c>
      <c r="Y473" s="64" t="s">
        <v>29</v>
      </c>
      <c r="Z473" s="71">
        <f t="shared" si="945"/>
        <v>14.736842105263158</v>
      </c>
      <c r="AA473" s="93"/>
    </row>
    <row r="474" spans="1:27" hidden="1">
      <c r="A474" s="64">
        <f>SUBTOTAL(3,C$2:C474)</f>
        <v>467</v>
      </c>
      <c r="B474" s="64" t="s">
        <v>1086</v>
      </c>
      <c r="C474" s="64" t="s">
        <v>80</v>
      </c>
      <c r="D474" s="64" t="s">
        <v>32</v>
      </c>
      <c r="E474" s="64" t="s">
        <v>33</v>
      </c>
      <c r="F474" s="52" t="s">
        <v>251</v>
      </c>
      <c r="G474" s="91" t="s">
        <v>59</v>
      </c>
      <c r="H474" s="98" t="s">
        <v>1010</v>
      </c>
      <c r="I474" s="65">
        <v>46142</v>
      </c>
      <c r="J474" s="64">
        <f t="shared" ca="1" si="941"/>
        <v>42</v>
      </c>
      <c r="K474" s="64" t="str">
        <f t="shared" si="942"/>
        <v>Pending</v>
      </c>
      <c r="L474" s="52" t="s">
        <v>155</v>
      </c>
      <c r="M474" s="64">
        <v>35000</v>
      </c>
      <c r="N474" s="64">
        <v>32000</v>
      </c>
      <c r="O474" s="65">
        <v>46144</v>
      </c>
      <c r="P474" s="64">
        <f t="shared" si="943"/>
        <v>3000</v>
      </c>
      <c r="Q474" s="64" t="s">
        <v>33</v>
      </c>
      <c r="R474" s="64" t="s">
        <v>37</v>
      </c>
      <c r="S474" s="64">
        <v>38000</v>
      </c>
      <c r="T474" s="64" t="s">
        <v>33</v>
      </c>
      <c r="U474" s="65" t="s">
        <v>33</v>
      </c>
      <c r="V474" s="64" t="s">
        <v>28</v>
      </c>
      <c r="W474" s="64">
        <f t="shared" si="944"/>
        <v>3000</v>
      </c>
      <c r="X474" s="64" t="s">
        <v>36</v>
      </c>
      <c r="Y474" s="64" t="s">
        <v>29</v>
      </c>
      <c r="Z474" s="71">
        <f t="shared" si="945"/>
        <v>8.5714285714285712</v>
      </c>
      <c r="AA474" s="93"/>
    </row>
    <row r="475" spans="1:27" hidden="1">
      <c r="A475" s="64">
        <f>SUBTOTAL(3,C$2:C475)</f>
        <v>467</v>
      </c>
      <c r="B475" s="64" t="s">
        <v>1086</v>
      </c>
      <c r="C475" s="64" t="s">
        <v>44</v>
      </c>
      <c r="D475" s="64" t="s">
        <v>32</v>
      </c>
      <c r="E475" s="64" t="s">
        <v>33</v>
      </c>
      <c r="F475" s="52" t="s">
        <v>378</v>
      </c>
      <c r="G475" s="91" t="s">
        <v>46</v>
      </c>
      <c r="H475" s="98" t="s">
        <v>1011</v>
      </c>
      <c r="I475" s="65">
        <v>46143</v>
      </c>
      <c r="J475" s="64">
        <f t="shared" ca="1" si="941"/>
        <v>41</v>
      </c>
      <c r="K475" s="64">
        <f t="shared" si="942"/>
        <v>46162</v>
      </c>
      <c r="L475" s="52" t="s">
        <v>355</v>
      </c>
      <c r="M475" s="64">
        <v>19000</v>
      </c>
      <c r="N475" s="64">
        <v>17000</v>
      </c>
      <c r="O475" s="65">
        <v>46144</v>
      </c>
      <c r="P475" s="64">
        <f t="shared" si="943"/>
        <v>2000</v>
      </c>
      <c r="Q475" s="64" t="s">
        <v>33</v>
      </c>
      <c r="R475" s="64" t="s">
        <v>39</v>
      </c>
      <c r="S475" s="64">
        <v>21800</v>
      </c>
      <c r="T475" s="64" t="s">
        <v>2149</v>
      </c>
      <c r="U475" s="65">
        <v>46162</v>
      </c>
      <c r="V475" s="64" t="s">
        <v>28</v>
      </c>
      <c r="W475" s="64">
        <f t="shared" si="944"/>
        <v>2800</v>
      </c>
      <c r="X475" s="64" t="s">
        <v>36</v>
      </c>
      <c r="Y475" s="64" t="s">
        <v>29</v>
      </c>
      <c r="Z475" s="71">
        <f t="shared" si="945"/>
        <v>14.736842105263158</v>
      </c>
      <c r="AA475" s="93"/>
    </row>
    <row r="476" spans="1:27" hidden="1">
      <c r="A476" s="64">
        <f>SUBTOTAL(3,C$2:C476)</f>
        <v>467</v>
      </c>
      <c r="B476" s="64" t="s">
        <v>1086</v>
      </c>
      <c r="C476" s="64" t="s">
        <v>31</v>
      </c>
      <c r="D476" s="64" t="s">
        <v>32</v>
      </c>
      <c r="E476" s="64" t="s">
        <v>33</v>
      </c>
      <c r="F476" s="52" t="s">
        <v>134</v>
      </c>
      <c r="G476" s="91" t="s">
        <v>34</v>
      </c>
      <c r="H476" s="98" t="s">
        <v>1005</v>
      </c>
      <c r="I476" s="65">
        <v>46143</v>
      </c>
      <c r="J476" s="64">
        <f t="shared" ca="1" si="941"/>
        <v>41</v>
      </c>
      <c r="K476" s="64" t="str">
        <f t="shared" si="942"/>
        <v>Pending</v>
      </c>
      <c r="L476" s="52" t="s">
        <v>483</v>
      </c>
      <c r="M476" s="64">
        <v>23300</v>
      </c>
      <c r="N476" s="64">
        <v>21500</v>
      </c>
      <c r="O476" s="65">
        <v>46144</v>
      </c>
      <c r="P476" s="64">
        <f t="shared" si="943"/>
        <v>1800</v>
      </c>
      <c r="Q476" s="64" t="s">
        <v>33</v>
      </c>
      <c r="R476" s="64" t="s">
        <v>37</v>
      </c>
      <c r="S476" s="64">
        <v>26000</v>
      </c>
      <c r="T476" s="64" t="s">
        <v>33</v>
      </c>
      <c r="U476" s="65" t="s">
        <v>33</v>
      </c>
      <c r="V476" s="64" t="s">
        <v>28</v>
      </c>
      <c r="W476" s="64">
        <f t="shared" si="944"/>
        <v>2700</v>
      </c>
      <c r="X476" s="64" t="s">
        <v>963</v>
      </c>
      <c r="Y476" s="64" t="s">
        <v>29</v>
      </c>
      <c r="Z476" s="71">
        <f t="shared" si="945"/>
        <v>11.587982832618026</v>
      </c>
      <c r="AA476" s="93"/>
    </row>
    <row r="477" spans="1:27" hidden="1">
      <c r="A477" s="64">
        <f>SUBTOTAL(3,C$2:C477)</f>
        <v>467</v>
      </c>
      <c r="B477" s="64" t="s">
        <v>1086</v>
      </c>
      <c r="C477" s="64" t="s">
        <v>80</v>
      </c>
      <c r="D477" s="64" t="s">
        <v>32</v>
      </c>
      <c r="E477" s="64" t="s">
        <v>33</v>
      </c>
      <c r="F477" s="52" t="s">
        <v>386</v>
      </c>
      <c r="G477" s="91" t="s">
        <v>59</v>
      </c>
      <c r="H477" s="98" t="s">
        <v>1012</v>
      </c>
      <c r="I477" s="65">
        <v>46143</v>
      </c>
      <c r="J477" s="64">
        <f t="shared" ref="J477" ca="1" si="946">+TODAY()-I477</f>
        <v>41</v>
      </c>
      <c r="K477" s="64" t="str">
        <f t="shared" ref="K477" si="947">+U477</f>
        <v>Pending</v>
      </c>
      <c r="L477" s="52" t="s">
        <v>155</v>
      </c>
      <c r="M477" s="64">
        <v>35000</v>
      </c>
      <c r="N477" s="64">
        <v>32000</v>
      </c>
      <c r="O477" s="65">
        <v>46144</v>
      </c>
      <c r="P477" s="64">
        <f t="shared" ref="P477" si="948">+M477-N477</f>
        <v>3000</v>
      </c>
      <c r="Q477" s="64" t="s">
        <v>33</v>
      </c>
      <c r="R477" s="64" t="s">
        <v>37</v>
      </c>
      <c r="S477" s="64">
        <v>38000</v>
      </c>
      <c r="T477" s="64" t="s">
        <v>33</v>
      </c>
      <c r="U477" s="65" t="s">
        <v>33</v>
      </c>
      <c r="V477" s="64" t="s">
        <v>28</v>
      </c>
      <c r="W477" s="64">
        <f t="shared" ref="W477" si="949">+S477-M477</f>
        <v>3000</v>
      </c>
      <c r="X477" s="64" t="s">
        <v>36</v>
      </c>
      <c r="Y477" s="64" t="s">
        <v>29</v>
      </c>
      <c r="Z477" s="71">
        <f t="shared" ref="Z477" si="950">+W477*100/M477</f>
        <v>8.5714285714285712</v>
      </c>
      <c r="AA477" s="93"/>
    </row>
    <row r="478" spans="1:27" hidden="1">
      <c r="A478" s="64">
        <f>SUBTOTAL(3,C$2:C478)</f>
        <v>467</v>
      </c>
      <c r="B478" s="64" t="s">
        <v>1086</v>
      </c>
      <c r="C478" s="64" t="s">
        <v>31</v>
      </c>
      <c r="D478" s="64" t="s">
        <v>32</v>
      </c>
      <c r="E478" s="64" t="s">
        <v>33</v>
      </c>
      <c r="F478" s="52" t="s">
        <v>374</v>
      </c>
      <c r="G478" s="91" t="s">
        <v>34</v>
      </c>
      <c r="H478" s="70" t="s">
        <v>1006</v>
      </c>
      <c r="I478" s="65">
        <v>46143</v>
      </c>
      <c r="J478" s="64">
        <f t="shared" ref="J478:J479" ca="1" si="951">+TODAY()-I478</f>
        <v>41</v>
      </c>
      <c r="K478" s="64" t="str">
        <f t="shared" ref="K478:K479" si="952">+U478</f>
        <v>Pending</v>
      </c>
      <c r="L478" s="52" t="s">
        <v>111</v>
      </c>
      <c r="M478" s="64">
        <v>11700</v>
      </c>
      <c r="N478" s="64">
        <v>10700</v>
      </c>
      <c r="O478" s="65">
        <v>46144</v>
      </c>
      <c r="P478" s="64">
        <f t="shared" ref="P478:P479" si="953">+M478-N478</f>
        <v>1000</v>
      </c>
      <c r="Q478" s="64" t="s">
        <v>33</v>
      </c>
      <c r="R478" s="64" t="s">
        <v>112</v>
      </c>
      <c r="S478" s="64">
        <v>13500</v>
      </c>
      <c r="T478" s="64" t="s">
        <v>33</v>
      </c>
      <c r="U478" s="65" t="s">
        <v>33</v>
      </c>
      <c r="V478" s="64" t="s">
        <v>28</v>
      </c>
      <c r="W478" s="64">
        <f t="shared" ref="W478:W479" si="954">+S478-M478</f>
        <v>1800</v>
      </c>
      <c r="X478" s="64" t="s">
        <v>963</v>
      </c>
      <c r="Y478" s="64" t="s">
        <v>29</v>
      </c>
      <c r="Z478" s="71">
        <f t="shared" ref="Z478:Z479" si="955">+W478*100/M478</f>
        <v>15.384615384615385</v>
      </c>
      <c r="AA478" s="93"/>
    </row>
    <row r="479" spans="1:27" hidden="1">
      <c r="A479" s="64">
        <f>SUBTOTAL(3,C$2:C479)</f>
        <v>467</v>
      </c>
      <c r="B479" s="64" t="s">
        <v>1086</v>
      </c>
      <c r="C479" s="64" t="s">
        <v>44</v>
      </c>
      <c r="D479" s="64" t="s">
        <v>32</v>
      </c>
      <c r="E479" s="64" t="s">
        <v>33</v>
      </c>
      <c r="F479" s="52" t="s">
        <v>108</v>
      </c>
      <c r="G479" s="91">
        <v>407</v>
      </c>
      <c r="H479" s="98" t="s">
        <v>1013</v>
      </c>
      <c r="I479" s="65">
        <v>46142</v>
      </c>
      <c r="J479" s="64">
        <f t="shared" ca="1" si="951"/>
        <v>42</v>
      </c>
      <c r="K479" s="64">
        <f t="shared" si="952"/>
        <v>46163</v>
      </c>
      <c r="L479" s="52" t="s">
        <v>381</v>
      </c>
      <c r="M479" s="64">
        <v>27000</v>
      </c>
      <c r="N479" s="64">
        <v>25000</v>
      </c>
      <c r="O479" s="65">
        <v>46144</v>
      </c>
      <c r="P479" s="64">
        <f t="shared" si="953"/>
        <v>2000</v>
      </c>
      <c r="Q479" s="64" t="s">
        <v>33</v>
      </c>
      <c r="R479" s="64" t="s">
        <v>1886</v>
      </c>
      <c r="S479" s="64">
        <v>29800</v>
      </c>
      <c r="T479" s="64" t="s">
        <v>2185</v>
      </c>
      <c r="U479" s="65">
        <v>46163</v>
      </c>
      <c r="V479" s="64" t="s">
        <v>28</v>
      </c>
      <c r="W479" s="64">
        <f t="shared" si="954"/>
        <v>2800</v>
      </c>
      <c r="X479" s="64" t="s">
        <v>36</v>
      </c>
      <c r="Y479" s="64" t="s">
        <v>29</v>
      </c>
      <c r="Z479" s="71">
        <f t="shared" si="955"/>
        <v>10.37037037037037</v>
      </c>
      <c r="AA479" s="93"/>
    </row>
    <row r="480" spans="1:27" hidden="1">
      <c r="A480" s="64">
        <f>SUBTOTAL(3,C$2:C480)</f>
        <v>467</v>
      </c>
      <c r="B480" s="64" t="s">
        <v>1086</v>
      </c>
      <c r="C480" s="64" t="s">
        <v>44</v>
      </c>
      <c r="D480" s="64" t="s">
        <v>32</v>
      </c>
      <c r="E480" s="64" t="s">
        <v>33</v>
      </c>
      <c r="F480" s="52" t="s">
        <v>204</v>
      </c>
      <c r="G480" s="91">
        <v>407</v>
      </c>
      <c r="H480" s="98" t="s">
        <v>1014</v>
      </c>
      <c r="I480" s="65">
        <v>46143</v>
      </c>
      <c r="J480" s="64">
        <f t="shared" ref="J480:J481" ca="1" si="956">+TODAY()-I480</f>
        <v>41</v>
      </c>
      <c r="K480" s="64">
        <f t="shared" ref="K480:K481" si="957">+U480</f>
        <v>46163</v>
      </c>
      <c r="L480" s="52" t="s">
        <v>381</v>
      </c>
      <c r="M480" s="64">
        <v>28000</v>
      </c>
      <c r="N480" s="64">
        <v>25000</v>
      </c>
      <c r="O480" s="65">
        <v>46144</v>
      </c>
      <c r="P480" s="64">
        <f t="shared" ref="P480:P481" si="958">+M480-N480</f>
        <v>3000</v>
      </c>
      <c r="Q480" s="64" t="s">
        <v>33</v>
      </c>
      <c r="R480" s="64" t="s">
        <v>56</v>
      </c>
      <c r="S480" s="64">
        <v>30800</v>
      </c>
      <c r="T480" s="64" t="s">
        <v>2182</v>
      </c>
      <c r="U480" s="65">
        <v>46163</v>
      </c>
      <c r="V480" s="64" t="s">
        <v>28</v>
      </c>
      <c r="W480" s="64">
        <f t="shared" ref="W480:W481" si="959">+S480-M480</f>
        <v>2800</v>
      </c>
      <c r="X480" s="64" t="s">
        <v>36</v>
      </c>
      <c r="Y480" s="64" t="s">
        <v>29</v>
      </c>
      <c r="Z480" s="71">
        <f t="shared" ref="Z480:Z481" si="960">+W480*100/M480</f>
        <v>10</v>
      </c>
      <c r="AA480" s="93"/>
    </row>
    <row r="481" spans="1:27" hidden="1">
      <c r="A481" s="64">
        <f>SUBTOTAL(3,C$2:C481)</f>
        <v>467</v>
      </c>
      <c r="B481" s="64" t="s">
        <v>1086</v>
      </c>
      <c r="C481" s="64" t="s">
        <v>156</v>
      </c>
      <c r="D481" s="64" t="s">
        <v>32</v>
      </c>
      <c r="E481" s="64" t="s">
        <v>33</v>
      </c>
      <c r="F481" s="52" t="s">
        <v>164</v>
      </c>
      <c r="G481" s="91" t="s">
        <v>67</v>
      </c>
      <c r="H481" s="98" t="s">
        <v>1015</v>
      </c>
      <c r="I481" s="65">
        <v>46143</v>
      </c>
      <c r="J481" s="64">
        <f t="shared" ca="1" si="956"/>
        <v>41</v>
      </c>
      <c r="K481" s="64">
        <f t="shared" si="957"/>
        <v>46162</v>
      </c>
      <c r="L481" s="52" t="s">
        <v>620</v>
      </c>
      <c r="M481" s="64">
        <v>38500</v>
      </c>
      <c r="N481" s="64">
        <v>35500</v>
      </c>
      <c r="O481" s="65">
        <v>46144</v>
      </c>
      <c r="P481" s="64">
        <f t="shared" si="958"/>
        <v>3000</v>
      </c>
      <c r="Q481" s="64" t="s">
        <v>33</v>
      </c>
      <c r="R481" s="64" t="s">
        <v>52</v>
      </c>
      <c r="S481" s="64">
        <v>42000</v>
      </c>
      <c r="T481" s="64" t="s">
        <v>2154</v>
      </c>
      <c r="U481" s="65">
        <v>46162</v>
      </c>
      <c r="V481" s="64" t="s">
        <v>28</v>
      </c>
      <c r="W481" s="64">
        <f t="shared" si="959"/>
        <v>3500</v>
      </c>
      <c r="X481" s="64" t="s">
        <v>36</v>
      </c>
      <c r="Y481" s="64" t="s">
        <v>29</v>
      </c>
      <c r="Z481" s="71">
        <f t="shared" si="960"/>
        <v>9.0909090909090917</v>
      </c>
      <c r="AA481" s="93"/>
    </row>
    <row r="482" spans="1:27" hidden="1">
      <c r="A482" s="64">
        <f>SUBTOTAL(3,C$2:C482)</f>
        <v>467</v>
      </c>
      <c r="B482" s="64" t="s">
        <v>1086</v>
      </c>
      <c r="C482" s="64" t="s">
        <v>44</v>
      </c>
      <c r="D482" s="64" t="s">
        <v>32</v>
      </c>
      <c r="E482" s="64" t="s">
        <v>33</v>
      </c>
      <c r="F482" s="52" t="s">
        <v>993</v>
      </c>
      <c r="G482" s="91" t="s">
        <v>994</v>
      </c>
      <c r="H482" s="98" t="s">
        <v>1016</v>
      </c>
      <c r="I482" s="65">
        <v>46143</v>
      </c>
      <c r="J482" s="64">
        <f t="shared" ref="J482" ca="1" si="961">+TODAY()-I482</f>
        <v>41</v>
      </c>
      <c r="K482" s="64" t="str">
        <f t="shared" ref="K482" si="962">+U482</f>
        <v>Pending</v>
      </c>
      <c r="L482" s="52" t="s">
        <v>995</v>
      </c>
      <c r="M482" s="64">
        <v>41000</v>
      </c>
      <c r="N482" s="64">
        <v>38000</v>
      </c>
      <c r="O482" s="65">
        <v>46144</v>
      </c>
      <c r="P482" s="64">
        <f t="shared" ref="P482" si="963">+M482-N482</f>
        <v>3000</v>
      </c>
      <c r="Q482" s="64" t="s">
        <v>33</v>
      </c>
      <c r="R482" s="64" t="s">
        <v>39</v>
      </c>
      <c r="S482" s="64">
        <v>44000</v>
      </c>
      <c r="T482" s="64" t="s">
        <v>33</v>
      </c>
      <c r="U482" s="65" t="s">
        <v>33</v>
      </c>
      <c r="V482" s="64" t="s">
        <v>28</v>
      </c>
      <c r="W482" s="64">
        <f t="shared" ref="W482" si="964">+S482-M482</f>
        <v>3000</v>
      </c>
      <c r="X482" s="64" t="s">
        <v>36</v>
      </c>
      <c r="Y482" s="64" t="s">
        <v>29</v>
      </c>
      <c r="Z482" s="71">
        <f t="shared" ref="Z482" si="965">+W482*100/M482</f>
        <v>7.3170731707317076</v>
      </c>
      <c r="AA482" s="93"/>
    </row>
    <row r="483" spans="1:27" hidden="1">
      <c r="A483" s="64">
        <f>SUBTOTAL(3,C$2:C483)</f>
        <v>467</v>
      </c>
      <c r="B483" s="64" t="s">
        <v>1086</v>
      </c>
      <c r="C483" s="64" t="s">
        <v>44</v>
      </c>
      <c r="D483" s="64" t="s">
        <v>32</v>
      </c>
      <c r="E483" s="64" t="s">
        <v>33</v>
      </c>
      <c r="F483" s="52" t="s">
        <v>186</v>
      </c>
      <c r="G483" s="91" t="s">
        <v>67</v>
      </c>
      <c r="H483" s="98" t="s">
        <v>1017</v>
      </c>
      <c r="I483" s="65">
        <v>46142</v>
      </c>
      <c r="J483" s="64">
        <f t="shared" ref="J483:J484" ca="1" si="966">+TODAY()-I483</f>
        <v>42</v>
      </c>
      <c r="K483" s="64">
        <f t="shared" ref="K483:K484" si="967">+U483</f>
        <v>46148</v>
      </c>
      <c r="L483" s="52" t="s">
        <v>187</v>
      </c>
      <c r="M483" s="64">
        <v>21500</v>
      </c>
      <c r="N483" s="64">
        <v>21500</v>
      </c>
      <c r="O483" s="65">
        <v>46144</v>
      </c>
      <c r="P483" s="64">
        <f t="shared" ref="P483:P484" si="968">+M483-N483</f>
        <v>0</v>
      </c>
      <c r="Q483" s="64" t="s">
        <v>33</v>
      </c>
      <c r="R483" s="64" t="s">
        <v>78</v>
      </c>
      <c r="S483" s="64">
        <v>25500</v>
      </c>
      <c r="T483" s="64" t="s">
        <v>1329</v>
      </c>
      <c r="U483" s="65">
        <v>46148</v>
      </c>
      <c r="V483" s="64" t="s">
        <v>28</v>
      </c>
      <c r="W483" s="64">
        <f t="shared" ref="W483:W484" si="969">+S483-M483</f>
        <v>4000</v>
      </c>
      <c r="X483" s="64" t="s">
        <v>36</v>
      </c>
      <c r="Y483" s="64" t="s">
        <v>29</v>
      </c>
      <c r="Z483" s="71">
        <f t="shared" ref="Z483:Z484" si="970">+W483*100/M483</f>
        <v>18.604651162790699</v>
      </c>
      <c r="AA483" s="93"/>
    </row>
    <row r="484" spans="1:27" hidden="1">
      <c r="A484" s="64">
        <f>SUBTOTAL(3,C$2:C484)</f>
        <v>467</v>
      </c>
      <c r="B484" s="64" t="s">
        <v>1086</v>
      </c>
      <c r="C484" s="64" t="s">
        <v>31</v>
      </c>
      <c r="D484" s="64" t="s">
        <v>32</v>
      </c>
      <c r="E484" s="64" t="s">
        <v>33</v>
      </c>
      <c r="F484" s="52" t="s">
        <v>205</v>
      </c>
      <c r="G484" s="91" t="s">
        <v>34</v>
      </c>
      <c r="H484" s="98" t="s">
        <v>1007</v>
      </c>
      <c r="I484" s="65">
        <v>46143</v>
      </c>
      <c r="J484" s="64">
        <f t="shared" ca="1" si="966"/>
        <v>41</v>
      </c>
      <c r="K484" s="64">
        <f t="shared" si="967"/>
        <v>46162</v>
      </c>
      <c r="L484" s="52" t="s">
        <v>355</v>
      </c>
      <c r="M484" s="64">
        <v>19000</v>
      </c>
      <c r="N484" s="64">
        <v>17000</v>
      </c>
      <c r="O484" s="65">
        <v>46144</v>
      </c>
      <c r="P484" s="64">
        <f t="shared" si="968"/>
        <v>2000</v>
      </c>
      <c r="Q484" s="64" t="s">
        <v>33</v>
      </c>
      <c r="R484" s="64" t="s">
        <v>39</v>
      </c>
      <c r="S484" s="64">
        <v>21800</v>
      </c>
      <c r="T484" s="64" t="s">
        <v>2149</v>
      </c>
      <c r="U484" s="65">
        <v>46162</v>
      </c>
      <c r="V484" s="64" t="s">
        <v>28</v>
      </c>
      <c r="W484" s="64">
        <f t="shared" si="969"/>
        <v>2800</v>
      </c>
      <c r="X484" s="64" t="s">
        <v>963</v>
      </c>
      <c r="Y484" s="64" t="s">
        <v>29</v>
      </c>
      <c r="Z484" s="71">
        <f t="shared" si="970"/>
        <v>14.736842105263158</v>
      </c>
      <c r="AA484" s="93"/>
    </row>
    <row r="485" spans="1:27" hidden="1">
      <c r="A485" s="64">
        <f>SUBTOTAL(3,C$2:C485)</f>
        <v>467</v>
      </c>
      <c r="B485" s="64" t="s">
        <v>1086</v>
      </c>
      <c r="C485" s="64" t="s">
        <v>31</v>
      </c>
      <c r="D485" s="64" t="s">
        <v>32</v>
      </c>
      <c r="E485" s="64" t="s">
        <v>33</v>
      </c>
      <c r="F485" s="52" t="s">
        <v>148</v>
      </c>
      <c r="G485" s="91" t="s">
        <v>34</v>
      </c>
      <c r="H485" s="98" t="s">
        <v>1008</v>
      </c>
      <c r="I485" s="65">
        <v>46143</v>
      </c>
      <c r="J485" s="64">
        <f t="shared" ref="J485" ca="1" si="971">+TODAY()-I485</f>
        <v>41</v>
      </c>
      <c r="K485" s="64">
        <f t="shared" ref="K485" si="972">+U485</f>
        <v>46169</v>
      </c>
      <c r="L485" s="52" t="s">
        <v>355</v>
      </c>
      <c r="M485" s="64">
        <v>19000</v>
      </c>
      <c r="N485" s="64">
        <v>17000</v>
      </c>
      <c r="O485" s="65">
        <v>46144</v>
      </c>
      <c r="P485" s="64">
        <f t="shared" ref="P485" si="973">+M485-N485</f>
        <v>2000</v>
      </c>
      <c r="Q485" s="64" t="s">
        <v>33</v>
      </c>
      <c r="R485" s="64" t="s">
        <v>39</v>
      </c>
      <c r="S485" s="64">
        <v>21800</v>
      </c>
      <c r="T485" s="64" t="s">
        <v>2674</v>
      </c>
      <c r="U485" s="65">
        <v>46169</v>
      </c>
      <c r="V485" s="64" t="s">
        <v>28</v>
      </c>
      <c r="W485" s="64">
        <f t="shared" ref="W485" si="974">+S485-M485</f>
        <v>2800</v>
      </c>
      <c r="X485" s="64" t="s">
        <v>963</v>
      </c>
      <c r="Y485" s="64" t="s">
        <v>29</v>
      </c>
      <c r="Z485" s="71">
        <f t="shared" ref="Z485" si="975">+W485*100/M485</f>
        <v>14.736842105263158</v>
      </c>
      <c r="AA485" s="93"/>
    </row>
    <row r="486" spans="1:27" hidden="1">
      <c r="A486" s="64">
        <f>SUBTOTAL(3,C$2:C486)</f>
        <v>467</v>
      </c>
      <c r="B486" s="64" t="s">
        <v>1086</v>
      </c>
      <c r="C486" s="64" t="s">
        <v>31</v>
      </c>
      <c r="D486" s="64" t="s">
        <v>32</v>
      </c>
      <c r="E486" s="64" t="s">
        <v>33</v>
      </c>
      <c r="F486" s="52" t="s">
        <v>741</v>
      </c>
      <c r="G486" s="91" t="s">
        <v>34</v>
      </c>
      <c r="H486" s="98" t="s">
        <v>1046</v>
      </c>
      <c r="I486" s="65">
        <v>46144</v>
      </c>
      <c r="J486" s="64">
        <f t="shared" ref="J486" ca="1" si="976">+TODAY()-I486</f>
        <v>40</v>
      </c>
      <c r="K486" s="64">
        <f t="shared" ref="K486" si="977">+U486</f>
        <v>46162</v>
      </c>
      <c r="L486" s="52" t="s">
        <v>355</v>
      </c>
      <c r="M486" s="64">
        <v>19000</v>
      </c>
      <c r="N486" s="64">
        <v>17000</v>
      </c>
      <c r="O486" s="65">
        <v>46146</v>
      </c>
      <c r="P486" s="64">
        <f t="shared" ref="P486" si="978">+M486-N486</f>
        <v>2000</v>
      </c>
      <c r="Q486" s="64" t="s">
        <v>33</v>
      </c>
      <c r="R486" s="64" t="s">
        <v>39</v>
      </c>
      <c r="S486" s="64">
        <v>21800</v>
      </c>
      <c r="T486" s="64" t="s">
        <v>2149</v>
      </c>
      <c r="U486" s="65">
        <v>46162</v>
      </c>
      <c r="V486" s="64" t="s">
        <v>28</v>
      </c>
      <c r="W486" s="64">
        <f t="shared" ref="W486" si="979">+S486-M486</f>
        <v>2800</v>
      </c>
      <c r="X486" s="64" t="s">
        <v>963</v>
      </c>
      <c r="Y486" s="64" t="s">
        <v>29</v>
      </c>
      <c r="Z486" s="71">
        <f t="shared" ref="Z486" si="980">+W486*100/M486</f>
        <v>14.736842105263158</v>
      </c>
      <c r="AA486" s="93"/>
    </row>
    <row r="487" spans="1:27" hidden="1">
      <c r="A487" s="64">
        <f>SUBTOTAL(3,C$2:C487)</f>
        <v>467</v>
      </c>
      <c r="B487" s="64" t="s">
        <v>1086</v>
      </c>
      <c r="C487" s="64" t="s">
        <v>31</v>
      </c>
      <c r="D487" s="64" t="s">
        <v>32</v>
      </c>
      <c r="E487" s="64" t="s">
        <v>33</v>
      </c>
      <c r="F487" s="52" t="s">
        <v>198</v>
      </c>
      <c r="G487" s="91" t="s">
        <v>34</v>
      </c>
      <c r="H487" s="70" t="s">
        <v>1047</v>
      </c>
      <c r="I487" s="65">
        <v>46144</v>
      </c>
      <c r="J487" s="64">
        <f t="shared" ref="J487:J489" ca="1" si="981">+TODAY()-I487</f>
        <v>40</v>
      </c>
      <c r="K487" s="64" t="str">
        <f t="shared" ref="K487:K489" si="982">+U487</f>
        <v>Pending</v>
      </c>
      <c r="L487" s="52" t="s">
        <v>355</v>
      </c>
      <c r="M487" s="64">
        <v>19000</v>
      </c>
      <c r="N487" s="64">
        <v>17000</v>
      </c>
      <c r="O487" s="65">
        <v>46146</v>
      </c>
      <c r="P487" s="64">
        <f t="shared" ref="P487:P489" si="983">+M487-N487</f>
        <v>2000</v>
      </c>
      <c r="Q487" s="64" t="s">
        <v>33</v>
      </c>
      <c r="R487" s="64" t="s">
        <v>39</v>
      </c>
      <c r="S487" s="64">
        <v>21800</v>
      </c>
      <c r="T487" s="64" t="s">
        <v>33</v>
      </c>
      <c r="U487" s="65" t="s">
        <v>33</v>
      </c>
      <c r="V487" s="64" t="s">
        <v>28</v>
      </c>
      <c r="W487" s="64">
        <f t="shared" ref="W487:W489" si="984">+S487-M487</f>
        <v>2800</v>
      </c>
      <c r="X487" s="64" t="s">
        <v>963</v>
      </c>
      <c r="Y487" s="64" t="s">
        <v>29</v>
      </c>
      <c r="Z487" s="71">
        <f t="shared" ref="Z487:Z489" si="985">+W487*100/M487</f>
        <v>14.736842105263158</v>
      </c>
      <c r="AA487" s="93"/>
    </row>
    <row r="488" spans="1:27" hidden="1">
      <c r="A488" s="64">
        <f>SUBTOTAL(3,C$2:C488)</f>
        <v>467</v>
      </c>
      <c r="B488" s="64" t="s">
        <v>1086</v>
      </c>
      <c r="C488" s="64" t="s">
        <v>44</v>
      </c>
      <c r="D488" s="64" t="s">
        <v>32</v>
      </c>
      <c r="E488" s="64" t="s">
        <v>33</v>
      </c>
      <c r="F488" s="52" t="s">
        <v>1023</v>
      </c>
      <c r="G488" s="91" t="s">
        <v>46</v>
      </c>
      <c r="H488" s="70" t="s">
        <v>1048</v>
      </c>
      <c r="I488" s="65">
        <v>46144</v>
      </c>
      <c r="J488" s="64">
        <f t="shared" ca="1" si="981"/>
        <v>40</v>
      </c>
      <c r="K488" s="64" t="str">
        <f t="shared" si="982"/>
        <v>Pending</v>
      </c>
      <c r="L488" s="52" t="s">
        <v>47</v>
      </c>
      <c r="M488" s="64">
        <v>19000</v>
      </c>
      <c r="N488" s="64">
        <v>17000</v>
      </c>
      <c r="O488" s="65">
        <v>46146</v>
      </c>
      <c r="P488" s="64">
        <f t="shared" si="983"/>
        <v>2000</v>
      </c>
      <c r="Q488" s="64" t="s">
        <v>33</v>
      </c>
      <c r="R488" s="64" t="s">
        <v>112</v>
      </c>
      <c r="S488" s="64">
        <v>24000</v>
      </c>
      <c r="T488" s="64" t="s">
        <v>33</v>
      </c>
      <c r="U488" s="65" t="s">
        <v>33</v>
      </c>
      <c r="V488" s="64" t="s">
        <v>28</v>
      </c>
      <c r="W488" s="64">
        <f t="shared" si="984"/>
        <v>5000</v>
      </c>
      <c r="X488" s="64" t="s">
        <v>36</v>
      </c>
      <c r="Y488" s="64" t="s">
        <v>29</v>
      </c>
      <c r="Z488" s="71">
        <f t="shared" si="985"/>
        <v>26.315789473684209</v>
      </c>
      <c r="AA488" s="93"/>
    </row>
    <row r="489" spans="1:27" hidden="1">
      <c r="A489" s="64">
        <f>SUBTOTAL(3,C$2:C489)</f>
        <v>467</v>
      </c>
      <c r="B489" s="64" t="s">
        <v>1086</v>
      </c>
      <c r="C489" s="64" t="s">
        <v>137</v>
      </c>
      <c r="D489" s="64" t="s">
        <v>32</v>
      </c>
      <c r="E489" s="64" t="s">
        <v>33</v>
      </c>
      <c r="F489" s="52" t="s">
        <v>138</v>
      </c>
      <c r="G489" s="91" t="s">
        <v>50</v>
      </c>
      <c r="H489" s="98" t="s">
        <v>1049</v>
      </c>
      <c r="I489" s="65">
        <v>46144</v>
      </c>
      <c r="J489" s="64">
        <f t="shared" ca="1" si="981"/>
        <v>40</v>
      </c>
      <c r="K489" s="64">
        <f t="shared" si="982"/>
        <v>46162</v>
      </c>
      <c r="L489" s="52" t="s">
        <v>580</v>
      </c>
      <c r="M489" s="64">
        <f>3000+44000</f>
        <v>47000</v>
      </c>
      <c r="N489" s="64">
        <v>40000</v>
      </c>
      <c r="O489" s="65">
        <v>46146</v>
      </c>
      <c r="P489" s="64">
        <f t="shared" si="983"/>
        <v>7000</v>
      </c>
      <c r="Q489" s="64" t="s">
        <v>33</v>
      </c>
      <c r="R489" s="64" t="s">
        <v>52</v>
      </c>
      <c r="S489" s="64">
        <f>5000+48000</f>
        <v>53000</v>
      </c>
      <c r="T489" s="64" t="s">
        <v>2156</v>
      </c>
      <c r="U489" s="65">
        <v>46162</v>
      </c>
      <c r="V489" s="64" t="s">
        <v>28</v>
      </c>
      <c r="W489" s="64">
        <f t="shared" si="984"/>
        <v>6000</v>
      </c>
      <c r="X489" s="64" t="s">
        <v>36</v>
      </c>
      <c r="Y489" s="64" t="s">
        <v>29</v>
      </c>
      <c r="Z489" s="71">
        <f t="shared" si="985"/>
        <v>12.76595744680851</v>
      </c>
      <c r="AA489" s="93"/>
    </row>
    <row r="490" spans="1:27" hidden="1">
      <c r="A490" s="64">
        <f>SUBTOTAL(3,C$2:C490)</f>
        <v>467</v>
      </c>
      <c r="B490" s="64" t="s">
        <v>1086</v>
      </c>
      <c r="C490" s="64" t="s">
        <v>31</v>
      </c>
      <c r="D490" s="64" t="s">
        <v>32</v>
      </c>
      <c r="E490" s="64" t="s">
        <v>33</v>
      </c>
      <c r="F490" s="52" t="s">
        <v>116</v>
      </c>
      <c r="G490" s="91" t="s">
        <v>34</v>
      </c>
      <c r="H490" s="98" t="s">
        <v>1050</v>
      </c>
      <c r="I490" s="65">
        <v>46144</v>
      </c>
      <c r="J490" s="64">
        <f t="shared" ref="J490" ca="1" si="986">+TODAY()-I490</f>
        <v>40</v>
      </c>
      <c r="K490" s="64">
        <f t="shared" ref="K490" si="987">+U490</f>
        <v>46169</v>
      </c>
      <c r="L490" s="52" t="s">
        <v>355</v>
      </c>
      <c r="M490" s="64">
        <v>19000</v>
      </c>
      <c r="N490" s="64">
        <v>17000</v>
      </c>
      <c r="O490" s="65">
        <v>46146</v>
      </c>
      <c r="P490" s="64">
        <f t="shared" ref="P490" si="988">+M490-N490</f>
        <v>2000</v>
      </c>
      <c r="Q490" s="64" t="s">
        <v>33</v>
      </c>
      <c r="R490" s="64" t="s">
        <v>39</v>
      </c>
      <c r="S490" s="64">
        <v>21800</v>
      </c>
      <c r="T490" s="64" t="s">
        <v>2672</v>
      </c>
      <c r="U490" s="65">
        <v>46169</v>
      </c>
      <c r="V490" s="64" t="s">
        <v>28</v>
      </c>
      <c r="W490" s="64">
        <f t="shared" ref="W490" si="989">+S490-M490</f>
        <v>2800</v>
      </c>
      <c r="X490" s="64" t="s">
        <v>963</v>
      </c>
      <c r="Y490" s="64" t="s">
        <v>29</v>
      </c>
      <c r="Z490" s="71">
        <f t="shared" ref="Z490" si="990">+W490*100/M490</f>
        <v>14.736842105263158</v>
      </c>
      <c r="AA490" s="93"/>
    </row>
    <row r="491" spans="1:27" hidden="1">
      <c r="A491" s="64">
        <f>SUBTOTAL(3,C$2:C491)</f>
        <v>467</v>
      </c>
      <c r="B491" s="64" t="s">
        <v>1086</v>
      </c>
      <c r="C491" s="64" t="s">
        <v>31</v>
      </c>
      <c r="D491" s="64" t="s">
        <v>32</v>
      </c>
      <c r="E491" s="64" t="s">
        <v>33</v>
      </c>
      <c r="F491" s="52" t="s">
        <v>195</v>
      </c>
      <c r="G491" s="91" t="s">
        <v>34</v>
      </c>
      <c r="H491" s="98" t="s">
        <v>1051</v>
      </c>
      <c r="I491" s="65">
        <v>46144</v>
      </c>
      <c r="J491" s="64">
        <f t="shared" ref="J491:J492" ca="1" si="991">+TODAY()-I491</f>
        <v>40</v>
      </c>
      <c r="K491" s="64">
        <f t="shared" ref="K491:K492" si="992">+U491</f>
        <v>46170</v>
      </c>
      <c r="L491" s="52" t="s">
        <v>355</v>
      </c>
      <c r="M491" s="64">
        <v>19000</v>
      </c>
      <c r="N491" s="64">
        <v>17000</v>
      </c>
      <c r="O491" s="65">
        <v>46146</v>
      </c>
      <c r="P491" s="64">
        <f t="shared" ref="P491:P492" si="993">+M491-N491</f>
        <v>2000</v>
      </c>
      <c r="Q491" s="64" t="s">
        <v>33</v>
      </c>
      <c r="R491" s="64" t="s">
        <v>196</v>
      </c>
      <c r="S491" s="64">
        <v>21800</v>
      </c>
      <c r="T491" s="64" t="s">
        <v>2673</v>
      </c>
      <c r="U491" s="65">
        <v>46170</v>
      </c>
      <c r="V491" s="64" t="s">
        <v>28</v>
      </c>
      <c r="W491" s="64">
        <f t="shared" ref="W491:W492" si="994">+S491-M491</f>
        <v>2800</v>
      </c>
      <c r="X491" s="64" t="s">
        <v>963</v>
      </c>
      <c r="Y491" s="64" t="s">
        <v>29</v>
      </c>
      <c r="Z491" s="71">
        <f t="shared" ref="Z491:Z492" si="995">+W491*100/M491</f>
        <v>14.736842105263158</v>
      </c>
      <c r="AA491" s="93"/>
    </row>
    <row r="492" spans="1:27" hidden="1">
      <c r="A492" s="64">
        <f>SUBTOTAL(3,C$2:C492)</f>
        <v>467</v>
      </c>
      <c r="B492" s="64" t="s">
        <v>1086</v>
      </c>
      <c r="C492" s="64" t="s">
        <v>44</v>
      </c>
      <c r="D492" s="64" t="s">
        <v>32</v>
      </c>
      <c r="E492" s="64" t="s">
        <v>33</v>
      </c>
      <c r="F492" s="52" t="s">
        <v>574</v>
      </c>
      <c r="G492" s="91" t="s">
        <v>46</v>
      </c>
      <c r="H492" s="98" t="s">
        <v>1052</v>
      </c>
      <c r="I492" s="65">
        <v>46145</v>
      </c>
      <c r="J492" s="64">
        <f t="shared" ca="1" si="991"/>
        <v>39</v>
      </c>
      <c r="K492" s="64">
        <f t="shared" si="992"/>
        <v>46163</v>
      </c>
      <c r="L492" s="52" t="s">
        <v>1024</v>
      </c>
      <c r="M492" s="64">
        <v>19000</v>
      </c>
      <c r="N492" s="64">
        <v>17000</v>
      </c>
      <c r="O492" s="65">
        <v>46146</v>
      </c>
      <c r="P492" s="64">
        <f t="shared" si="993"/>
        <v>2000</v>
      </c>
      <c r="Q492" s="64" t="s">
        <v>33</v>
      </c>
      <c r="R492" s="64" t="s">
        <v>39</v>
      </c>
      <c r="S492" s="64">
        <v>21800</v>
      </c>
      <c r="T492" s="64" t="s">
        <v>2189</v>
      </c>
      <c r="U492" s="65">
        <v>46163</v>
      </c>
      <c r="V492" s="64" t="s">
        <v>28</v>
      </c>
      <c r="W492" s="64">
        <f t="shared" si="994"/>
        <v>2800</v>
      </c>
      <c r="X492" s="64" t="s">
        <v>36</v>
      </c>
      <c r="Y492" s="64" t="s">
        <v>29</v>
      </c>
      <c r="Z492" s="71">
        <f t="shared" si="995"/>
        <v>14.736842105263158</v>
      </c>
      <c r="AA492" s="93"/>
    </row>
    <row r="493" spans="1:27" hidden="1">
      <c r="A493" s="64">
        <f>SUBTOTAL(3,C$2:C493)</f>
        <v>467</v>
      </c>
      <c r="B493" s="64" t="s">
        <v>1086</v>
      </c>
      <c r="C493" s="64" t="s">
        <v>44</v>
      </c>
      <c r="D493" s="64" t="s">
        <v>32</v>
      </c>
      <c r="E493" s="64" t="s">
        <v>33</v>
      </c>
      <c r="F493" s="52" t="s">
        <v>391</v>
      </c>
      <c r="G493" s="91" t="s">
        <v>46</v>
      </c>
      <c r="H493" s="98" t="s">
        <v>1053</v>
      </c>
      <c r="I493" s="65">
        <v>46145</v>
      </c>
      <c r="J493" s="64">
        <f t="shared" ref="J493:J494" ca="1" si="996">+TODAY()-I493</f>
        <v>39</v>
      </c>
      <c r="K493" s="64">
        <f t="shared" ref="K493:K494" si="997">+U493</f>
        <v>46162</v>
      </c>
      <c r="L493" s="52" t="s">
        <v>1024</v>
      </c>
      <c r="M493" s="64">
        <v>19000</v>
      </c>
      <c r="N493" s="64">
        <v>17000</v>
      </c>
      <c r="O493" s="65">
        <v>46146</v>
      </c>
      <c r="P493" s="64">
        <f t="shared" ref="P493:P494" si="998">+M493-N493</f>
        <v>2000</v>
      </c>
      <c r="Q493" s="64" t="s">
        <v>33</v>
      </c>
      <c r="R493" s="64" t="s">
        <v>39</v>
      </c>
      <c r="S493" s="64">
        <v>21800</v>
      </c>
      <c r="T493" s="64" t="s">
        <v>2149</v>
      </c>
      <c r="U493" s="65">
        <v>46162</v>
      </c>
      <c r="V493" s="64" t="s">
        <v>28</v>
      </c>
      <c r="W493" s="64">
        <f t="shared" ref="W493:W494" si="999">+S493-M493</f>
        <v>2800</v>
      </c>
      <c r="X493" s="64" t="s">
        <v>36</v>
      </c>
      <c r="Y493" s="64" t="s">
        <v>29</v>
      </c>
      <c r="Z493" s="71">
        <f t="shared" ref="Z493:Z494" si="1000">+W493*100/M493</f>
        <v>14.736842105263158</v>
      </c>
      <c r="AA493" s="93"/>
    </row>
    <row r="494" spans="1:27" hidden="1">
      <c r="A494" s="64">
        <f>SUBTOTAL(3,C$2:C494)</f>
        <v>467</v>
      </c>
      <c r="B494" s="64" t="s">
        <v>1086</v>
      </c>
      <c r="C494" s="64" t="s">
        <v>31</v>
      </c>
      <c r="D494" s="64" t="s">
        <v>32</v>
      </c>
      <c r="E494" s="64" t="s">
        <v>33</v>
      </c>
      <c r="F494" s="52" t="s">
        <v>1025</v>
      </c>
      <c r="G494" s="91" t="s">
        <v>34</v>
      </c>
      <c r="H494" s="70" t="s">
        <v>1054</v>
      </c>
      <c r="I494" s="65">
        <v>46145</v>
      </c>
      <c r="J494" s="64">
        <f t="shared" ca="1" si="996"/>
        <v>39</v>
      </c>
      <c r="K494" s="64" t="str">
        <f t="shared" si="997"/>
        <v>Pending</v>
      </c>
      <c r="L494" s="52" t="s">
        <v>111</v>
      </c>
      <c r="M494" s="64">
        <v>11700</v>
      </c>
      <c r="N494" s="64">
        <v>10700</v>
      </c>
      <c r="O494" s="65">
        <v>46146</v>
      </c>
      <c r="P494" s="64">
        <f t="shared" si="998"/>
        <v>1000</v>
      </c>
      <c r="Q494" s="64" t="s">
        <v>33</v>
      </c>
      <c r="R494" s="64" t="s">
        <v>112</v>
      </c>
      <c r="S494" s="64">
        <v>13500</v>
      </c>
      <c r="T494" s="64" t="s">
        <v>33</v>
      </c>
      <c r="U494" s="65" t="s">
        <v>33</v>
      </c>
      <c r="V494" s="64" t="s">
        <v>28</v>
      </c>
      <c r="W494" s="64">
        <f t="shared" si="999"/>
        <v>1800</v>
      </c>
      <c r="X494" s="64" t="s">
        <v>963</v>
      </c>
      <c r="Y494" s="64" t="s">
        <v>29</v>
      </c>
      <c r="Z494" s="71">
        <f t="shared" si="1000"/>
        <v>15.384615384615385</v>
      </c>
      <c r="AA494" s="93"/>
    </row>
    <row r="495" spans="1:27" hidden="1">
      <c r="A495" s="64">
        <f>SUBTOTAL(3,C$2:C495)</f>
        <v>467</v>
      </c>
      <c r="B495" s="64" t="s">
        <v>1086</v>
      </c>
      <c r="C495" s="64" t="s">
        <v>44</v>
      </c>
      <c r="D495" s="64" t="s">
        <v>32</v>
      </c>
      <c r="E495" s="64" t="s">
        <v>33</v>
      </c>
      <c r="F495" s="52" t="s">
        <v>331</v>
      </c>
      <c r="G495" s="91">
        <v>407</v>
      </c>
      <c r="H495" s="98" t="s">
        <v>1055</v>
      </c>
      <c r="I495" s="65">
        <v>46145</v>
      </c>
      <c r="J495" s="64">
        <f t="shared" ref="J495:J497" ca="1" si="1001">+TODAY()-I495</f>
        <v>39</v>
      </c>
      <c r="K495" s="64" t="str">
        <f t="shared" ref="K495:K497" si="1002">+U495</f>
        <v>Pending</v>
      </c>
      <c r="L495" s="52" t="s">
        <v>687</v>
      </c>
      <c r="M495" s="64">
        <v>29500</v>
      </c>
      <c r="N495" s="64">
        <v>27500</v>
      </c>
      <c r="O495" s="65">
        <v>46146</v>
      </c>
      <c r="P495" s="64">
        <f t="shared" ref="P495:P497" si="1003">+M495-N495</f>
        <v>2000</v>
      </c>
      <c r="Q495" s="64" t="s">
        <v>33</v>
      </c>
      <c r="R495" s="64" t="s">
        <v>37</v>
      </c>
      <c r="S495" s="64">
        <v>33000</v>
      </c>
      <c r="T495" s="64" t="s">
        <v>33</v>
      </c>
      <c r="U495" s="65" t="s">
        <v>33</v>
      </c>
      <c r="V495" s="64" t="s">
        <v>28</v>
      </c>
      <c r="W495" s="64">
        <f t="shared" ref="W495:W497" si="1004">+S495-M495</f>
        <v>3500</v>
      </c>
      <c r="X495" s="64" t="s">
        <v>36</v>
      </c>
      <c r="Y495" s="64" t="s">
        <v>29</v>
      </c>
      <c r="Z495" s="71">
        <f t="shared" ref="Z495:Z497" si="1005">+W495*100/M495</f>
        <v>11.864406779661017</v>
      </c>
      <c r="AA495" s="93"/>
    </row>
    <row r="496" spans="1:27" hidden="1">
      <c r="A496" s="64">
        <f>SUBTOTAL(3,C$2:C496)</f>
        <v>467</v>
      </c>
      <c r="B496" s="64" t="s">
        <v>1086</v>
      </c>
      <c r="C496" s="64" t="s">
        <v>94</v>
      </c>
      <c r="D496" s="64" t="s">
        <v>32</v>
      </c>
      <c r="E496" s="64" t="s">
        <v>33</v>
      </c>
      <c r="F496" s="52" t="s">
        <v>95</v>
      </c>
      <c r="G496" s="91" t="s">
        <v>67</v>
      </c>
      <c r="H496" s="98" t="s">
        <v>1056</v>
      </c>
      <c r="I496" s="65">
        <v>46145</v>
      </c>
      <c r="J496" s="64">
        <f t="shared" ca="1" si="1001"/>
        <v>39</v>
      </c>
      <c r="K496" s="64">
        <f t="shared" si="1002"/>
        <v>46169</v>
      </c>
      <c r="L496" s="52" t="s">
        <v>97</v>
      </c>
      <c r="M496" s="64">
        <f>3000+38500</f>
        <v>41500</v>
      </c>
      <c r="N496" s="64">
        <v>35500</v>
      </c>
      <c r="O496" s="65">
        <v>46146</v>
      </c>
      <c r="P496" s="64">
        <f t="shared" si="1003"/>
        <v>6000</v>
      </c>
      <c r="Q496" s="64" t="s">
        <v>33</v>
      </c>
      <c r="R496" s="64" t="s">
        <v>52</v>
      </c>
      <c r="S496" s="64">
        <f>5000+42000</f>
        <v>47000</v>
      </c>
      <c r="T496" s="64" t="s">
        <v>2675</v>
      </c>
      <c r="U496" s="65">
        <v>46169</v>
      </c>
      <c r="V496" s="64" t="s">
        <v>28</v>
      </c>
      <c r="W496" s="64">
        <f t="shared" si="1004"/>
        <v>5500</v>
      </c>
      <c r="X496" s="64" t="s">
        <v>36</v>
      </c>
      <c r="Y496" s="64" t="s">
        <v>29</v>
      </c>
      <c r="Z496" s="71">
        <f t="shared" si="1005"/>
        <v>13.253012048192771</v>
      </c>
      <c r="AA496" s="93"/>
    </row>
    <row r="497" spans="1:27" hidden="1">
      <c r="A497" s="64">
        <f>SUBTOTAL(3,C$2:C497)</f>
        <v>467</v>
      </c>
      <c r="B497" s="64" t="s">
        <v>1086</v>
      </c>
      <c r="C497" s="64" t="s">
        <v>31</v>
      </c>
      <c r="D497" s="64" t="s">
        <v>32</v>
      </c>
      <c r="E497" s="64" t="s">
        <v>33</v>
      </c>
      <c r="F497" s="52" t="s">
        <v>1026</v>
      </c>
      <c r="G497" s="91" t="s">
        <v>34</v>
      </c>
      <c r="H497" s="70" t="s">
        <v>1057</v>
      </c>
      <c r="I497" s="65">
        <v>46145</v>
      </c>
      <c r="J497" s="64">
        <f t="shared" ca="1" si="1001"/>
        <v>39</v>
      </c>
      <c r="K497" s="64" t="str">
        <f t="shared" si="1002"/>
        <v>Pending</v>
      </c>
      <c r="L497" s="52" t="s">
        <v>355</v>
      </c>
      <c r="M497" s="64">
        <v>19000</v>
      </c>
      <c r="N497" s="64">
        <v>17000</v>
      </c>
      <c r="O497" s="65">
        <v>46146</v>
      </c>
      <c r="P497" s="64">
        <f t="shared" si="1003"/>
        <v>2000</v>
      </c>
      <c r="Q497" s="64" t="s">
        <v>33</v>
      </c>
      <c r="R497" s="64" t="s">
        <v>39</v>
      </c>
      <c r="S497" s="64">
        <v>21800</v>
      </c>
      <c r="T497" s="64" t="s">
        <v>33</v>
      </c>
      <c r="U497" s="65" t="s">
        <v>33</v>
      </c>
      <c r="V497" s="64" t="s">
        <v>28</v>
      </c>
      <c r="W497" s="64">
        <f t="shared" si="1004"/>
        <v>2800</v>
      </c>
      <c r="X497" s="64" t="s">
        <v>963</v>
      </c>
      <c r="Y497" s="64" t="s">
        <v>29</v>
      </c>
      <c r="Z497" s="71">
        <f t="shared" si="1005"/>
        <v>14.736842105263158</v>
      </c>
      <c r="AA497" s="93"/>
    </row>
    <row r="498" spans="1:27" hidden="1">
      <c r="A498" s="64">
        <f>SUBTOTAL(3,C$2:C498)</f>
        <v>467</v>
      </c>
      <c r="B498" s="64" t="s">
        <v>1086</v>
      </c>
      <c r="C498" s="64" t="s">
        <v>44</v>
      </c>
      <c r="D498" s="64" t="s">
        <v>32</v>
      </c>
      <c r="E498" s="64" t="s">
        <v>33</v>
      </c>
      <c r="F498" s="52" t="s">
        <v>45</v>
      </c>
      <c r="G498" s="91" t="s">
        <v>46</v>
      </c>
      <c r="H498" s="98" t="s">
        <v>1058</v>
      </c>
      <c r="I498" s="65">
        <v>46145</v>
      </c>
      <c r="J498" s="64">
        <f t="shared" ref="J498" ca="1" si="1006">+TODAY()-I498</f>
        <v>39</v>
      </c>
      <c r="K498" s="64" t="str">
        <f t="shared" ref="K498" si="1007">+U498</f>
        <v>Pending</v>
      </c>
      <c r="L498" s="52" t="s">
        <v>445</v>
      </c>
      <c r="M498" s="64">
        <v>23300</v>
      </c>
      <c r="N498" s="64">
        <v>21300</v>
      </c>
      <c r="O498" s="65">
        <v>46146</v>
      </c>
      <c r="P498" s="64">
        <f t="shared" ref="P498" si="1008">+M498-N498</f>
        <v>2000</v>
      </c>
      <c r="Q498" s="64" t="s">
        <v>33</v>
      </c>
      <c r="R498" s="64" t="s">
        <v>39</v>
      </c>
      <c r="S498" s="64">
        <v>26000</v>
      </c>
      <c r="T498" s="64" t="s">
        <v>33</v>
      </c>
      <c r="U498" s="65" t="s">
        <v>33</v>
      </c>
      <c r="V498" s="64" t="s">
        <v>28</v>
      </c>
      <c r="W498" s="64">
        <f t="shared" ref="W498" si="1009">+S498-M498</f>
        <v>2700</v>
      </c>
      <c r="X498" s="64" t="s">
        <v>36</v>
      </c>
      <c r="Y498" s="64" t="s">
        <v>29</v>
      </c>
      <c r="Z498" s="71">
        <f t="shared" ref="Z498" si="1010">+W498*100/M498</f>
        <v>11.587982832618026</v>
      </c>
      <c r="AA498" s="93"/>
    </row>
    <row r="499" spans="1:27" hidden="1">
      <c r="A499" s="64">
        <f>SUBTOTAL(3,C$2:C499)</f>
        <v>467</v>
      </c>
      <c r="B499" s="64" t="s">
        <v>1086</v>
      </c>
      <c r="C499" s="64" t="s">
        <v>44</v>
      </c>
      <c r="D499" s="64" t="s">
        <v>32</v>
      </c>
      <c r="E499" s="64" t="s">
        <v>33</v>
      </c>
      <c r="F499" s="52" t="s">
        <v>1027</v>
      </c>
      <c r="G499" s="91">
        <v>407</v>
      </c>
      <c r="H499" s="98" t="s">
        <v>1059</v>
      </c>
      <c r="I499" s="65">
        <v>46145</v>
      </c>
      <c r="J499" s="64">
        <f t="shared" ref="J499" ca="1" si="1011">+TODAY()-I499</f>
        <v>39</v>
      </c>
      <c r="K499" s="64">
        <f t="shared" ref="K499" si="1012">+U499</f>
        <v>46163</v>
      </c>
      <c r="L499" s="52" t="s">
        <v>1028</v>
      </c>
      <c r="M499" s="64">
        <v>27000</v>
      </c>
      <c r="N499" s="64">
        <v>25000</v>
      </c>
      <c r="O499" s="65">
        <v>46146</v>
      </c>
      <c r="P499" s="64">
        <f t="shared" ref="P499" si="1013">+M499-N499</f>
        <v>2000</v>
      </c>
      <c r="Q499" s="64" t="s">
        <v>33</v>
      </c>
      <c r="R499" s="64" t="s">
        <v>56</v>
      </c>
      <c r="S499" s="64">
        <v>29800</v>
      </c>
      <c r="T499" s="64" t="s">
        <v>2185</v>
      </c>
      <c r="U499" s="65">
        <v>46163</v>
      </c>
      <c r="V499" s="64" t="s">
        <v>28</v>
      </c>
      <c r="W499" s="64">
        <f t="shared" ref="W499" si="1014">+S499-M499</f>
        <v>2800</v>
      </c>
      <c r="X499" s="64" t="s">
        <v>36</v>
      </c>
      <c r="Y499" s="64" t="s">
        <v>29</v>
      </c>
      <c r="Z499" s="71">
        <f t="shared" ref="Z499" si="1015">+W499*100/M499</f>
        <v>10.37037037037037</v>
      </c>
      <c r="AA499" s="93"/>
    </row>
    <row r="500" spans="1:27" hidden="1">
      <c r="A500" s="64">
        <f>SUBTOTAL(3,C$2:C500)</f>
        <v>467</v>
      </c>
      <c r="B500" s="64" t="s">
        <v>1086</v>
      </c>
      <c r="C500" s="64" t="s">
        <v>44</v>
      </c>
      <c r="D500" s="64" t="s">
        <v>32</v>
      </c>
      <c r="E500" s="64" t="s">
        <v>33</v>
      </c>
      <c r="F500" s="52" t="s">
        <v>1029</v>
      </c>
      <c r="G500" s="91">
        <v>407</v>
      </c>
      <c r="H500" s="98" t="s">
        <v>1060</v>
      </c>
      <c r="I500" s="65">
        <v>46145</v>
      </c>
      <c r="J500" s="64">
        <f t="shared" ref="J500" ca="1" si="1016">+TODAY()-I500</f>
        <v>39</v>
      </c>
      <c r="K500" s="64" t="str">
        <f t="shared" ref="K500" si="1017">+U500</f>
        <v>Pending</v>
      </c>
      <c r="L500" s="52" t="s">
        <v>1028</v>
      </c>
      <c r="M500" s="64">
        <v>27000</v>
      </c>
      <c r="N500" s="64">
        <v>25000</v>
      </c>
      <c r="O500" s="65">
        <v>46146</v>
      </c>
      <c r="P500" s="64">
        <f t="shared" ref="P500" si="1018">+M500-N500</f>
        <v>2000</v>
      </c>
      <c r="Q500" s="64" t="s">
        <v>33</v>
      </c>
      <c r="R500" s="64" t="s">
        <v>78</v>
      </c>
      <c r="S500" s="64">
        <v>29800</v>
      </c>
      <c r="T500" s="64" t="s">
        <v>33</v>
      </c>
      <c r="U500" s="65" t="s">
        <v>33</v>
      </c>
      <c r="V500" s="64" t="s">
        <v>28</v>
      </c>
      <c r="W500" s="64">
        <f t="shared" ref="W500" si="1019">+S500-M500</f>
        <v>2800</v>
      </c>
      <c r="X500" s="64" t="s">
        <v>36</v>
      </c>
      <c r="Y500" s="64" t="s">
        <v>29</v>
      </c>
      <c r="Z500" s="71">
        <f t="shared" ref="Z500" si="1020">+W500*100/M500</f>
        <v>10.37037037037037</v>
      </c>
      <c r="AA500" s="93"/>
    </row>
    <row r="501" spans="1:27" hidden="1">
      <c r="A501" s="64">
        <f>SUBTOTAL(3,C$2:C501)</f>
        <v>467</v>
      </c>
      <c r="B501" s="64" t="s">
        <v>1086</v>
      </c>
      <c r="C501" s="64" t="s">
        <v>44</v>
      </c>
      <c r="D501" s="64" t="s">
        <v>32</v>
      </c>
      <c r="E501" s="64" t="s">
        <v>33</v>
      </c>
      <c r="F501" s="52" t="s">
        <v>1030</v>
      </c>
      <c r="G501" s="91">
        <v>407</v>
      </c>
      <c r="H501" s="98" t="s">
        <v>1061</v>
      </c>
      <c r="I501" s="65">
        <v>46145</v>
      </c>
      <c r="J501" s="64">
        <f t="shared" ref="J501" ca="1" si="1021">+TODAY()-I501</f>
        <v>39</v>
      </c>
      <c r="K501" s="64">
        <f t="shared" ref="K501" si="1022">+U501</f>
        <v>46163</v>
      </c>
      <c r="L501" s="52" t="s">
        <v>381</v>
      </c>
      <c r="M501" s="64">
        <v>28000</v>
      </c>
      <c r="N501" s="64">
        <v>25000</v>
      </c>
      <c r="O501" s="65">
        <v>46146</v>
      </c>
      <c r="P501" s="64">
        <f t="shared" ref="P501" si="1023">+M501-N501</f>
        <v>3000</v>
      </c>
      <c r="Q501" s="64" t="s">
        <v>33</v>
      </c>
      <c r="R501" s="64" t="s">
        <v>56</v>
      </c>
      <c r="S501" s="64">
        <v>30800</v>
      </c>
      <c r="T501" s="64" t="s">
        <v>2182</v>
      </c>
      <c r="U501" s="65">
        <v>46163</v>
      </c>
      <c r="V501" s="64" t="s">
        <v>28</v>
      </c>
      <c r="W501" s="64">
        <f t="shared" ref="W501" si="1024">+S501-M501</f>
        <v>2800</v>
      </c>
      <c r="X501" s="64" t="s">
        <v>36</v>
      </c>
      <c r="Y501" s="64" t="s">
        <v>29</v>
      </c>
      <c r="Z501" s="71">
        <f t="shared" ref="Z501" si="1025">+W501*100/M501</f>
        <v>10</v>
      </c>
      <c r="AA501" s="93"/>
    </row>
    <row r="502" spans="1:27" hidden="1">
      <c r="A502" s="64">
        <f>SUBTOTAL(3,C$2:C502)</f>
        <v>467</v>
      </c>
      <c r="B502" s="64" t="s">
        <v>1086</v>
      </c>
      <c r="C502" s="64" t="s">
        <v>44</v>
      </c>
      <c r="D502" s="64" t="s">
        <v>32</v>
      </c>
      <c r="E502" s="64" t="s">
        <v>33</v>
      </c>
      <c r="F502" s="52" t="s">
        <v>81</v>
      </c>
      <c r="G502" s="91">
        <v>407</v>
      </c>
      <c r="H502" s="98" t="s">
        <v>1062</v>
      </c>
      <c r="I502" s="65">
        <v>46146</v>
      </c>
      <c r="J502" s="64">
        <f t="shared" ref="J502:J503" ca="1" si="1026">+TODAY()-I502</f>
        <v>38</v>
      </c>
      <c r="K502" s="64">
        <f t="shared" ref="K502:K503" si="1027">+U502</f>
        <v>46169</v>
      </c>
      <c r="L502" s="52" t="s">
        <v>492</v>
      </c>
      <c r="M502" s="64">
        <v>23000</v>
      </c>
      <c r="N502" s="64">
        <v>23000</v>
      </c>
      <c r="O502" s="65">
        <v>46146</v>
      </c>
      <c r="P502" s="64">
        <f t="shared" ref="P502:P503" si="1028">+M502-N502</f>
        <v>0</v>
      </c>
      <c r="Q502" s="64" t="s">
        <v>33</v>
      </c>
      <c r="R502" s="64" t="s">
        <v>39</v>
      </c>
      <c r="S502" s="64">
        <v>25200</v>
      </c>
      <c r="T502" s="64" t="s">
        <v>2656</v>
      </c>
      <c r="U502" s="65">
        <v>46169</v>
      </c>
      <c r="V502" s="64" t="s">
        <v>28</v>
      </c>
      <c r="W502" s="64">
        <f t="shared" ref="W502:W503" si="1029">+S502-M502</f>
        <v>2200</v>
      </c>
      <c r="X502" s="64" t="s">
        <v>36</v>
      </c>
      <c r="Y502" s="64" t="s">
        <v>29</v>
      </c>
      <c r="Z502" s="71">
        <f t="shared" ref="Z502:Z503" si="1030">+W502*100/M502</f>
        <v>9.5652173913043477</v>
      </c>
      <c r="AA502" s="93"/>
    </row>
    <row r="503" spans="1:27" hidden="1">
      <c r="A503" s="64">
        <f>SUBTOTAL(3,C$2:C503)</f>
        <v>467</v>
      </c>
      <c r="B503" s="64" t="s">
        <v>1086</v>
      </c>
      <c r="C503" s="64" t="s">
        <v>31</v>
      </c>
      <c r="D503" s="64" t="s">
        <v>32</v>
      </c>
      <c r="E503" s="64" t="s">
        <v>33</v>
      </c>
      <c r="F503" s="52" t="s">
        <v>147</v>
      </c>
      <c r="G503" s="91" t="s">
        <v>34</v>
      </c>
      <c r="H503" s="98" t="s">
        <v>1063</v>
      </c>
      <c r="I503" s="65">
        <v>46145</v>
      </c>
      <c r="J503" s="64">
        <f t="shared" ca="1" si="1026"/>
        <v>39</v>
      </c>
      <c r="K503" s="64">
        <f t="shared" si="1027"/>
        <v>46162</v>
      </c>
      <c r="L503" s="52" t="s">
        <v>355</v>
      </c>
      <c r="M503" s="64">
        <v>19000</v>
      </c>
      <c r="N503" s="64">
        <v>17000</v>
      </c>
      <c r="O503" s="65">
        <v>46146</v>
      </c>
      <c r="P503" s="64">
        <f t="shared" si="1028"/>
        <v>2000</v>
      </c>
      <c r="Q503" s="64" t="s">
        <v>33</v>
      </c>
      <c r="R503" s="64" t="s">
        <v>39</v>
      </c>
      <c r="S503" s="64">
        <v>21800</v>
      </c>
      <c r="T503" s="64" t="s">
        <v>2149</v>
      </c>
      <c r="U503" s="65">
        <v>46162</v>
      </c>
      <c r="V503" s="64" t="s">
        <v>28</v>
      </c>
      <c r="W503" s="64">
        <f t="shared" si="1029"/>
        <v>2800</v>
      </c>
      <c r="X503" s="64" t="s">
        <v>963</v>
      </c>
      <c r="Y503" s="64" t="s">
        <v>29</v>
      </c>
      <c r="Z503" s="71">
        <f t="shared" si="1030"/>
        <v>14.736842105263158</v>
      </c>
      <c r="AA503" s="93"/>
    </row>
    <row r="504" spans="1:27" hidden="1">
      <c r="A504" s="64">
        <f>SUBTOTAL(3,C$2:C504)</f>
        <v>467</v>
      </c>
      <c r="B504" s="64" t="s">
        <v>1086</v>
      </c>
      <c r="C504" s="64" t="s">
        <v>1031</v>
      </c>
      <c r="D504" s="64" t="s">
        <v>32</v>
      </c>
      <c r="E504" s="64" t="s">
        <v>33</v>
      </c>
      <c r="F504" s="52" t="s">
        <v>931</v>
      </c>
      <c r="G504" s="91" t="s">
        <v>34</v>
      </c>
      <c r="H504" s="98" t="s">
        <v>1064</v>
      </c>
      <c r="I504" s="65">
        <v>46145</v>
      </c>
      <c r="J504" s="64">
        <f t="shared" ref="J504:J506" ca="1" si="1031">+TODAY()-I504</f>
        <v>39</v>
      </c>
      <c r="K504" s="64">
        <f t="shared" ref="K504:K506" si="1032">+U504</f>
        <v>46162</v>
      </c>
      <c r="L504" s="52" t="s">
        <v>355</v>
      </c>
      <c r="M504" s="64">
        <v>19000</v>
      </c>
      <c r="N504" s="64">
        <v>17000</v>
      </c>
      <c r="O504" s="65">
        <v>46146</v>
      </c>
      <c r="P504" s="64">
        <f t="shared" ref="P504:P506" si="1033">+M504-N504</f>
        <v>2000</v>
      </c>
      <c r="Q504" s="64" t="s">
        <v>33</v>
      </c>
      <c r="R504" s="64" t="s">
        <v>39</v>
      </c>
      <c r="S504" s="64">
        <v>21800</v>
      </c>
      <c r="T504" s="64" t="s">
        <v>2149</v>
      </c>
      <c r="U504" s="65">
        <v>46162</v>
      </c>
      <c r="V504" s="64" t="s">
        <v>28</v>
      </c>
      <c r="W504" s="64">
        <f t="shared" ref="W504:W506" si="1034">+S504-M504</f>
        <v>2800</v>
      </c>
      <c r="X504" s="64" t="s">
        <v>963</v>
      </c>
      <c r="Y504" s="64" t="s">
        <v>29</v>
      </c>
      <c r="Z504" s="71">
        <f t="shared" ref="Z504:Z506" si="1035">+W504*100/M504</f>
        <v>14.736842105263158</v>
      </c>
      <c r="AA504" s="93"/>
    </row>
    <row r="505" spans="1:27" hidden="1">
      <c r="A505" s="64">
        <f>SUBTOTAL(3,C$2:C505)</f>
        <v>467</v>
      </c>
      <c r="B505" s="64" t="s">
        <v>1086</v>
      </c>
      <c r="C505" s="64" t="s">
        <v>31</v>
      </c>
      <c r="D505" s="64" t="s">
        <v>32</v>
      </c>
      <c r="E505" s="64" t="s">
        <v>33</v>
      </c>
      <c r="F505" s="52" t="s">
        <v>1032</v>
      </c>
      <c r="G505" s="91" t="s">
        <v>34</v>
      </c>
      <c r="H505" s="98" t="s">
        <v>1065</v>
      </c>
      <c r="I505" s="65">
        <v>46145</v>
      </c>
      <c r="J505" s="64">
        <f t="shared" ca="1" si="1031"/>
        <v>39</v>
      </c>
      <c r="K505" s="64" t="str">
        <f t="shared" si="1032"/>
        <v>Pending</v>
      </c>
      <c r="L505" s="52" t="s">
        <v>519</v>
      </c>
      <c r="M505" s="64">
        <v>18300</v>
      </c>
      <c r="N505" s="64">
        <v>16500</v>
      </c>
      <c r="O505" s="65">
        <v>46146</v>
      </c>
      <c r="P505" s="64">
        <f t="shared" si="1033"/>
        <v>1800</v>
      </c>
      <c r="Q505" s="64" t="s">
        <v>33</v>
      </c>
      <c r="R505" s="64" t="s">
        <v>37</v>
      </c>
      <c r="S505" s="64">
        <v>21500</v>
      </c>
      <c r="T505" s="64" t="s">
        <v>33</v>
      </c>
      <c r="U505" s="65" t="s">
        <v>33</v>
      </c>
      <c r="V505" s="64" t="s">
        <v>28</v>
      </c>
      <c r="W505" s="64">
        <f t="shared" si="1034"/>
        <v>3200</v>
      </c>
      <c r="X505" s="64" t="s">
        <v>963</v>
      </c>
      <c r="Y505" s="64" t="s">
        <v>29</v>
      </c>
      <c r="Z505" s="71">
        <f t="shared" si="1035"/>
        <v>17.486338797814209</v>
      </c>
      <c r="AA505" s="93"/>
    </row>
    <row r="506" spans="1:27" hidden="1">
      <c r="A506" s="64">
        <f>SUBTOTAL(3,C$2:C506)</f>
        <v>467</v>
      </c>
      <c r="B506" s="64" t="s">
        <v>1086</v>
      </c>
      <c r="C506" s="64" t="s">
        <v>227</v>
      </c>
      <c r="D506" s="64" t="s">
        <v>32</v>
      </c>
      <c r="E506" s="64" t="s">
        <v>33</v>
      </c>
      <c r="F506" s="52" t="s">
        <v>228</v>
      </c>
      <c r="G506" s="91" t="s">
        <v>67</v>
      </c>
      <c r="H506" s="70" t="s">
        <v>1066</v>
      </c>
      <c r="I506" s="65">
        <v>46145</v>
      </c>
      <c r="J506" s="64">
        <f t="shared" ca="1" si="1031"/>
        <v>39</v>
      </c>
      <c r="K506" s="64" t="str">
        <f t="shared" si="1032"/>
        <v>Pending</v>
      </c>
      <c r="L506" s="52" t="s">
        <v>229</v>
      </c>
      <c r="M506" s="64">
        <v>17800</v>
      </c>
      <c r="N506" s="64">
        <v>15800</v>
      </c>
      <c r="O506" s="65">
        <v>46146</v>
      </c>
      <c r="P506" s="64">
        <f t="shared" si="1033"/>
        <v>2000</v>
      </c>
      <c r="Q506" s="64" t="s">
        <v>33</v>
      </c>
      <c r="R506" s="64" t="s">
        <v>112</v>
      </c>
      <c r="S506" s="64">
        <v>20050</v>
      </c>
      <c r="T506" s="64" t="s">
        <v>33</v>
      </c>
      <c r="U506" s="65" t="s">
        <v>33</v>
      </c>
      <c r="V506" s="64" t="s">
        <v>28</v>
      </c>
      <c r="W506" s="64">
        <f t="shared" si="1034"/>
        <v>2250</v>
      </c>
      <c r="X506" s="64" t="s">
        <v>36</v>
      </c>
      <c r="Y506" s="64" t="s">
        <v>29</v>
      </c>
      <c r="Z506" s="71">
        <f t="shared" si="1035"/>
        <v>12.640449438202246</v>
      </c>
      <c r="AA506" s="93"/>
    </row>
    <row r="507" spans="1:27" hidden="1">
      <c r="A507" s="64">
        <f>SUBTOTAL(3,C$2:C507)</f>
        <v>467</v>
      </c>
      <c r="B507" s="64" t="s">
        <v>1086</v>
      </c>
      <c r="C507" s="64" t="s">
        <v>1031</v>
      </c>
      <c r="D507" s="64" t="s">
        <v>32</v>
      </c>
      <c r="E507" s="64" t="s">
        <v>33</v>
      </c>
      <c r="F507" s="52" t="s">
        <v>1033</v>
      </c>
      <c r="G507" s="91" t="s">
        <v>34</v>
      </c>
      <c r="H507" s="98" t="s">
        <v>1067</v>
      </c>
      <c r="I507" s="65">
        <v>46145</v>
      </c>
      <c r="J507" s="64">
        <f t="shared" ref="J507:J509" ca="1" si="1036">+TODAY()-I507</f>
        <v>39</v>
      </c>
      <c r="K507" s="64" t="str">
        <f t="shared" ref="K507:K509" si="1037">+U507</f>
        <v>Pending</v>
      </c>
      <c r="L507" s="52" t="s">
        <v>1034</v>
      </c>
      <c r="M507" s="64">
        <v>18300</v>
      </c>
      <c r="N507" s="64">
        <v>16300</v>
      </c>
      <c r="O507" s="65">
        <v>46146</v>
      </c>
      <c r="P507" s="64">
        <f t="shared" ref="P507:P509" si="1038">+M507-N507</f>
        <v>2000</v>
      </c>
      <c r="Q507" s="64" t="s">
        <v>33</v>
      </c>
      <c r="R507" s="64" t="s">
        <v>2244</v>
      </c>
      <c r="S507" s="64">
        <v>21500</v>
      </c>
      <c r="T507" s="64" t="s">
        <v>33</v>
      </c>
      <c r="U507" s="65" t="s">
        <v>33</v>
      </c>
      <c r="V507" s="64" t="s">
        <v>28</v>
      </c>
      <c r="W507" s="64">
        <f t="shared" ref="W507:W509" si="1039">+S507-M507</f>
        <v>3200</v>
      </c>
      <c r="X507" s="64" t="s">
        <v>963</v>
      </c>
      <c r="Y507" s="64" t="s">
        <v>29</v>
      </c>
      <c r="Z507" s="71">
        <f t="shared" ref="Z507:Z509" si="1040">+W507*100/M507</f>
        <v>17.486338797814209</v>
      </c>
      <c r="AA507" s="93"/>
    </row>
    <row r="508" spans="1:27" hidden="1">
      <c r="A508" s="64">
        <f>SUBTOTAL(3,C$2:C508)</f>
        <v>467</v>
      </c>
      <c r="B508" s="64" t="s">
        <v>1086</v>
      </c>
      <c r="C508" s="64" t="s">
        <v>124</v>
      </c>
      <c r="D508" s="64" t="s">
        <v>32</v>
      </c>
      <c r="E508" s="64" t="s">
        <v>33</v>
      </c>
      <c r="F508" s="52" t="s">
        <v>122</v>
      </c>
      <c r="G508" s="91" t="s">
        <v>67</v>
      </c>
      <c r="H508" s="98" t="s">
        <v>1068</v>
      </c>
      <c r="I508" s="65">
        <v>46145</v>
      </c>
      <c r="J508" s="64">
        <f t="shared" ca="1" si="1036"/>
        <v>39</v>
      </c>
      <c r="K508" s="64">
        <f t="shared" si="1037"/>
        <v>46162</v>
      </c>
      <c r="L508" s="52" t="s">
        <v>1035</v>
      </c>
      <c r="M508" s="64">
        <f>3000+38500</f>
        <v>41500</v>
      </c>
      <c r="N508" s="64">
        <v>35500</v>
      </c>
      <c r="O508" s="65">
        <v>46146</v>
      </c>
      <c r="P508" s="64">
        <f t="shared" si="1038"/>
        <v>6000</v>
      </c>
      <c r="Q508" s="64" t="s">
        <v>33</v>
      </c>
      <c r="R508" s="64" t="s">
        <v>52</v>
      </c>
      <c r="S508" s="64">
        <f>5000+42000</f>
        <v>47000</v>
      </c>
      <c r="T508" s="64" t="s">
        <v>2154</v>
      </c>
      <c r="U508" s="65">
        <v>46162</v>
      </c>
      <c r="V508" s="64" t="s">
        <v>28</v>
      </c>
      <c r="W508" s="64">
        <f t="shared" si="1039"/>
        <v>5500</v>
      </c>
      <c r="X508" s="64" t="s">
        <v>36</v>
      </c>
      <c r="Y508" s="64" t="s">
        <v>29</v>
      </c>
      <c r="Z508" s="71">
        <f t="shared" si="1040"/>
        <v>13.253012048192771</v>
      </c>
      <c r="AA508" s="93"/>
    </row>
    <row r="509" spans="1:27" hidden="1">
      <c r="A509" s="64">
        <f>SUBTOTAL(3,C$2:C509)</f>
        <v>467</v>
      </c>
      <c r="B509" s="64" t="s">
        <v>1086</v>
      </c>
      <c r="C509" s="64" t="s">
        <v>31</v>
      </c>
      <c r="D509" s="64" t="s">
        <v>32</v>
      </c>
      <c r="E509" s="64" t="s">
        <v>33</v>
      </c>
      <c r="F509" s="52" t="s">
        <v>161</v>
      </c>
      <c r="G509" s="91" t="s">
        <v>34</v>
      </c>
      <c r="H509" s="98" t="s">
        <v>1069</v>
      </c>
      <c r="I509" s="65">
        <v>46146</v>
      </c>
      <c r="J509" s="64">
        <f t="shared" ca="1" si="1036"/>
        <v>38</v>
      </c>
      <c r="K509" s="64">
        <f t="shared" si="1037"/>
        <v>46162</v>
      </c>
      <c r="L509" s="52" t="s">
        <v>355</v>
      </c>
      <c r="M509" s="64">
        <v>19000</v>
      </c>
      <c r="N509" s="64">
        <v>17000</v>
      </c>
      <c r="O509" s="65">
        <v>46146</v>
      </c>
      <c r="P509" s="64">
        <f t="shared" si="1038"/>
        <v>2000</v>
      </c>
      <c r="Q509" s="64" t="s">
        <v>33</v>
      </c>
      <c r="R509" s="64" t="s">
        <v>39</v>
      </c>
      <c r="S509" s="64">
        <v>21800</v>
      </c>
      <c r="T509" s="64" t="s">
        <v>2149</v>
      </c>
      <c r="U509" s="65">
        <v>46162</v>
      </c>
      <c r="V509" s="64" t="s">
        <v>28</v>
      </c>
      <c r="W509" s="64">
        <f t="shared" si="1039"/>
        <v>2800</v>
      </c>
      <c r="X509" s="64" t="s">
        <v>963</v>
      </c>
      <c r="Y509" s="64" t="s">
        <v>29</v>
      </c>
      <c r="Z509" s="71">
        <f t="shared" si="1040"/>
        <v>14.736842105263158</v>
      </c>
      <c r="AA509" s="93"/>
    </row>
    <row r="510" spans="1:27" hidden="1">
      <c r="A510" s="64">
        <f>SUBTOTAL(3,C$2:C510)</f>
        <v>467</v>
      </c>
      <c r="B510" s="64" t="s">
        <v>1086</v>
      </c>
      <c r="C510" s="64" t="s">
        <v>1031</v>
      </c>
      <c r="D510" s="64" t="s">
        <v>32</v>
      </c>
      <c r="E510" s="64" t="s">
        <v>33</v>
      </c>
      <c r="F510" s="52" t="s">
        <v>785</v>
      </c>
      <c r="G510" s="91" t="s">
        <v>34</v>
      </c>
      <c r="H510" s="70" t="s">
        <v>1070</v>
      </c>
      <c r="I510" s="65">
        <v>46146</v>
      </c>
      <c r="J510" s="64">
        <f t="shared" ref="J510:J513" ca="1" si="1041">+TODAY()-I510</f>
        <v>38</v>
      </c>
      <c r="K510" s="64" t="str">
        <f t="shared" ref="K510:K513" si="1042">+U510</f>
        <v>Pending</v>
      </c>
      <c r="L510" s="52" t="s">
        <v>355</v>
      </c>
      <c r="M510" s="64">
        <v>19000</v>
      </c>
      <c r="N510" s="64">
        <v>17000</v>
      </c>
      <c r="O510" s="65">
        <v>46146</v>
      </c>
      <c r="P510" s="64">
        <f t="shared" ref="P510:P513" si="1043">+M510-N510</f>
        <v>2000</v>
      </c>
      <c r="Q510" s="64" t="s">
        <v>33</v>
      </c>
      <c r="R510" s="64" t="s">
        <v>39</v>
      </c>
      <c r="S510" s="64">
        <v>21800</v>
      </c>
      <c r="T510" s="64" t="s">
        <v>33</v>
      </c>
      <c r="U510" s="65" t="s">
        <v>33</v>
      </c>
      <c r="V510" s="64" t="s">
        <v>28</v>
      </c>
      <c r="W510" s="64">
        <f t="shared" ref="W510:W513" si="1044">+S510-M510</f>
        <v>2800</v>
      </c>
      <c r="X510" s="64" t="s">
        <v>963</v>
      </c>
      <c r="Y510" s="64" t="s">
        <v>29</v>
      </c>
      <c r="Z510" s="71">
        <f t="shared" ref="Z510:Z513" si="1045">+W510*100/M510</f>
        <v>14.736842105263158</v>
      </c>
      <c r="AA510" s="93"/>
    </row>
    <row r="511" spans="1:27" hidden="1">
      <c r="A511" s="64">
        <f>SUBTOTAL(3,C$2:C511)</f>
        <v>467</v>
      </c>
      <c r="B511" s="64" t="s">
        <v>1086</v>
      </c>
      <c r="C511" s="64" t="s">
        <v>44</v>
      </c>
      <c r="D511" s="64" t="s">
        <v>32</v>
      </c>
      <c r="E511" s="64" t="s">
        <v>33</v>
      </c>
      <c r="F511" s="52" t="s">
        <v>669</v>
      </c>
      <c r="G511" s="91" t="s">
        <v>46</v>
      </c>
      <c r="H511" s="98" t="s">
        <v>1071</v>
      </c>
      <c r="I511" s="65">
        <v>46146</v>
      </c>
      <c r="J511" s="64">
        <f t="shared" ca="1" si="1041"/>
        <v>38</v>
      </c>
      <c r="K511" s="64">
        <f t="shared" si="1042"/>
        <v>46162</v>
      </c>
      <c r="L511" s="52" t="s">
        <v>397</v>
      </c>
      <c r="M511" s="64">
        <v>18300</v>
      </c>
      <c r="N511" s="64">
        <v>16300</v>
      </c>
      <c r="O511" s="65">
        <v>46146</v>
      </c>
      <c r="P511" s="64">
        <f t="shared" si="1043"/>
        <v>2000</v>
      </c>
      <c r="Q511" s="64" t="s">
        <v>33</v>
      </c>
      <c r="R511" s="64" t="s">
        <v>39</v>
      </c>
      <c r="S511" s="64">
        <v>21800</v>
      </c>
      <c r="T511" s="64" t="s">
        <v>2149</v>
      </c>
      <c r="U511" s="65">
        <v>46162</v>
      </c>
      <c r="V511" s="64" t="s">
        <v>28</v>
      </c>
      <c r="W511" s="64">
        <f t="shared" si="1044"/>
        <v>3500</v>
      </c>
      <c r="X511" s="64" t="s">
        <v>36</v>
      </c>
      <c r="Y511" s="64" t="s">
        <v>29</v>
      </c>
      <c r="Z511" s="71">
        <f t="shared" si="1045"/>
        <v>19.125683060109289</v>
      </c>
      <c r="AA511" s="93"/>
    </row>
    <row r="512" spans="1:27" hidden="1">
      <c r="A512" s="64">
        <f>SUBTOTAL(3,C$2:C512)</f>
        <v>467</v>
      </c>
      <c r="B512" s="64" t="s">
        <v>1086</v>
      </c>
      <c r="C512" s="64" t="s">
        <v>1031</v>
      </c>
      <c r="D512" s="64" t="s">
        <v>32</v>
      </c>
      <c r="E512" s="64" t="s">
        <v>33</v>
      </c>
      <c r="F512" s="52" t="s">
        <v>568</v>
      </c>
      <c r="G512" s="91" t="s">
        <v>34</v>
      </c>
      <c r="H512" s="98" t="s">
        <v>1072</v>
      </c>
      <c r="I512" s="65">
        <v>46145</v>
      </c>
      <c r="J512" s="64">
        <f t="shared" ca="1" si="1041"/>
        <v>39</v>
      </c>
      <c r="K512" s="64">
        <f t="shared" si="1042"/>
        <v>46163</v>
      </c>
      <c r="L512" s="52" t="s">
        <v>1036</v>
      </c>
      <c r="M512" s="64">
        <v>18000</v>
      </c>
      <c r="N512" s="64">
        <v>16000</v>
      </c>
      <c r="O512" s="65">
        <v>46146</v>
      </c>
      <c r="P512" s="64">
        <f t="shared" si="1043"/>
        <v>2000</v>
      </c>
      <c r="Q512" s="64" t="s">
        <v>33</v>
      </c>
      <c r="R512" s="64" t="s">
        <v>1886</v>
      </c>
      <c r="S512" s="64">
        <v>20500</v>
      </c>
      <c r="T512" s="64" t="s">
        <v>2184</v>
      </c>
      <c r="U512" s="65">
        <v>46163</v>
      </c>
      <c r="V512" s="64" t="s">
        <v>28</v>
      </c>
      <c r="W512" s="64">
        <f t="shared" si="1044"/>
        <v>2500</v>
      </c>
      <c r="X512" s="64" t="s">
        <v>963</v>
      </c>
      <c r="Y512" s="64" t="s">
        <v>29</v>
      </c>
      <c r="Z512" s="71">
        <f t="shared" si="1045"/>
        <v>13.888888888888889</v>
      </c>
      <c r="AA512" s="93"/>
    </row>
    <row r="513" spans="1:27" hidden="1">
      <c r="A513" s="64">
        <f>SUBTOTAL(3,C$2:C513)</f>
        <v>467</v>
      </c>
      <c r="B513" s="64" t="s">
        <v>1086</v>
      </c>
      <c r="C513" s="64" t="s">
        <v>31</v>
      </c>
      <c r="D513" s="64" t="s">
        <v>32</v>
      </c>
      <c r="E513" s="64" t="s">
        <v>33</v>
      </c>
      <c r="F513" s="52" t="s">
        <v>298</v>
      </c>
      <c r="G513" s="91" t="s">
        <v>34</v>
      </c>
      <c r="H513" s="98" t="s">
        <v>1073</v>
      </c>
      <c r="I513" s="65">
        <v>46146</v>
      </c>
      <c r="J513" s="64">
        <f t="shared" ca="1" si="1041"/>
        <v>38</v>
      </c>
      <c r="K513" s="64">
        <f t="shared" si="1042"/>
        <v>46169</v>
      </c>
      <c r="L513" s="52" t="s">
        <v>355</v>
      </c>
      <c r="M513" s="64">
        <v>19000</v>
      </c>
      <c r="N513" s="64">
        <v>17000</v>
      </c>
      <c r="O513" s="65">
        <v>46146</v>
      </c>
      <c r="P513" s="64">
        <f t="shared" si="1043"/>
        <v>2000</v>
      </c>
      <c r="Q513" s="64" t="s">
        <v>33</v>
      </c>
      <c r="R513" s="64" t="s">
        <v>39</v>
      </c>
      <c r="S513" s="64">
        <v>21800</v>
      </c>
      <c r="T513" s="64" t="s">
        <v>2674</v>
      </c>
      <c r="U513" s="65">
        <v>46169</v>
      </c>
      <c r="V513" s="64" t="s">
        <v>28</v>
      </c>
      <c r="W513" s="64">
        <f t="shared" si="1044"/>
        <v>2800</v>
      </c>
      <c r="X513" s="64" t="s">
        <v>963</v>
      </c>
      <c r="Y513" s="64" t="s">
        <v>29</v>
      </c>
      <c r="Z513" s="71">
        <f t="shared" si="1045"/>
        <v>14.736842105263158</v>
      </c>
      <c r="AA513" s="93"/>
    </row>
    <row r="514" spans="1:27" hidden="1">
      <c r="A514" s="64">
        <f>SUBTOTAL(3,C$2:C514)</f>
        <v>467</v>
      </c>
      <c r="B514" s="64" t="s">
        <v>1086</v>
      </c>
      <c r="C514" s="64" t="s">
        <v>1031</v>
      </c>
      <c r="D514" s="64" t="s">
        <v>32</v>
      </c>
      <c r="E514" s="64" t="s">
        <v>33</v>
      </c>
      <c r="F514" s="52" t="s">
        <v>128</v>
      </c>
      <c r="G514" s="91" t="s">
        <v>34</v>
      </c>
      <c r="H514" s="98" t="s">
        <v>1074</v>
      </c>
      <c r="I514" s="65">
        <v>46146</v>
      </c>
      <c r="J514" s="64">
        <f t="shared" ref="J514" ca="1" si="1046">+TODAY()-I514</f>
        <v>38</v>
      </c>
      <c r="K514" s="64">
        <f t="shared" ref="K514" si="1047">+U514</f>
        <v>46163</v>
      </c>
      <c r="L514" s="52" t="s">
        <v>1036</v>
      </c>
      <c r="M514" s="64">
        <v>18000</v>
      </c>
      <c r="N514" s="64">
        <v>16000</v>
      </c>
      <c r="O514" s="65">
        <v>46146</v>
      </c>
      <c r="P514" s="64">
        <f t="shared" ref="P514" si="1048">+M514-N514</f>
        <v>2000</v>
      </c>
      <c r="Q514" s="64" t="s">
        <v>33</v>
      </c>
      <c r="R514" s="64" t="s">
        <v>1886</v>
      </c>
      <c r="S514" s="64">
        <v>20500</v>
      </c>
      <c r="T514" s="64" t="s">
        <v>2186</v>
      </c>
      <c r="U514" s="65">
        <v>46163</v>
      </c>
      <c r="V514" s="64" t="s">
        <v>28</v>
      </c>
      <c r="W514" s="64">
        <f t="shared" ref="W514" si="1049">+S514-M514</f>
        <v>2500</v>
      </c>
      <c r="X514" s="64" t="s">
        <v>963</v>
      </c>
      <c r="Y514" s="64" t="s">
        <v>29</v>
      </c>
      <c r="Z514" s="71">
        <f t="shared" ref="Z514" si="1050">+W514*100/M514</f>
        <v>13.888888888888889</v>
      </c>
      <c r="AA514" s="93"/>
    </row>
    <row r="515" spans="1:27" hidden="1">
      <c r="A515" s="64">
        <f>SUBTOTAL(3,C$2:C515)</f>
        <v>467</v>
      </c>
      <c r="B515" s="64" t="s">
        <v>1086</v>
      </c>
      <c r="C515" s="64" t="s">
        <v>1031</v>
      </c>
      <c r="D515" s="64" t="s">
        <v>32</v>
      </c>
      <c r="E515" s="64" t="s">
        <v>33</v>
      </c>
      <c r="F515" s="52" t="s">
        <v>1037</v>
      </c>
      <c r="G515" s="91" t="s">
        <v>34</v>
      </c>
      <c r="H515" s="98" t="s">
        <v>1075</v>
      </c>
      <c r="I515" s="65">
        <v>46146</v>
      </c>
      <c r="J515" s="64">
        <f t="shared" ref="J515:J516" ca="1" si="1051">+TODAY()-I515</f>
        <v>38</v>
      </c>
      <c r="K515" s="64">
        <f t="shared" ref="K515:K516" si="1052">+U515</f>
        <v>46162</v>
      </c>
      <c r="L515" s="52" t="s">
        <v>355</v>
      </c>
      <c r="M515" s="64">
        <v>19000</v>
      </c>
      <c r="N515" s="64">
        <v>17000</v>
      </c>
      <c r="O515" s="65">
        <v>46146</v>
      </c>
      <c r="P515" s="64">
        <f t="shared" ref="P515:P516" si="1053">+M515-N515</f>
        <v>2000</v>
      </c>
      <c r="Q515" s="64" t="s">
        <v>33</v>
      </c>
      <c r="R515" s="64" t="s">
        <v>39</v>
      </c>
      <c r="S515" s="64">
        <v>21800</v>
      </c>
      <c r="T515" s="64" t="s">
        <v>2149</v>
      </c>
      <c r="U515" s="65">
        <v>46162</v>
      </c>
      <c r="V515" s="64" t="s">
        <v>28</v>
      </c>
      <c r="W515" s="64">
        <f t="shared" ref="W515:W516" si="1054">+S515-M515</f>
        <v>2800</v>
      </c>
      <c r="X515" s="64" t="s">
        <v>963</v>
      </c>
      <c r="Y515" s="64" t="s">
        <v>29</v>
      </c>
      <c r="Z515" s="71">
        <f t="shared" ref="Z515:Z516" si="1055">+W515*100/M515</f>
        <v>14.736842105263158</v>
      </c>
      <c r="AA515" s="93"/>
    </row>
    <row r="516" spans="1:27" hidden="1">
      <c r="A516" s="64">
        <f>SUBTOTAL(3,C$2:C516)</f>
        <v>467</v>
      </c>
      <c r="B516" s="64" t="s">
        <v>1086</v>
      </c>
      <c r="C516" s="64" t="s">
        <v>44</v>
      </c>
      <c r="D516" s="64" t="s">
        <v>32</v>
      </c>
      <c r="E516" s="64" t="s">
        <v>33</v>
      </c>
      <c r="F516" s="52" t="s">
        <v>83</v>
      </c>
      <c r="G516" s="91">
        <v>407</v>
      </c>
      <c r="H516" s="98" t="s">
        <v>1076</v>
      </c>
      <c r="I516" s="65">
        <v>46145</v>
      </c>
      <c r="J516" s="64">
        <f t="shared" ca="1" si="1051"/>
        <v>39</v>
      </c>
      <c r="K516" s="64" t="str">
        <f t="shared" si="1052"/>
        <v>Pending</v>
      </c>
      <c r="L516" s="52" t="s">
        <v>1038</v>
      </c>
      <c r="M516" s="64">
        <v>27000</v>
      </c>
      <c r="N516" s="64">
        <v>25000</v>
      </c>
      <c r="O516" s="65">
        <v>46146</v>
      </c>
      <c r="P516" s="64">
        <f t="shared" si="1053"/>
        <v>2000</v>
      </c>
      <c r="Q516" s="64" t="s">
        <v>33</v>
      </c>
      <c r="R516" s="64" t="s">
        <v>78</v>
      </c>
      <c r="S516" s="64">
        <v>29800</v>
      </c>
      <c r="T516" s="64" t="s">
        <v>33</v>
      </c>
      <c r="U516" s="65" t="s">
        <v>33</v>
      </c>
      <c r="V516" s="64" t="s">
        <v>28</v>
      </c>
      <c r="W516" s="64">
        <f t="shared" si="1054"/>
        <v>2800</v>
      </c>
      <c r="X516" s="64" t="s">
        <v>36</v>
      </c>
      <c r="Y516" s="64" t="s">
        <v>29</v>
      </c>
      <c r="Z516" s="71">
        <f t="shared" si="1055"/>
        <v>10.37037037037037</v>
      </c>
      <c r="AA516" s="93"/>
    </row>
    <row r="517" spans="1:27" hidden="1">
      <c r="A517" s="64">
        <f>SUBTOTAL(3,C$2:C517)</f>
        <v>467</v>
      </c>
      <c r="B517" s="64" t="s">
        <v>1086</v>
      </c>
      <c r="C517" s="64" t="s">
        <v>44</v>
      </c>
      <c r="D517" s="64" t="s">
        <v>32</v>
      </c>
      <c r="E517" s="64" t="s">
        <v>33</v>
      </c>
      <c r="F517" s="52" t="s">
        <v>352</v>
      </c>
      <c r="G517" s="91">
        <v>407</v>
      </c>
      <c r="H517" s="98" t="s">
        <v>1077</v>
      </c>
      <c r="I517" s="65">
        <v>46146</v>
      </c>
      <c r="J517" s="64">
        <f t="shared" ref="J517:J518" ca="1" si="1056">+TODAY()-I517</f>
        <v>38</v>
      </c>
      <c r="K517" s="64">
        <f t="shared" ref="K517:K518" si="1057">+U517</f>
        <v>46163</v>
      </c>
      <c r="L517" s="52" t="s">
        <v>1038</v>
      </c>
      <c r="M517" s="64">
        <v>27000</v>
      </c>
      <c r="N517" s="64">
        <v>25000</v>
      </c>
      <c r="O517" s="65">
        <v>46146</v>
      </c>
      <c r="P517" s="64">
        <f t="shared" ref="P517:P518" si="1058">+M517-N517</f>
        <v>2000</v>
      </c>
      <c r="Q517" s="64" t="s">
        <v>33</v>
      </c>
      <c r="R517" s="64" t="s">
        <v>1886</v>
      </c>
      <c r="S517" s="64">
        <v>29800</v>
      </c>
      <c r="T517" s="64" t="s">
        <v>2185</v>
      </c>
      <c r="U517" s="65">
        <v>46163</v>
      </c>
      <c r="V517" s="64" t="s">
        <v>28</v>
      </c>
      <c r="W517" s="64">
        <f t="shared" ref="W517:W518" si="1059">+S517-M517</f>
        <v>2800</v>
      </c>
      <c r="X517" s="64" t="s">
        <v>36</v>
      </c>
      <c r="Y517" s="64" t="s">
        <v>29</v>
      </c>
      <c r="Z517" s="71">
        <f t="shared" ref="Z517:Z518" si="1060">+W517*100/M517</f>
        <v>10.37037037037037</v>
      </c>
      <c r="AA517" s="93"/>
    </row>
    <row r="518" spans="1:27" hidden="1">
      <c r="A518" s="64">
        <f>SUBTOTAL(3,C$2:C518)</f>
        <v>467</v>
      </c>
      <c r="B518" s="64" t="s">
        <v>1086</v>
      </c>
      <c r="C518" s="64" t="s">
        <v>1031</v>
      </c>
      <c r="D518" s="64" t="s">
        <v>32</v>
      </c>
      <c r="E518" s="64" t="s">
        <v>33</v>
      </c>
      <c r="F518" s="52" t="s">
        <v>1039</v>
      </c>
      <c r="G518" s="91" t="s">
        <v>34</v>
      </c>
      <c r="H518" s="98" t="s">
        <v>1078</v>
      </c>
      <c r="I518" s="65">
        <v>46146</v>
      </c>
      <c r="J518" s="64">
        <f t="shared" ca="1" si="1056"/>
        <v>38</v>
      </c>
      <c r="K518" s="64" t="str">
        <f t="shared" si="1057"/>
        <v>Pending</v>
      </c>
      <c r="L518" s="52" t="s">
        <v>1040</v>
      </c>
      <c r="M518" s="64">
        <v>18300</v>
      </c>
      <c r="N518" s="64">
        <v>16300</v>
      </c>
      <c r="O518" s="65">
        <v>46146</v>
      </c>
      <c r="P518" s="64">
        <f t="shared" si="1058"/>
        <v>2000</v>
      </c>
      <c r="Q518" s="64" t="s">
        <v>33</v>
      </c>
      <c r="R518" s="64" t="s">
        <v>2244</v>
      </c>
      <c r="S518" s="64">
        <v>21500</v>
      </c>
      <c r="T518" s="64" t="s">
        <v>33</v>
      </c>
      <c r="U518" s="65" t="s">
        <v>33</v>
      </c>
      <c r="V518" s="64" t="s">
        <v>28</v>
      </c>
      <c r="W518" s="64">
        <f t="shared" si="1059"/>
        <v>3200</v>
      </c>
      <c r="X518" s="64" t="s">
        <v>963</v>
      </c>
      <c r="Y518" s="64" t="s">
        <v>29</v>
      </c>
      <c r="Z518" s="71">
        <f t="shared" si="1060"/>
        <v>17.486338797814209</v>
      </c>
      <c r="AA518" s="93"/>
    </row>
    <row r="519" spans="1:27" hidden="1">
      <c r="A519" s="64">
        <f>SUBTOTAL(3,C$2:C519)</f>
        <v>467</v>
      </c>
      <c r="B519" s="64" t="s">
        <v>1086</v>
      </c>
      <c r="C519" s="64" t="s">
        <v>1031</v>
      </c>
      <c r="D519" s="64" t="s">
        <v>32</v>
      </c>
      <c r="E519" s="64" t="s">
        <v>33</v>
      </c>
      <c r="F519" s="52" t="s">
        <v>1044</v>
      </c>
      <c r="G519" s="91" t="s">
        <v>34</v>
      </c>
      <c r="H519" s="98" t="s">
        <v>1079</v>
      </c>
      <c r="I519" s="65">
        <v>46146</v>
      </c>
      <c r="J519" s="64">
        <f t="shared" ref="J519:J523" ca="1" si="1061">+TODAY()-I519</f>
        <v>38</v>
      </c>
      <c r="K519" s="64">
        <f t="shared" ref="K519:K523" si="1062">+U519</f>
        <v>46162</v>
      </c>
      <c r="L519" s="52" t="s">
        <v>355</v>
      </c>
      <c r="M519" s="64">
        <v>19000</v>
      </c>
      <c r="N519" s="64">
        <v>17000</v>
      </c>
      <c r="O519" s="65">
        <v>46146</v>
      </c>
      <c r="P519" s="64">
        <f t="shared" ref="P519:P523" si="1063">+M519-N519</f>
        <v>2000</v>
      </c>
      <c r="Q519" s="64" t="s">
        <v>33</v>
      </c>
      <c r="R519" s="64" t="s">
        <v>39</v>
      </c>
      <c r="S519" s="64">
        <v>21800</v>
      </c>
      <c r="T519" s="64" t="s">
        <v>2149</v>
      </c>
      <c r="U519" s="65">
        <v>46162</v>
      </c>
      <c r="V519" s="64" t="s">
        <v>28</v>
      </c>
      <c r="W519" s="64">
        <f t="shared" ref="W519:W523" si="1064">+S519-M519</f>
        <v>2800</v>
      </c>
      <c r="X519" s="64" t="s">
        <v>963</v>
      </c>
      <c r="Y519" s="64" t="s">
        <v>29</v>
      </c>
      <c r="Z519" s="71">
        <f t="shared" ref="Z519:Z523" si="1065">+W519*100/M519</f>
        <v>14.736842105263158</v>
      </c>
      <c r="AA519" s="93"/>
    </row>
    <row r="520" spans="1:27" s="67" customFormat="1" hidden="1">
      <c r="A520" s="66">
        <f>SUBTOTAL(3,C$2:C520)</f>
        <v>467</v>
      </c>
      <c r="B520" s="66" t="s">
        <v>1086</v>
      </c>
      <c r="C520" s="66" t="s">
        <v>1031</v>
      </c>
      <c r="D520" s="66" t="s">
        <v>32</v>
      </c>
      <c r="E520" s="66" t="s">
        <v>33</v>
      </c>
      <c r="F520" s="72" t="s">
        <v>1150</v>
      </c>
      <c r="G520" s="94" t="s">
        <v>34</v>
      </c>
      <c r="H520" s="98" t="s">
        <v>1151</v>
      </c>
      <c r="I520" s="68">
        <v>46148</v>
      </c>
      <c r="J520" s="66">
        <f t="shared" ca="1" si="1061"/>
        <v>36</v>
      </c>
      <c r="K520" s="66">
        <f t="shared" si="1062"/>
        <v>46163</v>
      </c>
      <c r="L520" s="72" t="s">
        <v>1024</v>
      </c>
      <c r="M520" s="66">
        <v>19000</v>
      </c>
      <c r="N520" s="66">
        <v>17000</v>
      </c>
      <c r="O520" s="68">
        <v>46148</v>
      </c>
      <c r="P520" s="66">
        <f t="shared" si="1063"/>
        <v>2000</v>
      </c>
      <c r="Q520" s="66" t="s">
        <v>33</v>
      </c>
      <c r="R520" s="66" t="s">
        <v>39</v>
      </c>
      <c r="S520" s="66">
        <v>21800</v>
      </c>
      <c r="T520" s="64" t="s">
        <v>2189</v>
      </c>
      <c r="U520" s="65">
        <v>46163</v>
      </c>
      <c r="V520" s="66" t="s">
        <v>28</v>
      </c>
      <c r="W520" s="66">
        <f t="shared" si="1064"/>
        <v>2800</v>
      </c>
      <c r="X520" s="66" t="s">
        <v>963</v>
      </c>
      <c r="Y520" s="66" t="s">
        <v>29</v>
      </c>
      <c r="Z520" s="75">
        <f t="shared" si="1065"/>
        <v>14.736842105263158</v>
      </c>
      <c r="AA520" s="93"/>
    </row>
    <row r="521" spans="1:27" hidden="1">
      <c r="A521" s="64">
        <f>SUBTOTAL(3,C$2:C521)</f>
        <v>467</v>
      </c>
      <c r="B521" s="64" t="s">
        <v>1086</v>
      </c>
      <c r="C521" s="64" t="s">
        <v>44</v>
      </c>
      <c r="D521" s="64" t="s">
        <v>32</v>
      </c>
      <c r="E521" s="64" t="s">
        <v>33</v>
      </c>
      <c r="F521" s="52" t="s">
        <v>681</v>
      </c>
      <c r="G521" s="91">
        <v>407</v>
      </c>
      <c r="H521" s="98" t="s">
        <v>1105</v>
      </c>
      <c r="I521" s="65">
        <v>46146</v>
      </c>
      <c r="J521" s="64">
        <f t="shared" ca="1" si="1061"/>
        <v>38</v>
      </c>
      <c r="K521" s="64">
        <f t="shared" si="1062"/>
        <v>46163</v>
      </c>
      <c r="L521" s="52" t="s">
        <v>381</v>
      </c>
      <c r="M521" s="64">
        <v>28000</v>
      </c>
      <c r="N521" s="64">
        <v>25000</v>
      </c>
      <c r="O521" s="65">
        <v>46147</v>
      </c>
      <c r="P521" s="64">
        <f t="shared" si="1063"/>
        <v>3000</v>
      </c>
      <c r="Q521" s="64" t="s">
        <v>33</v>
      </c>
      <c r="R521" s="64" t="s">
        <v>56</v>
      </c>
      <c r="S521" s="64">
        <v>30800</v>
      </c>
      <c r="T521" s="64" t="s">
        <v>2182</v>
      </c>
      <c r="U521" s="65">
        <v>46163</v>
      </c>
      <c r="V521" s="64" t="s">
        <v>28</v>
      </c>
      <c r="W521" s="64">
        <f t="shared" si="1064"/>
        <v>2800</v>
      </c>
      <c r="X521" s="64" t="s">
        <v>36</v>
      </c>
      <c r="Y521" s="64" t="s">
        <v>29</v>
      </c>
      <c r="Z521" s="71">
        <f t="shared" si="1065"/>
        <v>10</v>
      </c>
      <c r="AA521" s="93"/>
    </row>
    <row r="522" spans="1:27" hidden="1">
      <c r="A522" s="64">
        <f>SUBTOTAL(3,C$2:C522)</f>
        <v>467</v>
      </c>
      <c r="B522" s="64" t="s">
        <v>1086</v>
      </c>
      <c r="C522" s="64" t="s">
        <v>31</v>
      </c>
      <c r="D522" s="64" t="s">
        <v>32</v>
      </c>
      <c r="E522" s="64" t="s">
        <v>33</v>
      </c>
      <c r="F522" s="52" t="s">
        <v>1088</v>
      </c>
      <c r="G522" s="91" t="s">
        <v>34</v>
      </c>
      <c r="H522" s="98" t="s">
        <v>1106</v>
      </c>
      <c r="I522" s="65">
        <v>46146</v>
      </c>
      <c r="J522" s="64">
        <f t="shared" ca="1" si="1061"/>
        <v>38</v>
      </c>
      <c r="K522" s="64">
        <f t="shared" si="1062"/>
        <v>46162</v>
      </c>
      <c r="L522" s="52" t="s">
        <v>519</v>
      </c>
      <c r="M522" s="64">
        <v>18300</v>
      </c>
      <c r="N522" s="64">
        <v>16500</v>
      </c>
      <c r="O522" s="65">
        <v>46147</v>
      </c>
      <c r="P522" s="64">
        <f t="shared" si="1063"/>
        <v>1800</v>
      </c>
      <c r="Q522" s="64" t="s">
        <v>33</v>
      </c>
      <c r="R522" s="64" t="s">
        <v>52</v>
      </c>
      <c r="S522" s="64">
        <v>21500</v>
      </c>
      <c r="T522" s="64" t="s">
        <v>2152</v>
      </c>
      <c r="U522" s="65">
        <v>46162</v>
      </c>
      <c r="V522" s="64" t="s">
        <v>28</v>
      </c>
      <c r="W522" s="64">
        <f t="shared" si="1064"/>
        <v>3200</v>
      </c>
      <c r="X522" s="64" t="s">
        <v>963</v>
      </c>
      <c r="Y522" s="64" t="s">
        <v>29</v>
      </c>
      <c r="Z522" s="71">
        <f t="shared" si="1065"/>
        <v>17.486338797814209</v>
      </c>
      <c r="AA522" s="93"/>
    </row>
    <row r="523" spans="1:27" hidden="1">
      <c r="A523" s="64">
        <f>SUBTOTAL(3,C$2:C523)</f>
        <v>467</v>
      </c>
      <c r="B523" s="64" t="s">
        <v>1086</v>
      </c>
      <c r="C523" s="64" t="s">
        <v>44</v>
      </c>
      <c r="D523" s="64" t="s">
        <v>32</v>
      </c>
      <c r="E523" s="64" t="s">
        <v>33</v>
      </c>
      <c r="F523" s="52" t="s">
        <v>1089</v>
      </c>
      <c r="G523" s="91" t="s">
        <v>59</v>
      </c>
      <c r="H523" s="98" t="s">
        <v>1107</v>
      </c>
      <c r="I523" s="65">
        <v>46146</v>
      </c>
      <c r="J523" s="64">
        <f t="shared" ca="1" si="1061"/>
        <v>38</v>
      </c>
      <c r="K523" s="64">
        <f t="shared" si="1062"/>
        <v>46169</v>
      </c>
      <c r="L523" s="52" t="s">
        <v>492</v>
      </c>
      <c r="M523" s="64">
        <v>24000</v>
      </c>
      <c r="N523" s="64">
        <v>24000</v>
      </c>
      <c r="O523" s="65">
        <v>46147</v>
      </c>
      <c r="P523" s="64">
        <f t="shared" si="1063"/>
        <v>0</v>
      </c>
      <c r="Q523" s="64" t="s">
        <v>33</v>
      </c>
      <c r="R523" s="64" t="s">
        <v>39</v>
      </c>
      <c r="S523" s="64">
        <v>25200</v>
      </c>
      <c r="T523" s="64" t="s">
        <v>2676</v>
      </c>
      <c r="U523" s="65">
        <v>46169</v>
      </c>
      <c r="V523" s="64" t="s">
        <v>28</v>
      </c>
      <c r="W523" s="64">
        <f t="shared" si="1064"/>
        <v>1200</v>
      </c>
      <c r="X523" s="64" t="s">
        <v>36</v>
      </c>
      <c r="Y523" s="64" t="s">
        <v>29</v>
      </c>
      <c r="Z523" s="71">
        <f t="shared" si="1065"/>
        <v>5</v>
      </c>
      <c r="AA523" s="93"/>
    </row>
    <row r="524" spans="1:27" hidden="1">
      <c r="A524" s="64">
        <f>SUBTOTAL(3,C$2:C524)</f>
        <v>467</v>
      </c>
      <c r="B524" s="64" t="s">
        <v>1086</v>
      </c>
      <c r="C524" s="64" t="s">
        <v>31</v>
      </c>
      <c r="D524" s="64" t="s">
        <v>32</v>
      </c>
      <c r="E524" s="64" t="s">
        <v>33</v>
      </c>
      <c r="F524" s="52" t="s">
        <v>465</v>
      </c>
      <c r="G524" s="91" t="s">
        <v>34</v>
      </c>
      <c r="H524" s="98" t="s">
        <v>1108</v>
      </c>
      <c r="I524" s="65">
        <v>46146</v>
      </c>
      <c r="J524" s="64">
        <f t="shared" ref="J524:J525" ca="1" si="1066">+TODAY()-I524</f>
        <v>38</v>
      </c>
      <c r="K524" s="64">
        <f t="shared" ref="K524:K525" si="1067">+U524</f>
        <v>46162</v>
      </c>
      <c r="L524" s="52" t="s">
        <v>519</v>
      </c>
      <c r="M524" s="64">
        <v>18300</v>
      </c>
      <c r="N524" s="64">
        <v>16500</v>
      </c>
      <c r="O524" s="65">
        <v>46147</v>
      </c>
      <c r="P524" s="64">
        <f t="shared" ref="P524:P525" si="1068">+M524-N524</f>
        <v>1800</v>
      </c>
      <c r="Q524" s="64" t="s">
        <v>33</v>
      </c>
      <c r="R524" s="64" t="s">
        <v>52</v>
      </c>
      <c r="S524" s="64">
        <v>21500</v>
      </c>
      <c r="T524" s="64" t="s">
        <v>2152</v>
      </c>
      <c r="U524" s="65">
        <v>46162</v>
      </c>
      <c r="V524" s="64" t="s">
        <v>28</v>
      </c>
      <c r="W524" s="64">
        <f t="shared" ref="W524:W525" si="1069">+S524-M524</f>
        <v>3200</v>
      </c>
      <c r="X524" s="64" t="s">
        <v>963</v>
      </c>
      <c r="Y524" s="64" t="s">
        <v>29</v>
      </c>
      <c r="Z524" s="71">
        <f t="shared" ref="Z524:Z525" si="1070">+W524*100/M524</f>
        <v>17.486338797814209</v>
      </c>
      <c r="AA524" s="93"/>
    </row>
    <row r="525" spans="1:27" hidden="1">
      <c r="A525" s="64">
        <f>SUBTOTAL(3,C$2:C525)</f>
        <v>467</v>
      </c>
      <c r="B525" s="64" t="s">
        <v>1086</v>
      </c>
      <c r="C525" s="64" t="s">
        <v>1031</v>
      </c>
      <c r="D525" s="64" t="s">
        <v>32</v>
      </c>
      <c r="E525" s="64" t="s">
        <v>33</v>
      </c>
      <c r="F525" s="52" t="s">
        <v>1104</v>
      </c>
      <c r="G525" s="91" t="s">
        <v>34</v>
      </c>
      <c r="H525" s="98" t="s">
        <v>1109</v>
      </c>
      <c r="I525" s="65">
        <v>46146</v>
      </c>
      <c r="J525" s="64">
        <f t="shared" ca="1" si="1066"/>
        <v>38</v>
      </c>
      <c r="K525" s="64">
        <f t="shared" si="1067"/>
        <v>46163</v>
      </c>
      <c r="L525" s="52" t="s">
        <v>1024</v>
      </c>
      <c r="M525" s="64">
        <v>19000</v>
      </c>
      <c r="N525" s="64">
        <v>17000</v>
      </c>
      <c r="O525" s="65">
        <v>46147</v>
      </c>
      <c r="P525" s="64">
        <f t="shared" si="1068"/>
        <v>2000</v>
      </c>
      <c r="Q525" s="64" t="s">
        <v>33</v>
      </c>
      <c r="R525" s="64" t="s">
        <v>39</v>
      </c>
      <c r="S525" s="64">
        <v>21800</v>
      </c>
      <c r="T525" s="64" t="s">
        <v>2189</v>
      </c>
      <c r="U525" s="65">
        <v>46163</v>
      </c>
      <c r="V525" s="64" t="s">
        <v>28</v>
      </c>
      <c r="W525" s="64">
        <f t="shared" si="1069"/>
        <v>2800</v>
      </c>
      <c r="X525" s="64" t="s">
        <v>963</v>
      </c>
      <c r="Y525" s="64" t="s">
        <v>29</v>
      </c>
      <c r="Z525" s="71">
        <f t="shared" si="1070"/>
        <v>14.736842105263158</v>
      </c>
      <c r="AA525" s="93"/>
    </row>
    <row r="526" spans="1:27" hidden="1">
      <c r="A526" s="64">
        <f>SUBTOTAL(3,C$2:C526)</f>
        <v>467</v>
      </c>
      <c r="B526" s="64" t="s">
        <v>1086</v>
      </c>
      <c r="C526" s="64" t="s">
        <v>31</v>
      </c>
      <c r="D526" s="64" t="s">
        <v>32</v>
      </c>
      <c r="E526" s="64" t="s">
        <v>33</v>
      </c>
      <c r="F526" s="52" t="s">
        <v>194</v>
      </c>
      <c r="G526" s="91" t="s">
        <v>34</v>
      </c>
      <c r="H526" s="70" t="s">
        <v>1110</v>
      </c>
      <c r="I526" s="65">
        <v>46146</v>
      </c>
      <c r="J526" s="64">
        <f t="shared" ref="J526:J527" ca="1" si="1071">+TODAY()-I526</f>
        <v>38</v>
      </c>
      <c r="K526" s="64">
        <f t="shared" ref="K526:K527" si="1072">+U526</f>
        <v>46169</v>
      </c>
      <c r="L526" s="52" t="s">
        <v>698</v>
      </c>
      <c r="M526" s="64">
        <v>18300</v>
      </c>
      <c r="N526" s="64">
        <v>16000</v>
      </c>
      <c r="O526" s="65">
        <v>46147</v>
      </c>
      <c r="P526" s="64">
        <f t="shared" ref="P526:P527" si="1073">+M526-N526</f>
        <v>2300</v>
      </c>
      <c r="Q526" s="64" t="s">
        <v>33</v>
      </c>
      <c r="R526" s="64" t="s">
        <v>56</v>
      </c>
      <c r="S526" s="64">
        <v>20500</v>
      </c>
      <c r="T526" s="64" t="s">
        <v>2677</v>
      </c>
      <c r="U526" s="65">
        <v>46169</v>
      </c>
      <c r="V526" s="64" t="s">
        <v>28</v>
      </c>
      <c r="W526" s="64">
        <f t="shared" ref="W526:W527" si="1074">+S526-M526</f>
        <v>2200</v>
      </c>
      <c r="X526" s="64" t="s">
        <v>963</v>
      </c>
      <c r="Y526" s="64" t="s">
        <v>29</v>
      </c>
      <c r="Z526" s="71">
        <f t="shared" ref="Z526:Z527" si="1075">+W526*100/M526</f>
        <v>12.021857923497267</v>
      </c>
      <c r="AA526" s="93"/>
    </row>
    <row r="527" spans="1:27" hidden="1">
      <c r="A527" s="64">
        <f>SUBTOTAL(3,C$2:C527)</f>
        <v>467</v>
      </c>
      <c r="B527" s="64" t="s">
        <v>1086</v>
      </c>
      <c r="C527" s="64" t="s">
        <v>31</v>
      </c>
      <c r="D527" s="64" t="s">
        <v>32</v>
      </c>
      <c r="E527" s="64" t="s">
        <v>33</v>
      </c>
      <c r="F527" s="52" t="s">
        <v>248</v>
      </c>
      <c r="G527" s="91" t="s">
        <v>34</v>
      </c>
      <c r="H527" s="98" t="s">
        <v>1111</v>
      </c>
      <c r="I527" s="65">
        <v>46146</v>
      </c>
      <c r="J527" s="64">
        <f t="shared" ca="1" si="1071"/>
        <v>38</v>
      </c>
      <c r="K527" s="64">
        <f t="shared" si="1072"/>
        <v>46162</v>
      </c>
      <c r="L527" s="52" t="s">
        <v>355</v>
      </c>
      <c r="M527" s="64">
        <v>19000</v>
      </c>
      <c r="N527" s="64">
        <v>17000</v>
      </c>
      <c r="O527" s="65">
        <v>46147</v>
      </c>
      <c r="P527" s="64">
        <f t="shared" si="1073"/>
        <v>2000</v>
      </c>
      <c r="Q527" s="64" t="s">
        <v>33</v>
      </c>
      <c r="R527" s="64" t="s">
        <v>39</v>
      </c>
      <c r="S527" s="64">
        <v>21800</v>
      </c>
      <c r="T527" s="64" t="s">
        <v>2149</v>
      </c>
      <c r="U527" s="65">
        <v>46162</v>
      </c>
      <c r="V527" s="64" t="s">
        <v>28</v>
      </c>
      <c r="W527" s="64">
        <f t="shared" si="1074"/>
        <v>2800</v>
      </c>
      <c r="X527" s="64" t="s">
        <v>963</v>
      </c>
      <c r="Y527" s="64" t="s">
        <v>29</v>
      </c>
      <c r="Z527" s="71">
        <f t="shared" si="1075"/>
        <v>14.736842105263158</v>
      </c>
      <c r="AA527" s="93"/>
    </row>
    <row r="528" spans="1:27" hidden="1">
      <c r="A528" s="64">
        <f>SUBTOTAL(3,C$2:C528)</f>
        <v>467</v>
      </c>
      <c r="B528" s="64" t="s">
        <v>1086</v>
      </c>
      <c r="C528" s="64" t="s">
        <v>31</v>
      </c>
      <c r="D528" s="64" t="s">
        <v>32</v>
      </c>
      <c r="E528" s="64" t="s">
        <v>33</v>
      </c>
      <c r="F528" s="52" t="s">
        <v>1090</v>
      </c>
      <c r="G528" s="91" t="s">
        <v>34</v>
      </c>
      <c r="H528" s="98" t="s">
        <v>1112</v>
      </c>
      <c r="I528" s="65">
        <v>46146</v>
      </c>
      <c r="J528" s="64">
        <f t="shared" ref="J528" ca="1" si="1076">+TODAY()-I528</f>
        <v>38</v>
      </c>
      <c r="K528" s="64">
        <f t="shared" ref="K528" si="1077">+U528</f>
        <v>46162</v>
      </c>
      <c r="L528" s="52" t="s">
        <v>519</v>
      </c>
      <c r="M528" s="64">
        <v>18300</v>
      </c>
      <c r="N528" s="64">
        <v>16500</v>
      </c>
      <c r="O528" s="65">
        <v>46147</v>
      </c>
      <c r="P528" s="64">
        <f t="shared" ref="P528" si="1078">+M528-N528</f>
        <v>1800</v>
      </c>
      <c r="Q528" s="64" t="s">
        <v>33</v>
      </c>
      <c r="R528" s="64" t="s">
        <v>52</v>
      </c>
      <c r="S528" s="64">
        <v>21500</v>
      </c>
      <c r="T528" s="64" t="s">
        <v>2152</v>
      </c>
      <c r="U528" s="65">
        <v>46162</v>
      </c>
      <c r="V528" s="64" t="s">
        <v>28</v>
      </c>
      <c r="W528" s="64">
        <f t="shared" ref="W528" si="1079">+S528-M528</f>
        <v>3200</v>
      </c>
      <c r="X528" s="64" t="s">
        <v>963</v>
      </c>
      <c r="Y528" s="64" t="s">
        <v>29</v>
      </c>
      <c r="Z528" s="71">
        <f t="shared" ref="Z528" si="1080">+W528*100/M528</f>
        <v>17.486338797814209</v>
      </c>
      <c r="AA528" s="93"/>
    </row>
    <row r="529" spans="1:27" hidden="1">
      <c r="A529" s="64">
        <f>SUBTOTAL(3,C$2:C529)</f>
        <v>467</v>
      </c>
      <c r="B529" s="64" t="s">
        <v>1086</v>
      </c>
      <c r="C529" s="64" t="s">
        <v>31</v>
      </c>
      <c r="D529" s="64" t="s">
        <v>32</v>
      </c>
      <c r="E529" s="64" t="s">
        <v>33</v>
      </c>
      <c r="F529" s="52" t="s">
        <v>347</v>
      </c>
      <c r="G529" s="91">
        <v>407</v>
      </c>
      <c r="H529" s="98" t="s">
        <v>1113</v>
      </c>
      <c r="I529" s="65">
        <v>46146</v>
      </c>
      <c r="J529" s="64">
        <f t="shared" ref="J529:J534" ca="1" si="1081">+TODAY()-I529</f>
        <v>38</v>
      </c>
      <c r="K529" s="64" t="str">
        <f t="shared" ref="K529:K534" si="1082">+U529</f>
        <v>Pending</v>
      </c>
      <c r="L529" s="52" t="s">
        <v>687</v>
      </c>
      <c r="M529" s="64">
        <v>28000</v>
      </c>
      <c r="N529" s="64">
        <v>26000</v>
      </c>
      <c r="O529" s="65">
        <v>46147</v>
      </c>
      <c r="P529" s="64">
        <f t="shared" ref="P529:P534" si="1083">+M529-N529</f>
        <v>2000</v>
      </c>
      <c r="Q529" s="64" t="s">
        <v>33</v>
      </c>
      <c r="R529" s="64" t="s">
        <v>37</v>
      </c>
      <c r="S529" s="64">
        <v>33000</v>
      </c>
      <c r="T529" s="64" t="s">
        <v>33</v>
      </c>
      <c r="U529" s="65" t="s">
        <v>33</v>
      </c>
      <c r="V529" s="64" t="s">
        <v>28</v>
      </c>
      <c r="W529" s="64">
        <f t="shared" ref="W529:W534" si="1084">+S529-M529</f>
        <v>5000</v>
      </c>
      <c r="X529" s="64" t="s">
        <v>963</v>
      </c>
      <c r="Y529" s="64" t="s">
        <v>29</v>
      </c>
      <c r="Z529" s="71">
        <f t="shared" ref="Z529:Z534" si="1085">+W529*100/M529</f>
        <v>17.857142857142858</v>
      </c>
      <c r="AA529" s="93"/>
    </row>
    <row r="530" spans="1:27" hidden="1">
      <c r="A530" s="64">
        <f>SUBTOTAL(3,C$2:C530)</f>
        <v>467</v>
      </c>
      <c r="B530" s="64" t="s">
        <v>1086</v>
      </c>
      <c r="C530" s="64" t="s">
        <v>1031</v>
      </c>
      <c r="D530" s="64" t="s">
        <v>32</v>
      </c>
      <c r="E530" s="64" t="s">
        <v>33</v>
      </c>
      <c r="F530" s="52" t="s">
        <v>1091</v>
      </c>
      <c r="G530" s="91" t="s">
        <v>34</v>
      </c>
      <c r="H530" s="70" t="s">
        <v>1114</v>
      </c>
      <c r="I530" s="65">
        <v>46147</v>
      </c>
      <c r="J530" s="64">
        <f t="shared" ca="1" si="1081"/>
        <v>37</v>
      </c>
      <c r="K530" s="64" t="str">
        <f t="shared" si="1082"/>
        <v>Pending</v>
      </c>
      <c r="L530" s="52" t="s">
        <v>355</v>
      </c>
      <c r="M530" s="64">
        <v>19000</v>
      </c>
      <c r="N530" s="64">
        <v>17000</v>
      </c>
      <c r="O530" s="65">
        <v>46147</v>
      </c>
      <c r="P530" s="64">
        <f t="shared" si="1083"/>
        <v>2000</v>
      </c>
      <c r="Q530" s="64" t="s">
        <v>33</v>
      </c>
      <c r="R530" s="64" t="s">
        <v>39</v>
      </c>
      <c r="S530" s="64">
        <v>21800</v>
      </c>
      <c r="T530" s="64" t="s">
        <v>33</v>
      </c>
      <c r="U530" s="65" t="s">
        <v>33</v>
      </c>
      <c r="V530" s="64" t="s">
        <v>28</v>
      </c>
      <c r="W530" s="64">
        <f t="shared" si="1084"/>
        <v>2800</v>
      </c>
      <c r="X530" s="64" t="s">
        <v>963</v>
      </c>
      <c r="Y530" s="64" t="s">
        <v>29</v>
      </c>
      <c r="Z530" s="71">
        <f t="shared" si="1085"/>
        <v>14.736842105263158</v>
      </c>
      <c r="AA530" s="93"/>
    </row>
    <row r="531" spans="1:27" hidden="1">
      <c r="A531" s="64">
        <f>SUBTOTAL(3,C$2:C531)</f>
        <v>467</v>
      </c>
      <c r="B531" s="64" t="s">
        <v>1086</v>
      </c>
      <c r="C531" s="64" t="s">
        <v>31</v>
      </c>
      <c r="D531" s="64" t="s">
        <v>32</v>
      </c>
      <c r="E531" s="64" t="s">
        <v>33</v>
      </c>
      <c r="F531" s="52" t="s">
        <v>256</v>
      </c>
      <c r="G531" s="91" t="s">
        <v>34</v>
      </c>
      <c r="H531" s="98" t="s">
        <v>1115</v>
      </c>
      <c r="I531" s="65">
        <v>46147</v>
      </c>
      <c r="J531" s="64">
        <f t="shared" ca="1" si="1081"/>
        <v>37</v>
      </c>
      <c r="K531" s="64">
        <f t="shared" si="1082"/>
        <v>46162</v>
      </c>
      <c r="L531" s="52" t="s">
        <v>355</v>
      </c>
      <c r="M531" s="64">
        <v>19000</v>
      </c>
      <c r="N531" s="64">
        <v>17000</v>
      </c>
      <c r="O531" s="65">
        <v>46147</v>
      </c>
      <c r="P531" s="64">
        <f t="shared" si="1083"/>
        <v>2000</v>
      </c>
      <c r="Q531" s="64" t="s">
        <v>33</v>
      </c>
      <c r="R531" s="64" t="s">
        <v>39</v>
      </c>
      <c r="S531" s="64">
        <v>21800</v>
      </c>
      <c r="T531" s="64" t="s">
        <v>2149</v>
      </c>
      <c r="U531" s="65">
        <v>46162</v>
      </c>
      <c r="V531" s="64" t="s">
        <v>28</v>
      </c>
      <c r="W531" s="64">
        <f t="shared" si="1084"/>
        <v>2800</v>
      </c>
      <c r="X531" s="64" t="s">
        <v>963</v>
      </c>
      <c r="Y531" s="64" t="s">
        <v>29</v>
      </c>
      <c r="Z531" s="71">
        <f t="shared" si="1085"/>
        <v>14.736842105263158</v>
      </c>
      <c r="AA531" s="93"/>
    </row>
    <row r="532" spans="1:27" hidden="1">
      <c r="A532" s="64">
        <f>SUBTOTAL(3,C$2:C532)</f>
        <v>467</v>
      </c>
      <c r="B532" s="64" t="s">
        <v>1086</v>
      </c>
      <c r="C532" s="64" t="s">
        <v>80</v>
      </c>
      <c r="D532" s="64" t="s">
        <v>32</v>
      </c>
      <c r="E532" s="64" t="s">
        <v>33</v>
      </c>
      <c r="F532" s="52" t="s">
        <v>353</v>
      </c>
      <c r="G532" s="91" t="s">
        <v>607</v>
      </c>
      <c r="H532" s="98" t="s">
        <v>1116</v>
      </c>
      <c r="I532" s="65">
        <v>46147</v>
      </c>
      <c r="J532" s="64">
        <f t="shared" ca="1" si="1081"/>
        <v>37</v>
      </c>
      <c r="K532" s="64">
        <f t="shared" si="1082"/>
        <v>46162</v>
      </c>
      <c r="L532" s="52" t="s">
        <v>598</v>
      </c>
      <c r="M532" s="64">
        <v>29500</v>
      </c>
      <c r="N532" s="64">
        <v>26500</v>
      </c>
      <c r="O532" s="65">
        <v>46147</v>
      </c>
      <c r="P532" s="64">
        <f t="shared" si="1083"/>
        <v>3000</v>
      </c>
      <c r="Q532" s="64" t="s">
        <v>33</v>
      </c>
      <c r="R532" s="64" t="s">
        <v>52</v>
      </c>
      <c r="S532" s="64">
        <v>32500</v>
      </c>
      <c r="T532" s="64" t="s">
        <v>2157</v>
      </c>
      <c r="U532" s="65">
        <v>46162</v>
      </c>
      <c r="V532" s="64" t="s">
        <v>28</v>
      </c>
      <c r="W532" s="64">
        <f t="shared" si="1084"/>
        <v>3000</v>
      </c>
      <c r="X532" s="64" t="s">
        <v>36</v>
      </c>
      <c r="Y532" s="64" t="s">
        <v>29</v>
      </c>
      <c r="Z532" s="71">
        <f t="shared" si="1085"/>
        <v>10.169491525423728</v>
      </c>
      <c r="AA532" s="93"/>
    </row>
    <row r="533" spans="1:27" hidden="1">
      <c r="A533" s="64">
        <f>SUBTOTAL(3,C$2:C533)</f>
        <v>467</v>
      </c>
      <c r="B533" s="64" t="s">
        <v>1086</v>
      </c>
      <c r="C533" s="64" t="s">
        <v>44</v>
      </c>
      <c r="D533" s="64" t="s">
        <v>32</v>
      </c>
      <c r="E533" s="64" t="s">
        <v>33</v>
      </c>
      <c r="F533" s="52" t="s">
        <v>1092</v>
      </c>
      <c r="G533" s="91" t="s">
        <v>1093</v>
      </c>
      <c r="H533" s="98" t="s">
        <v>1117</v>
      </c>
      <c r="I533" s="65">
        <v>46147</v>
      </c>
      <c r="J533" s="64">
        <f t="shared" ca="1" si="1081"/>
        <v>37</v>
      </c>
      <c r="K533" s="64" t="str">
        <f t="shared" si="1082"/>
        <v>Pending</v>
      </c>
      <c r="L533" s="52" t="s">
        <v>1094</v>
      </c>
      <c r="M533" s="64">
        <v>27500</v>
      </c>
      <c r="N533" s="64">
        <v>25500</v>
      </c>
      <c r="O533" s="65">
        <v>46147</v>
      </c>
      <c r="P533" s="64">
        <f t="shared" si="1083"/>
        <v>2000</v>
      </c>
      <c r="Q533" s="64" t="s">
        <v>33</v>
      </c>
      <c r="R533" s="64" t="s">
        <v>39</v>
      </c>
      <c r="S533" s="64">
        <v>31000</v>
      </c>
      <c r="T533" s="64" t="s">
        <v>33</v>
      </c>
      <c r="U533" s="65" t="s">
        <v>33</v>
      </c>
      <c r="V533" s="64" t="s">
        <v>28</v>
      </c>
      <c r="W533" s="64">
        <f t="shared" si="1084"/>
        <v>3500</v>
      </c>
      <c r="X533" s="64" t="s">
        <v>36</v>
      </c>
      <c r="Y533" s="64" t="s">
        <v>29</v>
      </c>
      <c r="Z533" s="71">
        <f t="shared" si="1085"/>
        <v>12.727272727272727</v>
      </c>
      <c r="AA533" s="93"/>
    </row>
    <row r="534" spans="1:27" hidden="1">
      <c r="A534" s="64">
        <f>SUBTOTAL(3,C$2:C534)</f>
        <v>467</v>
      </c>
      <c r="B534" s="64" t="s">
        <v>1086</v>
      </c>
      <c r="C534" s="64" t="s">
        <v>31</v>
      </c>
      <c r="D534" s="64" t="s">
        <v>32</v>
      </c>
      <c r="E534" s="64" t="s">
        <v>33</v>
      </c>
      <c r="F534" s="52" t="s">
        <v>135</v>
      </c>
      <c r="G534" s="91" t="s">
        <v>34</v>
      </c>
      <c r="H534" s="98" t="s">
        <v>1118</v>
      </c>
      <c r="I534" s="65">
        <v>46147</v>
      </c>
      <c r="J534" s="64">
        <f t="shared" ca="1" si="1081"/>
        <v>37</v>
      </c>
      <c r="K534" s="64">
        <f t="shared" si="1082"/>
        <v>46162</v>
      </c>
      <c r="L534" s="52" t="s">
        <v>355</v>
      </c>
      <c r="M534" s="64">
        <v>19000</v>
      </c>
      <c r="N534" s="64">
        <v>17000</v>
      </c>
      <c r="O534" s="65">
        <v>46147</v>
      </c>
      <c r="P534" s="64">
        <f t="shared" si="1083"/>
        <v>2000</v>
      </c>
      <c r="Q534" s="64" t="s">
        <v>33</v>
      </c>
      <c r="R534" s="64" t="s">
        <v>39</v>
      </c>
      <c r="S534" s="64">
        <v>21800</v>
      </c>
      <c r="T534" s="64" t="s">
        <v>2149</v>
      </c>
      <c r="U534" s="65">
        <v>46162</v>
      </c>
      <c r="V534" s="64" t="s">
        <v>28</v>
      </c>
      <c r="W534" s="64">
        <f t="shared" si="1084"/>
        <v>2800</v>
      </c>
      <c r="X534" s="64" t="s">
        <v>963</v>
      </c>
      <c r="Y534" s="64" t="s">
        <v>29</v>
      </c>
      <c r="Z534" s="71">
        <f t="shared" si="1085"/>
        <v>14.736842105263158</v>
      </c>
      <c r="AA534" s="93"/>
    </row>
    <row r="535" spans="1:27" hidden="1">
      <c r="A535" s="64">
        <f>SUBTOTAL(3,C$2:C535)</f>
        <v>467</v>
      </c>
      <c r="B535" s="64" t="s">
        <v>1086</v>
      </c>
      <c r="C535" s="64" t="s">
        <v>44</v>
      </c>
      <c r="D535" s="64" t="s">
        <v>32</v>
      </c>
      <c r="E535" s="64" t="s">
        <v>33</v>
      </c>
      <c r="F535" s="52" t="s">
        <v>996</v>
      </c>
      <c r="G535" s="91" t="s">
        <v>34</v>
      </c>
      <c r="H535" s="98" t="s">
        <v>1119</v>
      </c>
      <c r="I535" s="65">
        <v>46147</v>
      </c>
      <c r="J535" s="64">
        <f t="shared" ref="J535:J537" ca="1" si="1086">+TODAY()-I535</f>
        <v>37</v>
      </c>
      <c r="K535" s="64" t="str">
        <f t="shared" ref="K535:K537" si="1087">+U535</f>
        <v>Pending</v>
      </c>
      <c r="L535" s="52" t="s">
        <v>519</v>
      </c>
      <c r="M535" s="64">
        <v>18300</v>
      </c>
      <c r="N535" s="64">
        <v>16500</v>
      </c>
      <c r="O535" s="65">
        <v>46147</v>
      </c>
      <c r="P535" s="64">
        <f t="shared" ref="P535:P537" si="1088">+M535-N535</f>
        <v>1800</v>
      </c>
      <c r="Q535" s="64" t="s">
        <v>33</v>
      </c>
      <c r="R535" s="64" t="s">
        <v>37</v>
      </c>
      <c r="S535" s="64">
        <v>21500</v>
      </c>
      <c r="T535" s="64" t="s">
        <v>33</v>
      </c>
      <c r="U535" s="65" t="s">
        <v>33</v>
      </c>
      <c r="V535" s="64" t="s">
        <v>28</v>
      </c>
      <c r="W535" s="64">
        <f t="shared" ref="W535:W537" si="1089">+S535-M535</f>
        <v>3200</v>
      </c>
      <c r="X535" s="64" t="s">
        <v>36</v>
      </c>
      <c r="Y535" s="64" t="s">
        <v>29</v>
      </c>
      <c r="Z535" s="71">
        <f t="shared" ref="Z535:Z537" si="1090">+W535*100/M535</f>
        <v>17.486338797814209</v>
      </c>
      <c r="AA535" s="93"/>
    </row>
    <row r="536" spans="1:27" hidden="1">
      <c r="A536" s="64">
        <f>SUBTOTAL(3,C$2:C536)</f>
        <v>467</v>
      </c>
      <c r="B536" s="64" t="s">
        <v>1086</v>
      </c>
      <c r="C536" s="64" t="s">
        <v>31</v>
      </c>
      <c r="D536" s="64" t="s">
        <v>32</v>
      </c>
      <c r="E536" s="64" t="s">
        <v>33</v>
      </c>
      <c r="F536" s="52" t="s">
        <v>671</v>
      </c>
      <c r="G536" s="91" t="s">
        <v>34</v>
      </c>
      <c r="H536" s="98" t="s">
        <v>1120</v>
      </c>
      <c r="I536" s="65">
        <v>46147</v>
      </c>
      <c r="J536" s="64">
        <f t="shared" ca="1" si="1086"/>
        <v>37</v>
      </c>
      <c r="K536" s="64" t="str">
        <f t="shared" si="1087"/>
        <v>Pending</v>
      </c>
      <c r="L536" s="52" t="s">
        <v>483</v>
      </c>
      <c r="M536" s="64">
        <v>23300</v>
      </c>
      <c r="N536" s="64">
        <v>21500</v>
      </c>
      <c r="O536" s="65">
        <v>46147</v>
      </c>
      <c r="P536" s="64">
        <f t="shared" si="1088"/>
        <v>1800</v>
      </c>
      <c r="Q536" s="64" t="s">
        <v>33</v>
      </c>
      <c r="R536" s="64" t="s">
        <v>37</v>
      </c>
      <c r="S536" s="64">
        <v>26000</v>
      </c>
      <c r="T536" s="64" t="s">
        <v>33</v>
      </c>
      <c r="U536" s="65" t="s">
        <v>33</v>
      </c>
      <c r="V536" s="64" t="s">
        <v>28</v>
      </c>
      <c r="W536" s="64">
        <f t="shared" si="1089"/>
        <v>2700</v>
      </c>
      <c r="X536" s="64" t="s">
        <v>963</v>
      </c>
      <c r="Y536" s="64" t="s">
        <v>29</v>
      </c>
      <c r="Z536" s="71">
        <f t="shared" si="1090"/>
        <v>11.587982832618026</v>
      </c>
      <c r="AA536" s="93"/>
    </row>
    <row r="537" spans="1:27" hidden="1">
      <c r="A537" s="64">
        <f>SUBTOTAL(3,C$2:C537)</f>
        <v>467</v>
      </c>
      <c r="B537" s="64" t="s">
        <v>1086</v>
      </c>
      <c r="C537" s="64" t="s">
        <v>31</v>
      </c>
      <c r="D537" s="64" t="s">
        <v>32</v>
      </c>
      <c r="E537" s="64" t="s">
        <v>33</v>
      </c>
      <c r="F537" s="52" t="s">
        <v>1102</v>
      </c>
      <c r="G537" s="91" t="s">
        <v>34</v>
      </c>
      <c r="H537" s="98" t="s">
        <v>1121</v>
      </c>
      <c r="I537" s="65">
        <v>46147</v>
      </c>
      <c r="J537" s="64">
        <f t="shared" ca="1" si="1086"/>
        <v>37</v>
      </c>
      <c r="K537" s="64">
        <f t="shared" si="1087"/>
        <v>46163</v>
      </c>
      <c r="L537" s="52" t="s">
        <v>355</v>
      </c>
      <c r="M537" s="64">
        <v>19000</v>
      </c>
      <c r="N537" s="64">
        <v>17000</v>
      </c>
      <c r="O537" s="65">
        <v>46147</v>
      </c>
      <c r="P537" s="64">
        <f t="shared" si="1088"/>
        <v>2000</v>
      </c>
      <c r="Q537" s="64" t="s">
        <v>33</v>
      </c>
      <c r="R537" s="64" t="s">
        <v>39</v>
      </c>
      <c r="S537" s="64">
        <v>21800</v>
      </c>
      <c r="T537" s="64" t="s">
        <v>2189</v>
      </c>
      <c r="U537" s="65">
        <v>46163</v>
      </c>
      <c r="V537" s="64" t="s">
        <v>28</v>
      </c>
      <c r="W537" s="64">
        <f t="shared" si="1089"/>
        <v>2800</v>
      </c>
      <c r="X537" s="64" t="s">
        <v>963</v>
      </c>
      <c r="Y537" s="64" t="s">
        <v>29</v>
      </c>
      <c r="Z537" s="71">
        <f t="shared" si="1090"/>
        <v>14.736842105263158</v>
      </c>
      <c r="AA537" s="93"/>
    </row>
    <row r="538" spans="1:27" hidden="1">
      <c r="A538" s="64">
        <f>SUBTOTAL(3,C$2:C538)</f>
        <v>467</v>
      </c>
      <c r="B538" s="64" t="s">
        <v>1086</v>
      </c>
      <c r="C538" s="64" t="s">
        <v>31</v>
      </c>
      <c r="D538" s="64" t="s">
        <v>32</v>
      </c>
      <c r="E538" s="64" t="s">
        <v>33</v>
      </c>
      <c r="F538" s="52" t="s">
        <v>1095</v>
      </c>
      <c r="G538" s="91" t="s">
        <v>34</v>
      </c>
      <c r="H538" s="70" t="s">
        <v>1122</v>
      </c>
      <c r="I538" s="65">
        <v>46147</v>
      </c>
      <c r="J538" s="64">
        <f t="shared" ref="J538:J545" ca="1" si="1091">+TODAY()-I538</f>
        <v>37</v>
      </c>
      <c r="K538" s="64" t="str">
        <f t="shared" ref="K538:K545" si="1092">+U538</f>
        <v>Pending</v>
      </c>
      <c r="L538" s="52" t="s">
        <v>111</v>
      </c>
      <c r="M538" s="64">
        <v>11700</v>
      </c>
      <c r="N538" s="64">
        <v>10700</v>
      </c>
      <c r="O538" s="65">
        <v>46147</v>
      </c>
      <c r="P538" s="64">
        <f t="shared" ref="P538:P545" si="1093">+M538-N538</f>
        <v>1000</v>
      </c>
      <c r="Q538" s="64" t="s">
        <v>33</v>
      </c>
      <c r="R538" s="64" t="s">
        <v>112</v>
      </c>
      <c r="S538" s="64">
        <v>13500</v>
      </c>
      <c r="T538" s="64" t="s">
        <v>33</v>
      </c>
      <c r="U538" s="65" t="s">
        <v>33</v>
      </c>
      <c r="V538" s="64" t="s">
        <v>28</v>
      </c>
      <c r="W538" s="64">
        <f t="shared" ref="W538:W545" si="1094">+S538-M538</f>
        <v>1800</v>
      </c>
      <c r="X538" s="64" t="s">
        <v>963</v>
      </c>
      <c r="Y538" s="64" t="s">
        <v>29</v>
      </c>
      <c r="Z538" s="71">
        <f t="shared" ref="Z538:Z545" si="1095">+W538*100/M538</f>
        <v>15.384615384615385</v>
      </c>
      <c r="AA538" s="93"/>
    </row>
    <row r="539" spans="1:27" hidden="1">
      <c r="A539" s="64">
        <f>SUBTOTAL(3,C$2:C539)</f>
        <v>467</v>
      </c>
      <c r="B539" s="64" t="s">
        <v>1086</v>
      </c>
      <c r="C539" s="64" t="s">
        <v>44</v>
      </c>
      <c r="D539" s="64" t="s">
        <v>32</v>
      </c>
      <c r="E539" s="64" t="s">
        <v>33</v>
      </c>
      <c r="F539" s="52" t="s">
        <v>281</v>
      </c>
      <c r="G539" s="91">
        <v>407</v>
      </c>
      <c r="H539" s="70" t="s">
        <v>1123</v>
      </c>
      <c r="I539" s="65">
        <v>46147</v>
      </c>
      <c r="J539" s="64">
        <f t="shared" ca="1" si="1091"/>
        <v>37</v>
      </c>
      <c r="K539" s="64" t="str">
        <f t="shared" si="1092"/>
        <v>Pending</v>
      </c>
      <c r="L539" s="52" t="s">
        <v>1096</v>
      </c>
      <c r="M539" s="64">
        <v>27000</v>
      </c>
      <c r="N539" s="64">
        <v>25000</v>
      </c>
      <c r="O539" s="65">
        <v>46147</v>
      </c>
      <c r="P539" s="64">
        <f t="shared" si="1093"/>
        <v>2000</v>
      </c>
      <c r="Q539" s="64" t="s">
        <v>33</v>
      </c>
      <c r="R539" s="64" t="s">
        <v>56</v>
      </c>
      <c r="S539" s="64">
        <v>29800</v>
      </c>
      <c r="T539" s="64" t="s">
        <v>33</v>
      </c>
      <c r="U539" s="65" t="s">
        <v>33</v>
      </c>
      <c r="V539" s="64" t="s">
        <v>28</v>
      </c>
      <c r="W539" s="64">
        <f t="shared" si="1094"/>
        <v>2800</v>
      </c>
      <c r="X539" s="64" t="s">
        <v>36</v>
      </c>
      <c r="Y539" s="64" t="s">
        <v>29</v>
      </c>
      <c r="Z539" s="71">
        <f t="shared" si="1095"/>
        <v>10.37037037037037</v>
      </c>
      <c r="AA539" s="93"/>
    </row>
    <row r="540" spans="1:27" hidden="1">
      <c r="A540" s="64">
        <f>SUBTOTAL(3,C$2:C540)</f>
        <v>467</v>
      </c>
      <c r="B540" s="64" t="s">
        <v>1086</v>
      </c>
      <c r="C540" s="64" t="s">
        <v>31</v>
      </c>
      <c r="D540" s="64" t="s">
        <v>32</v>
      </c>
      <c r="E540" s="64" t="s">
        <v>33</v>
      </c>
      <c r="F540" s="52" t="s">
        <v>203</v>
      </c>
      <c r="G540" s="91" t="s">
        <v>34</v>
      </c>
      <c r="H540" s="98" t="s">
        <v>1124</v>
      </c>
      <c r="I540" s="65">
        <v>46147</v>
      </c>
      <c r="J540" s="64">
        <f t="shared" ca="1" si="1091"/>
        <v>37</v>
      </c>
      <c r="K540" s="64">
        <f t="shared" si="1092"/>
        <v>46163</v>
      </c>
      <c r="L540" s="52" t="s">
        <v>129</v>
      </c>
      <c r="M540" s="64">
        <v>18000</v>
      </c>
      <c r="N540" s="64">
        <v>16000</v>
      </c>
      <c r="O540" s="65">
        <v>46147</v>
      </c>
      <c r="P540" s="64">
        <f t="shared" si="1093"/>
        <v>2000</v>
      </c>
      <c r="Q540" s="64" t="s">
        <v>33</v>
      </c>
      <c r="R540" s="64" t="s">
        <v>56</v>
      </c>
      <c r="S540" s="64">
        <v>20500</v>
      </c>
      <c r="T540" s="64" t="s">
        <v>2186</v>
      </c>
      <c r="U540" s="65">
        <v>46163</v>
      </c>
      <c r="V540" s="64" t="s">
        <v>28</v>
      </c>
      <c r="W540" s="64">
        <f t="shared" si="1094"/>
        <v>2500</v>
      </c>
      <c r="X540" s="64" t="s">
        <v>963</v>
      </c>
      <c r="Y540" s="64" t="s">
        <v>29</v>
      </c>
      <c r="Z540" s="71">
        <f t="shared" si="1095"/>
        <v>13.888888888888889</v>
      </c>
      <c r="AA540" s="93"/>
    </row>
    <row r="541" spans="1:27" hidden="1">
      <c r="A541" s="64">
        <f>SUBTOTAL(3,C$2:C541)</f>
        <v>467</v>
      </c>
      <c r="B541" s="64" t="s">
        <v>1086</v>
      </c>
      <c r="C541" s="64" t="s">
        <v>31</v>
      </c>
      <c r="D541" s="64" t="s">
        <v>32</v>
      </c>
      <c r="E541" s="64" t="s">
        <v>33</v>
      </c>
      <c r="F541" s="52" t="s">
        <v>327</v>
      </c>
      <c r="G541" s="91" t="s">
        <v>34</v>
      </c>
      <c r="H541" s="98" t="s">
        <v>1125</v>
      </c>
      <c r="I541" s="65">
        <v>46147</v>
      </c>
      <c r="J541" s="64">
        <f t="shared" ca="1" si="1091"/>
        <v>37</v>
      </c>
      <c r="K541" s="64">
        <f t="shared" si="1092"/>
        <v>46163</v>
      </c>
      <c r="L541" s="52" t="s">
        <v>355</v>
      </c>
      <c r="M541" s="64">
        <v>19000</v>
      </c>
      <c r="N541" s="64">
        <v>17000</v>
      </c>
      <c r="O541" s="65">
        <v>46147</v>
      </c>
      <c r="P541" s="64">
        <f t="shared" si="1093"/>
        <v>2000</v>
      </c>
      <c r="Q541" s="64" t="s">
        <v>33</v>
      </c>
      <c r="R541" s="64" t="s">
        <v>39</v>
      </c>
      <c r="S541" s="64">
        <v>21800</v>
      </c>
      <c r="T541" s="64" t="s">
        <v>2189</v>
      </c>
      <c r="U541" s="65">
        <v>46163</v>
      </c>
      <c r="V541" s="64" t="s">
        <v>28</v>
      </c>
      <c r="W541" s="64">
        <f t="shared" si="1094"/>
        <v>2800</v>
      </c>
      <c r="X541" s="64" t="s">
        <v>963</v>
      </c>
      <c r="Y541" s="64" t="s">
        <v>29</v>
      </c>
      <c r="Z541" s="71">
        <f t="shared" si="1095"/>
        <v>14.736842105263158</v>
      </c>
      <c r="AA541" s="93"/>
    </row>
    <row r="542" spans="1:27" hidden="1">
      <c r="A542" s="64">
        <f>SUBTOTAL(3,C$2:C542)</f>
        <v>467</v>
      </c>
      <c r="B542" s="64" t="s">
        <v>1086</v>
      </c>
      <c r="C542" s="64" t="s">
        <v>119</v>
      </c>
      <c r="D542" s="64" t="s">
        <v>32</v>
      </c>
      <c r="E542" s="64" t="s">
        <v>33</v>
      </c>
      <c r="F542" s="52" t="s">
        <v>142</v>
      </c>
      <c r="G542" s="91" t="s">
        <v>50</v>
      </c>
      <c r="H542" s="98" t="s">
        <v>1126</v>
      </c>
      <c r="I542" s="65">
        <v>46147</v>
      </c>
      <c r="J542" s="64">
        <f t="shared" ca="1" si="1091"/>
        <v>37</v>
      </c>
      <c r="K542" s="64">
        <f t="shared" si="1092"/>
        <v>46162</v>
      </c>
      <c r="L542" s="52" t="s">
        <v>1042</v>
      </c>
      <c r="M542" s="64">
        <f>3000+44000</f>
        <v>47000</v>
      </c>
      <c r="N542" s="64">
        <v>40000</v>
      </c>
      <c r="O542" s="65">
        <v>46147</v>
      </c>
      <c r="P542" s="64">
        <f t="shared" si="1093"/>
        <v>7000</v>
      </c>
      <c r="Q542" s="64" t="s">
        <v>33</v>
      </c>
      <c r="R542" s="64" t="s">
        <v>52</v>
      </c>
      <c r="S542" s="64">
        <f>5000+48000</f>
        <v>53000</v>
      </c>
      <c r="T542" s="64" t="s">
        <v>2156</v>
      </c>
      <c r="U542" s="65">
        <v>46162</v>
      </c>
      <c r="V542" s="64" t="s">
        <v>28</v>
      </c>
      <c r="W542" s="64">
        <f t="shared" si="1094"/>
        <v>6000</v>
      </c>
      <c r="X542" s="64" t="s">
        <v>36</v>
      </c>
      <c r="Y542" s="64" t="s">
        <v>29</v>
      </c>
      <c r="Z542" s="71">
        <f t="shared" si="1095"/>
        <v>12.76595744680851</v>
      </c>
      <c r="AA542" s="93"/>
    </row>
    <row r="543" spans="1:27" hidden="1">
      <c r="A543" s="64">
        <f>SUBTOTAL(3,C$2:C543)</f>
        <v>467</v>
      </c>
      <c r="B543" s="64" t="s">
        <v>1086</v>
      </c>
      <c r="C543" s="64" t="s">
        <v>31</v>
      </c>
      <c r="D543" s="64" t="s">
        <v>32</v>
      </c>
      <c r="E543" s="64" t="s">
        <v>33</v>
      </c>
      <c r="F543" s="52" t="s">
        <v>1103</v>
      </c>
      <c r="G543" s="91" t="s">
        <v>34</v>
      </c>
      <c r="H543" s="98" t="s">
        <v>1127</v>
      </c>
      <c r="I543" s="65">
        <v>46147</v>
      </c>
      <c r="J543" s="64">
        <f t="shared" ca="1" si="1091"/>
        <v>37</v>
      </c>
      <c r="K543" s="64">
        <f t="shared" si="1092"/>
        <v>46163</v>
      </c>
      <c r="L543" s="52" t="s">
        <v>355</v>
      </c>
      <c r="M543" s="64">
        <v>19000</v>
      </c>
      <c r="N543" s="64">
        <v>17000</v>
      </c>
      <c r="O543" s="65">
        <v>46147</v>
      </c>
      <c r="P543" s="64">
        <f t="shared" si="1093"/>
        <v>2000</v>
      </c>
      <c r="Q543" s="64" t="s">
        <v>33</v>
      </c>
      <c r="R543" s="64" t="s">
        <v>39</v>
      </c>
      <c r="S543" s="64">
        <v>21800</v>
      </c>
      <c r="T543" s="64" t="s">
        <v>2189</v>
      </c>
      <c r="U543" s="65">
        <v>46163</v>
      </c>
      <c r="V543" s="64" t="s">
        <v>28</v>
      </c>
      <c r="W543" s="64">
        <f t="shared" si="1094"/>
        <v>2800</v>
      </c>
      <c r="X543" s="64" t="s">
        <v>963</v>
      </c>
      <c r="Y543" s="64" t="s">
        <v>29</v>
      </c>
      <c r="Z543" s="71">
        <f t="shared" si="1095"/>
        <v>14.736842105263158</v>
      </c>
      <c r="AA543" s="93"/>
    </row>
    <row r="544" spans="1:27" hidden="1">
      <c r="A544" s="64">
        <f>SUBTOTAL(3,C$2:C544)</f>
        <v>467</v>
      </c>
      <c r="B544" s="64" t="s">
        <v>1086</v>
      </c>
      <c r="C544" s="64" t="s">
        <v>31</v>
      </c>
      <c r="D544" s="64" t="s">
        <v>32</v>
      </c>
      <c r="E544" s="64" t="s">
        <v>33</v>
      </c>
      <c r="F544" s="52" t="s">
        <v>752</v>
      </c>
      <c r="G544" s="91" t="s">
        <v>34</v>
      </c>
      <c r="H544" s="98" t="s">
        <v>1128</v>
      </c>
      <c r="I544" s="65">
        <v>46147</v>
      </c>
      <c r="J544" s="64">
        <f t="shared" ca="1" si="1091"/>
        <v>37</v>
      </c>
      <c r="K544" s="64" t="str">
        <f t="shared" si="1092"/>
        <v>Pending</v>
      </c>
      <c r="L544" s="52" t="s">
        <v>519</v>
      </c>
      <c r="M544" s="64">
        <v>18300</v>
      </c>
      <c r="N544" s="64">
        <v>16500</v>
      </c>
      <c r="O544" s="65">
        <v>46147</v>
      </c>
      <c r="P544" s="64">
        <f t="shared" si="1093"/>
        <v>1800</v>
      </c>
      <c r="Q544" s="64" t="s">
        <v>33</v>
      </c>
      <c r="R544" s="64" t="s">
        <v>37</v>
      </c>
      <c r="S544" s="64">
        <v>21500</v>
      </c>
      <c r="T544" s="64" t="s">
        <v>33</v>
      </c>
      <c r="U544" s="65" t="s">
        <v>33</v>
      </c>
      <c r="V544" s="64" t="s">
        <v>28</v>
      </c>
      <c r="W544" s="64">
        <f t="shared" si="1094"/>
        <v>3200</v>
      </c>
      <c r="X544" s="64" t="s">
        <v>963</v>
      </c>
      <c r="Y544" s="64" t="s">
        <v>29</v>
      </c>
      <c r="Z544" s="71">
        <f t="shared" si="1095"/>
        <v>17.486338797814209</v>
      </c>
      <c r="AA544" s="93"/>
    </row>
    <row r="545" spans="1:27" hidden="1">
      <c r="A545" s="64">
        <f>SUBTOTAL(3,C$2:C545)</f>
        <v>467</v>
      </c>
      <c r="B545" s="64" t="s">
        <v>1086</v>
      </c>
      <c r="C545" s="64" t="s">
        <v>80</v>
      </c>
      <c r="D545" s="64" t="s">
        <v>32</v>
      </c>
      <c r="E545" s="64" t="s">
        <v>33</v>
      </c>
      <c r="F545" s="52" t="s">
        <v>1097</v>
      </c>
      <c r="G545" s="91" t="s">
        <v>1098</v>
      </c>
      <c r="H545" s="98" t="s">
        <v>1129</v>
      </c>
      <c r="I545" s="65">
        <v>46147</v>
      </c>
      <c r="J545" s="64">
        <f t="shared" ca="1" si="1091"/>
        <v>37</v>
      </c>
      <c r="K545" s="64" t="str">
        <f t="shared" si="1092"/>
        <v>Pending</v>
      </c>
      <c r="L545" s="52" t="s">
        <v>598</v>
      </c>
      <c r="M545" s="64">
        <v>18000</v>
      </c>
      <c r="N545" s="64">
        <v>16000</v>
      </c>
      <c r="O545" s="65">
        <v>46147</v>
      </c>
      <c r="P545" s="64">
        <f t="shared" si="1093"/>
        <v>2000</v>
      </c>
      <c r="Q545" s="64" t="s">
        <v>33</v>
      </c>
      <c r="R545" s="64" t="s">
        <v>37</v>
      </c>
      <c r="S545" s="64">
        <v>21500</v>
      </c>
      <c r="T545" s="64" t="s">
        <v>33</v>
      </c>
      <c r="U545" s="65" t="s">
        <v>33</v>
      </c>
      <c r="V545" s="64" t="s">
        <v>28</v>
      </c>
      <c r="W545" s="64">
        <f t="shared" si="1094"/>
        <v>3500</v>
      </c>
      <c r="X545" s="64" t="s">
        <v>36</v>
      </c>
      <c r="Y545" s="64" t="s">
        <v>29</v>
      </c>
      <c r="Z545" s="71">
        <f t="shared" si="1095"/>
        <v>19.444444444444443</v>
      </c>
      <c r="AA545" s="93"/>
    </row>
    <row r="546" spans="1:27" hidden="1">
      <c r="A546" s="64">
        <f>SUBTOTAL(3,C$2:C546)</f>
        <v>467</v>
      </c>
      <c r="B546" s="64" t="s">
        <v>1086</v>
      </c>
      <c r="C546" s="64" t="s">
        <v>44</v>
      </c>
      <c r="D546" s="64" t="s">
        <v>32</v>
      </c>
      <c r="E546" s="64" t="s">
        <v>33</v>
      </c>
      <c r="F546" s="52" t="s">
        <v>1099</v>
      </c>
      <c r="G546" s="91">
        <v>407</v>
      </c>
      <c r="H546" s="98" t="s">
        <v>1130</v>
      </c>
      <c r="I546" s="65">
        <v>46146</v>
      </c>
      <c r="J546" s="64">
        <f t="shared" ref="J546:J548" ca="1" si="1096">+TODAY()-I546</f>
        <v>38</v>
      </c>
      <c r="K546" s="64">
        <f t="shared" ref="K546:K548" si="1097">+U546</f>
        <v>46170</v>
      </c>
      <c r="L546" s="52" t="s">
        <v>381</v>
      </c>
      <c r="M546" s="64">
        <v>27000</v>
      </c>
      <c r="N546" s="64">
        <v>25000</v>
      </c>
      <c r="O546" s="65">
        <v>46147</v>
      </c>
      <c r="P546" s="64">
        <f t="shared" ref="P546:P548" si="1098">+M546-N546</f>
        <v>2000</v>
      </c>
      <c r="Q546" s="64" t="s">
        <v>33</v>
      </c>
      <c r="R546" s="64" t="s">
        <v>78</v>
      </c>
      <c r="S546" s="64">
        <v>29800</v>
      </c>
      <c r="T546" s="64" t="s">
        <v>2678</v>
      </c>
      <c r="U546" s="65">
        <v>46170</v>
      </c>
      <c r="V546" s="64" t="s">
        <v>28</v>
      </c>
      <c r="W546" s="64">
        <f t="shared" ref="W546:W548" si="1099">+S546-M546</f>
        <v>2800</v>
      </c>
      <c r="X546" s="64" t="s">
        <v>36</v>
      </c>
      <c r="Y546" s="64" t="s">
        <v>29</v>
      </c>
      <c r="Z546" s="71">
        <f t="shared" ref="Z546:Z548" si="1100">+W546*100/M546</f>
        <v>10.37037037037037</v>
      </c>
      <c r="AA546" s="93"/>
    </row>
    <row r="547" spans="1:27" hidden="1">
      <c r="A547" s="64">
        <f>SUBTOTAL(3,C$2:C547)</f>
        <v>467</v>
      </c>
      <c r="B547" s="64" t="s">
        <v>1086</v>
      </c>
      <c r="C547" s="64" t="s">
        <v>31</v>
      </c>
      <c r="D547" s="64" t="s">
        <v>32</v>
      </c>
      <c r="E547" s="64" t="s">
        <v>33</v>
      </c>
      <c r="F547" s="52" t="s">
        <v>411</v>
      </c>
      <c r="G547" s="91" t="s">
        <v>34</v>
      </c>
      <c r="H547" s="70" t="s">
        <v>1131</v>
      </c>
      <c r="I547" s="65">
        <v>46147</v>
      </c>
      <c r="J547" s="64">
        <f t="shared" ca="1" si="1096"/>
        <v>37</v>
      </c>
      <c r="K547" s="64" t="str">
        <f t="shared" si="1097"/>
        <v>Pending</v>
      </c>
      <c r="L547" s="52" t="s">
        <v>783</v>
      </c>
      <c r="M547" s="64">
        <v>18000</v>
      </c>
      <c r="N547" s="64">
        <v>16000</v>
      </c>
      <c r="O547" s="65">
        <v>46147</v>
      </c>
      <c r="P547" s="64">
        <f t="shared" si="1098"/>
        <v>2000</v>
      </c>
      <c r="Q547" s="64" t="s">
        <v>33</v>
      </c>
      <c r="R547" s="64" t="s">
        <v>56</v>
      </c>
      <c r="S547" s="64">
        <v>20500</v>
      </c>
      <c r="T547" s="64" t="s">
        <v>33</v>
      </c>
      <c r="U547" s="65" t="s">
        <v>33</v>
      </c>
      <c r="V547" s="64" t="s">
        <v>28</v>
      </c>
      <c r="W547" s="64">
        <f t="shared" si="1099"/>
        <v>2500</v>
      </c>
      <c r="X547" s="64" t="s">
        <v>963</v>
      </c>
      <c r="Y547" s="64" t="s">
        <v>29</v>
      </c>
      <c r="Z547" s="71">
        <f t="shared" si="1100"/>
        <v>13.888888888888889</v>
      </c>
      <c r="AA547" s="93"/>
    </row>
    <row r="548" spans="1:27" hidden="1">
      <c r="A548" s="64">
        <f>SUBTOTAL(3,C$2:C548)</f>
        <v>467</v>
      </c>
      <c r="B548" s="64" t="s">
        <v>1086</v>
      </c>
      <c r="C548" s="64" t="s">
        <v>119</v>
      </c>
      <c r="D548" s="64" t="s">
        <v>32</v>
      </c>
      <c r="E548" s="64" t="s">
        <v>33</v>
      </c>
      <c r="F548" s="52" t="s">
        <v>843</v>
      </c>
      <c r="G548" s="91" t="s">
        <v>67</v>
      </c>
      <c r="H548" s="98" t="s">
        <v>1132</v>
      </c>
      <c r="I548" s="65">
        <v>46147</v>
      </c>
      <c r="J548" s="64">
        <f t="shared" ca="1" si="1096"/>
        <v>37</v>
      </c>
      <c r="K548" s="64">
        <f t="shared" si="1097"/>
        <v>46170</v>
      </c>
      <c r="L548" s="52" t="s">
        <v>844</v>
      </c>
      <c r="M548" s="64">
        <v>21500</v>
      </c>
      <c r="N548" s="64">
        <v>21500</v>
      </c>
      <c r="O548" s="65">
        <v>46147</v>
      </c>
      <c r="P548" s="64">
        <f t="shared" si="1098"/>
        <v>0</v>
      </c>
      <c r="Q548" s="64" t="s">
        <v>33</v>
      </c>
      <c r="R548" s="64" t="s">
        <v>78</v>
      </c>
      <c r="S548" s="64">
        <v>25500</v>
      </c>
      <c r="T548" s="64" t="s">
        <v>2679</v>
      </c>
      <c r="U548" s="65">
        <v>46170</v>
      </c>
      <c r="V548" s="64" t="s">
        <v>28</v>
      </c>
      <c r="W548" s="64">
        <f t="shared" si="1099"/>
        <v>4000</v>
      </c>
      <c r="X548" s="64" t="s">
        <v>36</v>
      </c>
      <c r="Y548" s="64" t="s">
        <v>29</v>
      </c>
      <c r="Z548" s="71">
        <f t="shared" si="1100"/>
        <v>18.604651162790699</v>
      </c>
      <c r="AA548" s="93"/>
    </row>
    <row r="549" spans="1:27" hidden="1">
      <c r="A549" s="64">
        <f>SUBTOTAL(3,C$2:C549)</f>
        <v>467</v>
      </c>
      <c r="B549" s="64" t="s">
        <v>1086</v>
      </c>
      <c r="C549" s="64" t="s">
        <v>31</v>
      </c>
      <c r="D549" s="64" t="s">
        <v>32</v>
      </c>
      <c r="E549" s="64" t="s">
        <v>33</v>
      </c>
      <c r="F549" s="52" t="s">
        <v>1101</v>
      </c>
      <c r="G549" s="91" t="s">
        <v>34</v>
      </c>
      <c r="H549" s="98" t="s">
        <v>1133</v>
      </c>
      <c r="I549" s="65">
        <v>46147</v>
      </c>
      <c r="J549" s="64">
        <f t="shared" ref="J549" ca="1" si="1101">+TODAY()-I549</f>
        <v>37</v>
      </c>
      <c r="K549" s="64" t="str">
        <f t="shared" ref="K549" si="1102">+U549</f>
        <v>Pending</v>
      </c>
      <c r="L549" s="52" t="s">
        <v>519</v>
      </c>
      <c r="M549" s="64">
        <v>18300</v>
      </c>
      <c r="N549" s="64">
        <v>16500</v>
      </c>
      <c r="O549" s="65">
        <v>46147</v>
      </c>
      <c r="P549" s="64">
        <f t="shared" ref="P549" si="1103">+M549-N549</f>
        <v>1800</v>
      </c>
      <c r="Q549" s="64" t="s">
        <v>33</v>
      </c>
      <c r="R549" s="64" t="s">
        <v>37</v>
      </c>
      <c r="S549" s="64">
        <v>21500</v>
      </c>
      <c r="T549" s="64" t="s">
        <v>33</v>
      </c>
      <c r="U549" s="65" t="s">
        <v>33</v>
      </c>
      <c r="V549" s="64" t="s">
        <v>28</v>
      </c>
      <c r="W549" s="64">
        <f t="shared" ref="W549" si="1104">+S549-M549</f>
        <v>3200</v>
      </c>
      <c r="X549" s="64" t="s">
        <v>963</v>
      </c>
      <c r="Y549" s="64" t="s">
        <v>29</v>
      </c>
      <c r="Z549" s="71">
        <f t="shared" ref="Z549" si="1105">+W549*100/M549</f>
        <v>17.486338797814209</v>
      </c>
      <c r="AA549" s="93"/>
    </row>
    <row r="550" spans="1:27" hidden="1">
      <c r="A550" s="64">
        <f>SUBTOTAL(3,C$2:C550)</f>
        <v>467</v>
      </c>
      <c r="B550" s="64" t="s">
        <v>1086</v>
      </c>
      <c r="C550" s="64" t="s">
        <v>31</v>
      </c>
      <c r="D550" s="64" t="s">
        <v>32</v>
      </c>
      <c r="E550" s="64" t="s">
        <v>33</v>
      </c>
      <c r="F550" s="52" t="s">
        <v>354</v>
      </c>
      <c r="G550" s="91" t="s">
        <v>34</v>
      </c>
      <c r="H550" s="98" t="s">
        <v>1134</v>
      </c>
      <c r="I550" s="65">
        <v>46147</v>
      </c>
      <c r="J550" s="64">
        <f t="shared" ref="J550" ca="1" si="1106">+TODAY()-I550</f>
        <v>37</v>
      </c>
      <c r="K550" s="64">
        <f t="shared" ref="K550" si="1107">+U550</f>
        <v>46169</v>
      </c>
      <c r="L550" s="52" t="s">
        <v>355</v>
      </c>
      <c r="M550" s="64">
        <v>19000</v>
      </c>
      <c r="N550" s="64">
        <v>17000</v>
      </c>
      <c r="O550" s="65">
        <v>46147</v>
      </c>
      <c r="P550" s="64">
        <f t="shared" ref="P550" si="1108">+M550-N550</f>
        <v>2000</v>
      </c>
      <c r="Q550" s="64" t="s">
        <v>33</v>
      </c>
      <c r="R550" s="64" t="s">
        <v>39</v>
      </c>
      <c r="S550" s="64">
        <v>21800</v>
      </c>
      <c r="T550" s="64" t="s">
        <v>2672</v>
      </c>
      <c r="U550" s="65">
        <v>46169</v>
      </c>
      <c r="V550" s="64" t="s">
        <v>28</v>
      </c>
      <c r="W550" s="64">
        <f t="shared" ref="W550" si="1109">+S550-M550</f>
        <v>2800</v>
      </c>
      <c r="X550" s="64" t="s">
        <v>963</v>
      </c>
      <c r="Y550" s="64" t="s">
        <v>29</v>
      </c>
      <c r="Z550" s="71">
        <f t="shared" ref="Z550" si="1110">+W550*100/M550</f>
        <v>14.736842105263158</v>
      </c>
      <c r="AA550" s="93"/>
    </row>
    <row r="551" spans="1:27" hidden="1">
      <c r="A551" s="64">
        <f>SUBTOTAL(3,C$2:C551)</f>
        <v>467</v>
      </c>
      <c r="B551" s="64" t="s">
        <v>1086</v>
      </c>
      <c r="C551" s="64" t="s">
        <v>44</v>
      </c>
      <c r="D551" s="64" t="s">
        <v>32</v>
      </c>
      <c r="E551" s="64" t="s">
        <v>33</v>
      </c>
      <c r="F551" s="52" t="s">
        <v>245</v>
      </c>
      <c r="G551" s="91">
        <v>407</v>
      </c>
      <c r="H551" s="70" t="s">
        <v>1135</v>
      </c>
      <c r="I551" s="65">
        <v>46147</v>
      </c>
      <c r="J551" s="64">
        <f t="shared" ref="J551:J554" ca="1" si="1111">+TODAY()-I551</f>
        <v>37</v>
      </c>
      <c r="K551" s="64" t="str">
        <f t="shared" ref="K551:K554" si="1112">+U551</f>
        <v>Pending</v>
      </c>
      <c r="L551" s="52" t="s">
        <v>239</v>
      </c>
      <c r="M551" s="64">
        <v>29500</v>
      </c>
      <c r="N551" s="64">
        <v>27500</v>
      </c>
      <c r="O551" s="65">
        <v>46147</v>
      </c>
      <c r="P551" s="64">
        <f t="shared" ref="P551:P554" si="1113">+M551-N551</f>
        <v>2000</v>
      </c>
      <c r="Q551" s="64" t="s">
        <v>33</v>
      </c>
      <c r="R551" s="64" t="s">
        <v>52</v>
      </c>
      <c r="S551" s="64">
        <v>32500</v>
      </c>
      <c r="T551" s="64" t="s">
        <v>33</v>
      </c>
      <c r="U551" s="65" t="s">
        <v>33</v>
      </c>
      <c r="V551" s="64" t="s">
        <v>28</v>
      </c>
      <c r="W551" s="64">
        <f t="shared" ref="W551:W554" si="1114">+S551-M551</f>
        <v>3000</v>
      </c>
      <c r="X551" s="64" t="s">
        <v>36</v>
      </c>
      <c r="Y551" s="64" t="s">
        <v>29</v>
      </c>
      <c r="Z551" s="71">
        <f t="shared" ref="Z551:Z554" si="1115">+W551*100/M551</f>
        <v>10.169491525423728</v>
      </c>
      <c r="AA551" s="93"/>
    </row>
    <row r="552" spans="1:27" hidden="1">
      <c r="A552" s="64">
        <f>SUBTOTAL(3,C$2:C552)</f>
        <v>467</v>
      </c>
      <c r="B552" s="64" t="s">
        <v>1086</v>
      </c>
      <c r="C552" s="64" t="s">
        <v>80</v>
      </c>
      <c r="D552" s="64" t="s">
        <v>32</v>
      </c>
      <c r="E552" s="64" t="s">
        <v>33</v>
      </c>
      <c r="F552" s="52" t="s">
        <v>1142</v>
      </c>
      <c r="G552" s="91" t="s">
        <v>1098</v>
      </c>
      <c r="H552" s="98" t="s">
        <v>1153</v>
      </c>
      <c r="I552" s="65">
        <v>46147</v>
      </c>
      <c r="J552" s="64">
        <f t="shared" ca="1" si="1111"/>
        <v>37</v>
      </c>
      <c r="K552" s="64">
        <f t="shared" si="1112"/>
        <v>46169</v>
      </c>
      <c r="L552" s="52" t="s">
        <v>598</v>
      </c>
      <c r="M552" s="64">
        <v>19000</v>
      </c>
      <c r="N552" s="64">
        <v>17000</v>
      </c>
      <c r="O552" s="65">
        <v>46148</v>
      </c>
      <c r="P552" s="64">
        <f t="shared" si="1113"/>
        <v>2000</v>
      </c>
      <c r="Q552" s="64" t="s">
        <v>33</v>
      </c>
      <c r="R552" s="64" t="s">
        <v>39</v>
      </c>
      <c r="S552" s="64">
        <v>21800</v>
      </c>
      <c r="T552" s="64" t="s">
        <v>2672</v>
      </c>
      <c r="U552" s="65">
        <v>46169</v>
      </c>
      <c r="V552" s="64" t="s">
        <v>28</v>
      </c>
      <c r="W552" s="64">
        <f t="shared" si="1114"/>
        <v>2800</v>
      </c>
      <c r="X552" s="64" t="s">
        <v>36</v>
      </c>
      <c r="Y552" s="64" t="s">
        <v>29</v>
      </c>
      <c r="Z552" s="71">
        <f t="shared" si="1115"/>
        <v>14.736842105263158</v>
      </c>
      <c r="AA552" s="93"/>
    </row>
    <row r="553" spans="1:27" hidden="1">
      <c r="A553" s="64">
        <f>SUBTOTAL(3,C$2:C553)</f>
        <v>467</v>
      </c>
      <c r="B553" s="64" t="s">
        <v>1086</v>
      </c>
      <c r="C553" s="64" t="s">
        <v>31</v>
      </c>
      <c r="D553" s="64" t="s">
        <v>32</v>
      </c>
      <c r="E553" s="64" t="s">
        <v>33</v>
      </c>
      <c r="F553" s="52" t="s">
        <v>1143</v>
      </c>
      <c r="G553" s="91" t="s">
        <v>34</v>
      </c>
      <c r="H553" s="70" t="s">
        <v>1154</v>
      </c>
      <c r="I553" s="65">
        <v>46147</v>
      </c>
      <c r="J553" s="64">
        <f t="shared" ca="1" si="1111"/>
        <v>37</v>
      </c>
      <c r="K553" s="64" t="str">
        <f t="shared" si="1112"/>
        <v>Pending</v>
      </c>
      <c r="L553" s="52" t="s">
        <v>1034</v>
      </c>
      <c r="M553" s="64">
        <v>18300</v>
      </c>
      <c r="N553" s="64">
        <v>16500</v>
      </c>
      <c r="O553" s="65">
        <v>46148</v>
      </c>
      <c r="P553" s="64">
        <f t="shared" si="1113"/>
        <v>1800</v>
      </c>
      <c r="Q553" s="64" t="s">
        <v>33</v>
      </c>
      <c r="R553" s="64" t="s">
        <v>37</v>
      </c>
      <c r="S553" s="64">
        <v>21500</v>
      </c>
      <c r="T553" s="64" t="s">
        <v>33</v>
      </c>
      <c r="U553" s="65" t="s">
        <v>33</v>
      </c>
      <c r="V553" s="64" t="s">
        <v>28</v>
      </c>
      <c r="W553" s="64">
        <f t="shared" si="1114"/>
        <v>3200</v>
      </c>
      <c r="X553" s="64" t="s">
        <v>963</v>
      </c>
      <c r="Y553" s="64" t="s">
        <v>29</v>
      </c>
      <c r="Z553" s="71">
        <f t="shared" si="1115"/>
        <v>17.486338797814209</v>
      </c>
      <c r="AA553" s="93"/>
    </row>
    <row r="554" spans="1:27" hidden="1">
      <c r="A554" s="64">
        <f>SUBTOTAL(3,C$2:C554)</f>
        <v>467</v>
      </c>
      <c r="B554" s="64" t="s">
        <v>1086</v>
      </c>
      <c r="C554" s="64" t="s">
        <v>119</v>
      </c>
      <c r="D554" s="64" t="s">
        <v>32</v>
      </c>
      <c r="E554" s="64" t="s">
        <v>33</v>
      </c>
      <c r="F554" s="52" t="s">
        <v>1144</v>
      </c>
      <c r="G554" s="91" t="s">
        <v>67</v>
      </c>
      <c r="H554" s="98" t="s">
        <v>1155</v>
      </c>
      <c r="I554" s="65">
        <v>46147</v>
      </c>
      <c r="J554" s="64">
        <f t="shared" ca="1" si="1111"/>
        <v>37</v>
      </c>
      <c r="K554" s="64">
        <f t="shared" si="1112"/>
        <v>46162</v>
      </c>
      <c r="L554" s="52" t="s">
        <v>1145</v>
      </c>
      <c r="M554" s="64">
        <f>3000+38500</f>
        <v>41500</v>
      </c>
      <c r="N554" s="64">
        <v>35500</v>
      </c>
      <c r="O554" s="65">
        <v>46148</v>
      </c>
      <c r="P554" s="64">
        <f t="shared" si="1113"/>
        <v>6000</v>
      </c>
      <c r="Q554" s="64" t="s">
        <v>33</v>
      </c>
      <c r="R554" s="64" t="s">
        <v>52</v>
      </c>
      <c r="S554" s="64">
        <f>5000+42000</f>
        <v>47000</v>
      </c>
      <c r="T554" s="64" t="s">
        <v>2154</v>
      </c>
      <c r="U554" s="65">
        <v>46162</v>
      </c>
      <c r="V554" s="64" t="s">
        <v>28</v>
      </c>
      <c r="W554" s="64">
        <f t="shared" si="1114"/>
        <v>5500</v>
      </c>
      <c r="X554" s="64" t="s">
        <v>36</v>
      </c>
      <c r="Y554" s="64" t="s">
        <v>29</v>
      </c>
      <c r="Z554" s="71">
        <f t="shared" si="1115"/>
        <v>13.253012048192771</v>
      </c>
      <c r="AA554" s="93"/>
    </row>
    <row r="555" spans="1:27" hidden="1">
      <c r="A555" s="64">
        <f>SUBTOTAL(3,C$2:C555)</f>
        <v>467</v>
      </c>
      <c r="B555" s="64" t="s">
        <v>1086</v>
      </c>
      <c r="C555" s="64" t="s">
        <v>31</v>
      </c>
      <c r="D555" s="64" t="s">
        <v>32</v>
      </c>
      <c r="E555" s="64" t="s">
        <v>33</v>
      </c>
      <c r="F555" s="52" t="s">
        <v>280</v>
      </c>
      <c r="G555" s="91" t="s">
        <v>34</v>
      </c>
      <c r="H555" s="98" t="s">
        <v>1156</v>
      </c>
      <c r="I555" s="65">
        <v>46148</v>
      </c>
      <c r="J555" s="64">
        <f t="shared" ref="J555:J557" ca="1" si="1116">+TODAY()-I555</f>
        <v>36</v>
      </c>
      <c r="K555" s="64">
        <f t="shared" ref="K555:K557" si="1117">+U555</f>
        <v>46162</v>
      </c>
      <c r="L555" s="52" t="s">
        <v>355</v>
      </c>
      <c r="M555" s="64">
        <v>19000</v>
      </c>
      <c r="N555" s="64">
        <v>17000</v>
      </c>
      <c r="O555" s="65">
        <v>46148</v>
      </c>
      <c r="P555" s="64">
        <f t="shared" ref="P555:P557" si="1118">+M555-N555</f>
        <v>2000</v>
      </c>
      <c r="Q555" s="64" t="s">
        <v>33</v>
      </c>
      <c r="R555" s="64" t="s">
        <v>39</v>
      </c>
      <c r="S555" s="64">
        <v>21800</v>
      </c>
      <c r="T555" s="64" t="s">
        <v>2150</v>
      </c>
      <c r="U555" s="65">
        <v>46162</v>
      </c>
      <c r="V555" s="64" t="s">
        <v>28</v>
      </c>
      <c r="W555" s="64">
        <f t="shared" ref="W555:W557" si="1119">+S555-M555</f>
        <v>2800</v>
      </c>
      <c r="X555" s="64" t="s">
        <v>963</v>
      </c>
      <c r="Y555" s="64" t="s">
        <v>29</v>
      </c>
      <c r="Z555" s="71">
        <f t="shared" ref="Z555:Z557" si="1120">+W555*100/M555</f>
        <v>14.736842105263158</v>
      </c>
      <c r="AA555" s="93"/>
    </row>
    <row r="556" spans="1:27" hidden="1">
      <c r="A556" s="64">
        <f>SUBTOTAL(3,C$2:C556)</f>
        <v>467</v>
      </c>
      <c r="B556" s="64" t="s">
        <v>1086</v>
      </c>
      <c r="C556" s="64" t="s">
        <v>31</v>
      </c>
      <c r="D556" s="64" t="s">
        <v>32</v>
      </c>
      <c r="E556" s="64" t="s">
        <v>33</v>
      </c>
      <c r="F556" s="52" t="s">
        <v>377</v>
      </c>
      <c r="G556" s="91" t="s">
        <v>34</v>
      </c>
      <c r="H556" s="98" t="s">
        <v>1157</v>
      </c>
      <c r="I556" s="65">
        <v>46148</v>
      </c>
      <c r="J556" s="64">
        <f t="shared" ca="1" si="1116"/>
        <v>36</v>
      </c>
      <c r="K556" s="64">
        <f t="shared" si="1117"/>
        <v>46162</v>
      </c>
      <c r="L556" s="52" t="s">
        <v>355</v>
      </c>
      <c r="M556" s="64">
        <v>19000</v>
      </c>
      <c r="N556" s="64">
        <v>17000</v>
      </c>
      <c r="O556" s="65">
        <v>46148</v>
      </c>
      <c r="P556" s="64">
        <f t="shared" si="1118"/>
        <v>2000</v>
      </c>
      <c r="Q556" s="64" t="s">
        <v>33</v>
      </c>
      <c r="R556" s="64" t="s">
        <v>39</v>
      </c>
      <c r="S556" s="64">
        <v>21800</v>
      </c>
      <c r="T556" s="64" t="s">
        <v>2150</v>
      </c>
      <c r="U556" s="65">
        <v>46162</v>
      </c>
      <c r="V556" s="64" t="s">
        <v>28</v>
      </c>
      <c r="W556" s="64">
        <f t="shared" si="1119"/>
        <v>2800</v>
      </c>
      <c r="X556" s="64" t="s">
        <v>963</v>
      </c>
      <c r="Y556" s="64" t="s">
        <v>29</v>
      </c>
      <c r="Z556" s="71">
        <f t="shared" si="1120"/>
        <v>14.736842105263158</v>
      </c>
      <c r="AA556" s="93"/>
    </row>
    <row r="557" spans="1:27" hidden="1">
      <c r="A557" s="64">
        <f>SUBTOTAL(3,C$2:C557)</f>
        <v>467</v>
      </c>
      <c r="B557" s="64" t="s">
        <v>1086</v>
      </c>
      <c r="C557" s="64" t="s">
        <v>44</v>
      </c>
      <c r="D557" s="64" t="s">
        <v>32</v>
      </c>
      <c r="E557" s="64" t="s">
        <v>33</v>
      </c>
      <c r="F557" s="52" t="s">
        <v>1146</v>
      </c>
      <c r="G557" s="91" t="s">
        <v>46</v>
      </c>
      <c r="H557" s="98" t="s">
        <v>1158</v>
      </c>
      <c r="I557" s="65">
        <v>46148</v>
      </c>
      <c r="J557" s="64">
        <f t="shared" ca="1" si="1116"/>
        <v>36</v>
      </c>
      <c r="K557" s="64">
        <f t="shared" si="1117"/>
        <v>46170</v>
      </c>
      <c r="L557" s="52" t="s">
        <v>355</v>
      </c>
      <c r="M557" s="64">
        <v>19000</v>
      </c>
      <c r="N557" s="64">
        <v>17000</v>
      </c>
      <c r="O557" s="65">
        <v>46148</v>
      </c>
      <c r="P557" s="64">
        <f t="shared" si="1118"/>
        <v>2000</v>
      </c>
      <c r="Q557" s="64" t="s">
        <v>33</v>
      </c>
      <c r="R557" s="64" t="s">
        <v>196</v>
      </c>
      <c r="S557" s="64">
        <v>21800</v>
      </c>
      <c r="T557" s="64" t="s">
        <v>2673</v>
      </c>
      <c r="U557" s="65">
        <v>46170</v>
      </c>
      <c r="V557" s="64" t="s">
        <v>28</v>
      </c>
      <c r="W557" s="64">
        <f t="shared" si="1119"/>
        <v>2800</v>
      </c>
      <c r="X557" s="64" t="s">
        <v>36</v>
      </c>
      <c r="Y557" s="64" t="s">
        <v>29</v>
      </c>
      <c r="Z557" s="71">
        <f t="shared" si="1120"/>
        <v>14.736842105263158</v>
      </c>
      <c r="AA557" s="93"/>
    </row>
    <row r="558" spans="1:27" hidden="1">
      <c r="A558" s="64">
        <f>SUBTOTAL(3,C$2:C558)</f>
        <v>467</v>
      </c>
      <c r="B558" s="64" t="s">
        <v>1086</v>
      </c>
      <c r="C558" s="64" t="s">
        <v>44</v>
      </c>
      <c r="D558" s="64" t="s">
        <v>32</v>
      </c>
      <c r="E558" s="64" t="s">
        <v>33</v>
      </c>
      <c r="F558" s="52" t="s">
        <v>1147</v>
      </c>
      <c r="G558" s="91" t="s">
        <v>46</v>
      </c>
      <c r="H558" s="98" t="s">
        <v>1159</v>
      </c>
      <c r="I558" s="65">
        <v>46148</v>
      </c>
      <c r="J558" s="64">
        <f t="shared" ref="J558:J559" ca="1" si="1121">+TODAY()-I558</f>
        <v>36</v>
      </c>
      <c r="K558" s="64">
        <f t="shared" ref="K558:K559" si="1122">+U558</f>
        <v>46169</v>
      </c>
      <c r="L558" s="52" t="s">
        <v>995</v>
      </c>
      <c r="M558" s="64">
        <v>28000</v>
      </c>
      <c r="N558" s="64">
        <v>26000</v>
      </c>
      <c r="O558" s="65">
        <v>46148</v>
      </c>
      <c r="P558" s="64">
        <f t="shared" ref="P558:P559" si="1123">+M558-N558</f>
        <v>2000</v>
      </c>
      <c r="Q558" s="64" t="s">
        <v>33</v>
      </c>
      <c r="R558" s="64" t="s">
        <v>39</v>
      </c>
      <c r="S558" s="64">
        <v>31500</v>
      </c>
      <c r="T558" s="64" t="s">
        <v>2680</v>
      </c>
      <c r="U558" s="65">
        <v>46169</v>
      </c>
      <c r="V558" s="64" t="s">
        <v>28</v>
      </c>
      <c r="W558" s="64">
        <f t="shared" ref="W558:W559" si="1124">+S558-M558</f>
        <v>3500</v>
      </c>
      <c r="X558" s="64" t="s">
        <v>36</v>
      </c>
      <c r="Y558" s="64" t="s">
        <v>29</v>
      </c>
      <c r="Z558" s="71">
        <f t="shared" ref="Z558:Z559" si="1125">+W558*100/M558</f>
        <v>12.5</v>
      </c>
      <c r="AA558" s="93"/>
    </row>
    <row r="559" spans="1:27" hidden="1">
      <c r="A559" s="64">
        <f>SUBTOTAL(3,C$2:C559)</f>
        <v>467</v>
      </c>
      <c r="B559" s="64" t="s">
        <v>1086</v>
      </c>
      <c r="C559" s="64" t="s">
        <v>31</v>
      </c>
      <c r="D559" s="64" t="s">
        <v>32</v>
      </c>
      <c r="E559" s="64" t="s">
        <v>33</v>
      </c>
      <c r="F559" s="52" t="s">
        <v>967</v>
      </c>
      <c r="G559" s="91" t="s">
        <v>34</v>
      </c>
      <c r="H559" s="98" t="s">
        <v>1160</v>
      </c>
      <c r="I559" s="65">
        <v>46148</v>
      </c>
      <c r="J559" s="64">
        <f t="shared" ca="1" si="1121"/>
        <v>36</v>
      </c>
      <c r="K559" s="64" t="str">
        <f t="shared" si="1122"/>
        <v>Pending</v>
      </c>
      <c r="L559" s="52" t="s">
        <v>400</v>
      </c>
      <c r="M559" s="64">
        <v>23300</v>
      </c>
      <c r="N559" s="64">
        <v>21500</v>
      </c>
      <c r="O559" s="65">
        <v>46148</v>
      </c>
      <c r="P559" s="64">
        <f t="shared" si="1123"/>
        <v>1800</v>
      </c>
      <c r="Q559" s="64" t="s">
        <v>33</v>
      </c>
      <c r="R559" s="64" t="s">
        <v>37</v>
      </c>
      <c r="S559" s="64">
        <v>26000</v>
      </c>
      <c r="T559" s="64" t="s">
        <v>33</v>
      </c>
      <c r="U559" s="65" t="s">
        <v>33</v>
      </c>
      <c r="V559" s="64" t="s">
        <v>28</v>
      </c>
      <c r="W559" s="64">
        <f t="shared" si="1124"/>
        <v>2700</v>
      </c>
      <c r="X559" s="64" t="s">
        <v>963</v>
      </c>
      <c r="Y559" s="64" t="s">
        <v>29</v>
      </c>
      <c r="Z559" s="71">
        <f t="shared" si="1125"/>
        <v>11.587982832618026</v>
      </c>
      <c r="AA559" s="93"/>
    </row>
    <row r="560" spans="1:27" hidden="1">
      <c r="A560" s="64">
        <f>SUBTOTAL(3,C$2:C560)</f>
        <v>467</v>
      </c>
      <c r="B560" s="64" t="s">
        <v>1086</v>
      </c>
      <c r="C560" s="64" t="s">
        <v>31</v>
      </c>
      <c r="D560" s="64" t="s">
        <v>32</v>
      </c>
      <c r="E560" s="64" t="s">
        <v>33</v>
      </c>
      <c r="F560" s="52" t="s">
        <v>85</v>
      </c>
      <c r="G560" s="91" t="s">
        <v>34</v>
      </c>
      <c r="H560" s="70" t="s">
        <v>1161</v>
      </c>
      <c r="I560" s="65">
        <v>46148</v>
      </c>
      <c r="J560" s="64">
        <f t="shared" ref="J560" ca="1" si="1126">+TODAY()-I560</f>
        <v>36</v>
      </c>
      <c r="K560" s="64" t="str">
        <f t="shared" ref="K560" si="1127">+U560</f>
        <v>Pending</v>
      </c>
      <c r="L560" s="52" t="s">
        <v>355</v>
      </c>
      <c r="M560" s="64">
        <v>19000</v>
      </c>
      <c r="N560" s="64">
        <v>17000</v>
      </c>
      <c r="O560" s="65">
        <v>46148</v>
      </c>
      <c r="P560" s="64">
        <f t="shared" ref="P560" si="1128">+M560-N560</f>
        <v>2000</v>
      </c>
      <c r="Q560" s="64" t="s">
        <v>33</v>
      </c>
      <c r="R560" s="64" t="s">
        <v>39</v>
      </c>
      <c r="S560" s="64">
        <v>21800</v>
      </c>
      <c r="T560" s="64" t="s">
        <v>33</v>
      </c>
      <c r="U560" s="65" t="s">
        <v>33</v>
      </c>
      <c r="V560" s="64" t="s">
        <v>28</v>
      </c>
      <c r="W560" s="64">
        <f t="shared" ref="W560" si="1129">+S560-M560</f>
        <v>2800</v>
      </c>
      <c r="X560" s="64" t="s">
        <v>963</v>
      </c>
      <c r="Y560" s="64" t="s">
        <v>29</v>
      </c>
      <c r="Z560" s="71">
        <f t="shared" ref="Z560" si="1130">+W560*100/M560</f>
        <v>14.736842105263158</v>
      </c>
      <c r="AA560" s="93"/>
    </row>
    <row r="561" spans="1:27" hidden="1">
      <c r="A561" s="64">
        <f>SUBTOTAL(3,C$2:C561)</f>
        <v>467</v>
      </c>
      <c r="B561" s="64" t="s">
        <v>1086</v>
      </c>
      <c r="C561" s="64" t="s">
        <v>31</v>
      </c>
      <c r="D561" s="64" t="s">
        <v>32</v>
      </c>
      <c r="E561" s="64" t="s">
        <v>33</v>
      </c>
      <c r="F561" s="52" t="s">
        <v>831</v>
      </c>
      <c r="G561" s="91">
        <v>407</v>
      </c>
      <c r="H561" s="98" t="s">
        <v>1162</v>
      </c>
      <c r="I561" s="65">
        <v>46148</v>
      </c>
      <c r="J561" s="64">
        <f t="shared" ref="J561" ca="1" si="1131">+TODAY()-I561</f>
        <v>36</v>
      </c>
      <c r="K561" s="64" t="str">
        <f t="shared" ref="K561" si="1132">+U561</f>
        <v>Pending</v>
      </c>
      <c r="L561" s="52" t="s">
        <v>687</v>
      </c>
      <c r="M561" s="64">
        <v>28000</v>
      </c>
      <c r="N561" s="64">
        <v>26000</v>
      </c>
      <c r="O561" s="65">
        <v>46148</v>
      </c>
      <c r="P561" s="64">
        <f t="shared" ref="P561" si="1133">+M561-N561</f>
        <v>2000</v>
      </c>
      <c r="Q561" s="64" t="s">
        <v>33</v>
      </c>
      <c r="R561" s="64" t="s">
        <v>37</v>
      </c>
      <c r="S561" s="64">
        <v>33000</v>
      </c>
      <c r="T561" s="64" t="s">
        <v>33</v>
      </c>
      <c r="U561" s="65" t="s">
        <v>33</v>
      </c>
      <c r="V561" s="64" t="s">
        <v>28</v>
      </c>
      <c r="W561" s="64">
        <f t="shared" ref="W561" si="1134">+S561-M561</f>
        <v>5000</v>
      </c>
      <c r="X561" s="64" t="s">
        <v>963</v>
      </c>
      <c r="Y561" s="64" t="s">
        <v>29</v>
      </c>
      <c r="Z561" s="71">
        <f t="shared" ref="Z561" si="1135">+W561*100/M561</f>
        <v>17.857142857142858</v>
      </c>
      <c r="AA561" s="93"/>
    </row>
    <row r="562" spans="1:27" hidden="1">
      <c r="A562" s="64">
        <f>SUBTOTAL(3,C$2:C562)</f>
        <v>467</v>
      </c>
      <c r="B562" s="64" t="s">
        <v>1086</v>
      </c>
      <c r="C562" s="64" t="s">
        <v>31</v>
      </c>
      <c r="D562" s="64" t="s">
        <v>32</v>
      </c>
      <c r="E562" s="64" t="s">
        <v>33</v>
      </c>
      <c r="F562" s="52" t="s">
        <v>375</v>
      </c>
      <c r="G562" s="91" t="s">
        <v>34</v>
      </c>
      <c r="H562" s="98" t="s">
        <v>1163</v>
      </c>
      <c r="I562" s="65">
        <v>46148</v>
      </c>
      <c r="J562" s="64">
        <f t="shared" ref="J562" ca="1" si="1136">+TODAY()-I562</f>
        <v>36</v>
      </c>
      <c r="K562" s="64">
        <f t="shared" ref="K562" si="1137">+U562</f>
        <v>46169</v>
      </c>
      <c r="L562" s="52" t="s">
        <v>355</v>
      </c>
      <c r="M562" s="64">
        <v>19000</v>
      </c>
      <c r="N562" s="64">
        <v>17000</v>
      </c>
      <c r="O562" s="65">
        <v>46148</v>
      </c>
      <c r="P562" s="64">
        <f t="shared" ref="P562" si="1138">+M562-N562</f>
        <v>2000</v>
      </c>
      <c r="Q562" s="64" t="s">
        <v>33</v>
      </c>
      <c r="R562" s="64" t="s">
        <v>39</v>
      </c>
      <c r="S562" s="64">
        <v>21800</v>
      </c>
      <c r="T562" s="64" t="s">
        <v>2674</v>
      </c>
      <c r="U562" s="65">
        <v>46169</v>
      </c>
      <c r="V562" s="64" t="s">
        <v>28</v>
      </c>
      <c r="W562" s="64">
        <f t="shared" ref="W562" si="1139">+S562-M562</f>
        <v>2800</v>
      </c>
      <c r="X562" s="64" t="s">
        <v>963</v>
      </c>
      <c r="Y562" s="64" t="s">
        <v>29</v>
      </c>
      <c r="Z562" s="71">
        <f t="shared" ref="Z562" si="1140">+W562*100/M562</f>
        <v>14.736842105263158</v>
      </c>
      <c r="AA562" s="93"/>
    </row>
    <row r="563" spans="1:27" hidden="1">
      <c r="A563" s="64">
        <f>SUBTOTAL(3,C$2:C563)</f>
        <v>467</v>
      </c>
      <c r="B563" s="64" t="s">
        <v>1086</v>
      </c>
      <c r="C563" s="64" t="s">
        <v>31</v>
      </c>
      <c r="D563" s="64" t="s">
        <v>32</v>
      </c>
      <c r="E563" s="64" t="s">
        <v>33</v>
      </c>
      <c r="F563" s="52" t="s">
        <v>497</v>
      </c>
      <c r="G563" s="91" t="s">
        <v>34</v>
      </c>
      <c r="H563" s="98" t="s">
        <v>1164</v>
      </c>
      <c r="I563" s="65">
        <v>46148</v>
      </c>
      <c r="J563" s="64">
        <f t="shared" ref="J563" ca="1" si="1141">+TODAY()-I563</f>
        <v>36</v>
      </c>
      <c r="K563" s="64">
        <f t="shared" ref="K563" si="1142">+U563</f>
        <v>46163</v>
      </c>
      <c r="L563" s="52" t="s">
        <v>783</v>
      </c>
      <c r="M563" s="64">
        <v>18000</v>
      </c>
      <c r="N563" s="64">
        <v>16000</v>
      </c>
      <c r="O563" s="65">
        <v>46148</v>
      </c>
      <c r="P563" s="64">
        <f t="shared" ref="P563" si="1143">+M563-N563</f>
        <v>2000</v>
      </c>
      <c r="Q563" s="64" t="s">
        <v>33</v>
      </c>
      <c r="R563" s="64" t="s">
        <v>56</v>
      </c>
      <c r="S563" s="64">
        <v>20500</v>
      </c>
      <c r="T563" s="64" t="s">
        <v>2186</v>
      </c>
      <c r="U563" s="65">
        <v>46163</v>
      </c>
      <c r="V563" s="64" t="s">
        <v>28</v>
      </c>
      <c r="W563" s="64">
        <f t="shared" ref="W563" si="1144">+S563-M563</f>
        <v>2500</v>
      </c>
      <c r="X563" s="64" t="s">
        <v>963</v>
      </c>
      <c r="Y563" s="64" t="s">
        <v>29</v>
      </c>
      <c r="Z563" s="71">
        <f t="shared" ref="Z563" si="1145">+W563*100/M563</f>
        <v>13.888888888888889</v>
      </c>
      <c r="AA563" s="93"/>
    </row>
    <row r="564" spans="1:27" hidden="1">
      <c r="A564" s="64">
        <f>SUBTOTAL(3,C$2:C564)</f>
        <v>467</v>
      </c>
      <c r="B564" s="64" t="s">
        <v>1086</v>
      </c>
      <c r="C564" s="64" t="s">
        <v>31</v>
      </c>
      <c r="D564" s="64" t="s">
        <v>32</v>
      </c>
      <c r="E564" s="64" t="s">
        <v>33</v>
      </c>
      <c r="F564" s="52" t="s">
        <v>1148</v>
      </c>
      <c r="G564" s="91" t="s">
        <v>34</v>
      </c>
      <c r="H564" s="70" t="s">
        <v>1165</v>
      </c>
      <c r="I564" s="65">
        <v>46148</v>
      </c>
      <c r="J564" s="64">
        <f t="shared" ref="J564" ca="1" si="1146">+TODAY()-I564</f>
        <v>36</v>
      </c>
      <c r="K564" s="64" t="str">
        <f t="shared" ref="K564" si="1147">+U564</f>
        <v>Pending</v>
      </c>
      <c r="L564" s="52" t="s">
        <v>519</v>
      </c>
      <c r="M564" s="64">
        <v>18300</v>
      </c>
      <c r="N564" s="64">
        <v>16500</v>
      </c>
      <c r="O564" s="65">
        <v>46148</v>
      </c>
      <c r="P564" s="64">
        <f t="shared" ref="P564" si="1148">+M564-N564</f>
        <v>1800</v>
      </c>
      <c r="Q564" s="64" t="s">
        <v>33</v>
      </c>
      <c r="R564" s="64" t="s">
        <v>37</v>
      </c>
      <c r="S564" s="64">
        <v>21500</v>
      </c>
      <c r="T564" s="64" t="s">
        <v>33</v>
      </c>
      <c r="U564" s="65" t="s">
        <v>33</v>
      </c>
      <c r="V564" s="64" t="s">
        <v>28</v>
      </c>
      <c r="W564" s="64">
        <f t="shared" ref="W564" si="1149">+S564-M564</f>
        <v>3200</v>
      </c>
      <c r="X564" s="64" t="s">
        <v>963</v>
      </c>
      <c r="Y564" s="64" t="s">
        <v>29</v>
      </c>
      <c r="Z564" s="71">
        <f t="shared" ref="Z564" si="1150">+W564*100/M564</f>
        <v>17.486338797814209</v>
      </c>
      <c r="AA564" s="93"/>
    </row>
    <row r="565" spans="1:27" hidden="1">
      <c r="A565" s="64">
        <f>SUBTOTAL(3,C$2:C565)</f>
        <v>467</v>
      </c>
      <c r="B565" s="64" t="s">
        <v>1086</v>
      </c>
      <c r="C565" s="64" t="s">
        <v>31</v>
      </c>
      <c r="D565" s="64" t="s">
        <v>32</v>
      </c>
      <c r="E565" s="64" t="s">
        <v>33</v>
      </c>
      <c r="F565" s="52" t="s">
        <v>1149</v>
      </c>
      <c r="G565" s="91" t="s">
        <v>34</v>
      </c>
      <c r="H565" s="98" t="s">
        <v>1166</v>
      </c>
      <c r="I565" s="65">
        <v>46148</v>
      </c>
      <c r="J565" s="64">
        <f t="shared" ref="J565:J567" ca="1" si="1151">+TODAY()-I565</f>
        <v>36</v>
      </c>
      <c r="K565" s="64">
        <f t="shared" ref="K565:K567" si="1152">+U565</f>
        <v>46170</v>
      </c>
      <c r="L565" s="52" t="s">
        <v>987</v>
      </c>
      <c r="M565" s="64">
        <v>17000</v>
      </c>
      <c r="N565" s="64">
        <v>16000</v>
      </c>
      <c r="O565" s="65">
        <v>46148</v>
      </c>
      <c r="P565" s="64">
        <f t="shared" ref="P565:P567" si="1153">+M565-N565</f>
        <v>1000</v>
      </c>
      <c r="Q565" s="64" t="s">
        <v>33</v>
      </c>
      <c r="R565" s="64" t="s">
        <v>78</v>
      </c>
      <c r="S565" s="64">
        <v>21000</v>
      </c>
      <c r="T565" s="64" t="s">
        <v>2681</v>
      </c>
      <c r="U565" s="65">
        <v>46170</v>
      </c>
      <c r="V565" s="64" t="s">
        <v>28</v>
      </c>
      <c r="W565" s="64">
        <f t="shared" ref="W565:W567" si="1154">+S565-M565</f>
        <v>4000</v>
      </c>
      <c r="X565" s="64" t="s">
        <v>963</v>
      </c>
      <c r="Y565" s="64" t="s">
        <v>29</v>
      </c>
      <c r="Z565" s="71">
        <f t="shared" ref="Z565:Z567" si="1155">+W565*100/M565</f>
        <v>23.529411764705884</v>
      </c>
      <c r="AA565" s="93"/>
    </row>
    <row r="566" spans="1:27" hidden="1">
      <c r="A566" s="64">
        <f>SUBTOTAL(3,C$2:C566)</f>
        <v>467</v>
      </c>
      <c r="B566" s="64" t="s">
        <v>1086</v>
      </c>
      <c r="C566" s="64" t="s">
        <v>328</v>
      </c>
      <c r="D566" s="64" t="s">
        <v>32</v>
      </c>
      <c r="E566" s="64" t="s">
        <v>33</v>
      </c>
      <c r="F566" s="52" t="s">
        <v>329</v>
      </c>
      <c r="G566" s="91" t="s">
        <v>1152</v>
      </c>
      <c r="H566" s="98" t="s">
        <v>1167</v>
      </c>
      <c r="I566" s="65">
        <v>46148</v>
      </c>
      <c r="J566" s="64">
        <f t="shared" ca="1" si="1151"/>
        <v>36</v>
      </c>
      <c r="K566" s="64">
        <f t="shared" si="1152"/>
        <v>46162</v>
      </c>
      <c r="L566" s="52" t="s">
        <v>246</v>
      </c>
      <c r="M566" s="64">
        <f>3000+44000</f>
        <v>47000</v>
      </c>
      <c r="N566" s="64">
        <v>40000</v>
      </c>
      <c r="O566" s="65">
        <v>46148</v>
      </c>
      <c r="P566" s="64">
        <f t="shared" si="1153"/>
        <v>7000</v>
      </c>
      <c r="Q566" s="64" t="s">
        <v>33</v>
      </c>
      <c r="R566" s="64" t="s">
        <v>52</v>
      </c>
      <c r="S566" s="64">
        <f>5000+48000</f>
        <v>53000</v>
      </c>
      <c r="T566" s="64" t="s">
        <v>2156</v>
      </c>
      <c r="U566" s="65">
        <v>46162</v>
      </c>
      <c r="V566" s="64" t="s">
        <v>28</v>
      </c>
      <c r="W566" s="64">
        <f t="shared" si="1154"/>
        <v>6000</v>
      </c>
      <c r="X566" s="64" t="s">
        <v>36</v>
      </c>
      <c r="Y566" s="64" t="s">
        <v>29</v>
      </c>
      <c r="Z566" s="71">
        <f t="shared" si="1155"/>
        <v>12.76595744680851</v>
      </c>
      <c r="AA566" s="93"/>
    </row>
    <row r="567" spans="1:27" hidden="1">
      <c r="A567" s="64">
        <f>SUBTOTAL(3,C$2:C567)</f>
        <v>467</v>
      </c>
      <c r="B567" s="64" t="s">
        <v>1086</v>
      </c>
      <c r="C567" s="64" t="s">
        <v>44</v>
      </c>
      <c r="D567" s="64" t="s">
        <v>32</v>
      </c>
      <c r="E567" s="64" t="s">
        <v>33</v>
      </c>
      <c r="F567" s="52" t="s">
        <v>1193</v>
      </c>
      <c r="G567" s="91" t="s">
        <v>607</v>
      </c>
      <c r="H567" s="98" t="s">
        <v>1230</v>
      </c>
      <c r="I567" s="65">
        <v>46148</v>
      </c>
      <c r="J567" s="64">
        <f t="shared" ca="1" si="1151"/>
        <v>36</v>
      </c>
      <c r="K567" s="64">
        <f t="shared" si="1152"/>
        <v>46170</v>
      </c>
      <c r="L567" s="52" t="s">
        <v>609</v>
      </c>
      <c r="M567" s="64">
        <v>38500</v>
      </c>
      <c r="N567" s="64">
        <v>35500</v>
      </c>
      <c r="O567" s="65">
        <v>46149</v>
      </c>
      <c r="P567" s="64">
        <f t="shared" si="1153"/>
        <v>3000</v>
      </c>
      <c r="Q567" s="64" t="s">
        <v>33</v>
      </c>
      <c r="R567" s="64" t="s">
        <v>52</v>
      </c>
      <c r="S567" s="64">
        <v>41500</v>
      </c>
      <c r="T567" s="64" t="s">
        <v>2682</v>
      </c>
      <c r="U567" s="65">
        <v>46170</v>
      </c>
      <c r="V567" s="64" t="s">
        <v>28</v>
      </c>
      <c r="W567" s="64">
        <f t="shared" si="1154"/>
        <v>3000</v>
      </c>
      <c r="X567" s="64" t="s">
        <v>36</v>
      </c>
      <c r="Y567" s="64" t="s">
        <v>29</v>
      </c>
      <c r="Z567" s="71">
        <f t="shared" si="1155"/>
        <v>7.7922077922077921</v>
      </c>
      <c r="AA567" s="93"/>
    </row>
    <row r="568" spans="1:27" hidden="1">
      <c r="A568" s="64">
        <f>SUBTOTAL(3,C$2:C568)</f>
        <v>467</v>
      </c>
      <c r="B568" s="64" t="s">
        <v>1086</v>
      </c>
      <c r="C568" s="64" t="s">
        <v>44</v>
      </c>
      <c r="D568" s="64" t="s">
        <v>32</v>
      </c>
      <c r="E568" s="64" t="s">
        <v>33</v>
      </c>
      <c r="F568" s="52" t="s">
        <v>1194</v>
      </c>
      <c r="G568" s="91">
        <v>407</v>
      </c>
      <c r="H568" s="98" t="s">
        <v>1231</v>
      </c>
      <c r="I568" s="65">
        <v>46148</v>
      </c>
      <c r="J568" s="64">
        <f t="shared" ref="J568:J569" ca="1" si="1156">+TODAY()-I568</f>
        <v>36</v>
      </c>
      <c r="K568" s="64">
        <f t="shared" ref="K568:K569" si="1157">+U568</f>
        <v>46170</v>
      </c>
      <c r="L568" s="52" t="s">
        <v>381</v>
      </c>
      <c r="M568" s="64">
        <v>28000</v>
      </c>
      <c r="N568" s="64">
        <v>25000</v>
      </c>
      <c r="O568" s="65">
        <v>46149</v>
      </c>
      <c r="P568" s="64">
        <f t="shared" ref="P568:P569" si="1158">+M568-N568</f>
        <v>3000</v>
      </c>
      <c r="Q568" s="64" t="s">
        <v>33</v>
      </c>
      <c r="R568" s="64" t="s">
        <v>56</v>
      </c>
      <c r="S568" s="64">
        <v>30800</v>
      </c>
      <c r="T568" s="64" t="s">
        <v>2683</v>
      </c>
      <c r="U568" s="65">
        <v>46170</v>
      </c>
      <c r="V568" s="64" t="s">
        <v>28</v>
      </c>
      <c r="W568" s="64">
        <f t="shared" ref="W568:W569" si="1159">+S568-M568</f>
        <v>2800</v>
      </c>
      <c r="X568" s="64" t="s">
        <v>36</v>
      </c>
      <c r="Y568" s="64" t="s">
        <v>29</v>
      </c>
      <c r="Z568" s="71">
        <f t="shared" ref="Z568:Z569" si="1160">+W568*100/M568</f>
        <v>10</v>
      </c>
      <c r="AA568" s="93"/>
    </row>
    <row r="569" spans="1:27" hidden="1">
      <c r="A569" s="64">
        <f>SUBTOTAL(3,C$2:C569)</f>
        <v>467</v>
      </c>
      <c r="B569" s="64" t="s">
        <v>1086</v>
      </c>
      <c r="C569" s="64" t="s">
        <v>31</v>
      </c>
      <c r="D569" s="64" t="s">
        <v>32</v>
      </c>
      <c r="E569" s="64" t="s">
        <v>33</v>
      </c>
      <c r="F569" s="52" t="s">
        <v>1195</v>
      </c>
      <c r="G569" s="91" t="s">
        <v>34</v>
      </c>
      <c r="H569" s="70" t="s">
        <v>1232</v>
      </c>
      <c r="I569" s="65">
        <v>46148</v>
      </c>
      <c r="J569" s="64">
        <f t="shared" ca="1" si="1156"/>
        <v>36</v>
      </c>
      <c r="K569" s="64" t="str">
        <f t="shared" si="1157"/>
        <v>Pending</v>
      </c>
      <c r="L569" s="52" t="s">
        <v>605</v>
      </c>
      <c r="M569" s="64">
        <v>19000</v>
      </c>
      <c r="N569" s="64">
        <v>17000</v>
      </c>
      <c r="O569" s="65">
        <v>46149</v>
      </c>
      <c r="P569" s="64">
        <f t="shared" si="1158"/>
        <v>2000</v>
      </c>
      <c r="Q569" s="64" t="s">
        <v>33</v>
      </c>
      <c r="R569" s="64" t="s">
        <v>112</v>
      </c>
      <c r="S569" s="64">
        <v>24000</v>
      </c>
      <c r="T569" s="64" t="s">
        <v>33</v>
      </c>
      <c r="U569" s="65" t="s">
        <v>33</v>
      </c>
      <c r="V569" s="64" t="s">
        <v>28</v>
      </c>
      <c r="W569" s="64">
        <f t="shared" si="1159"/>
        <v>5000</v>
      </c>
      <c r="X569" s="64" t="s">
        <v>963</v>
      </c>
      <c r="Y569" s="64" t="s">
        <v>29</v>
      </c>
      <c r="Z569" s="71">
        <f t="shared" si="1160"/>
        <v>26.315789473684209</v>
      </c>
      <c r="AA569" s="93"/>
    </row>
    <row r="570" spans="1:27" hidden="1">
      <c r="A570" s="64">
        <f>SUBTOTAL(3,C$2:C570)</f>
        <v>467</v>
      </c>
      <c r="B570" s="64" t="s">
        <v>1086</v>
      </c>
      <c r="C570" s="64" t="s">
        <v>1196</v>
      </c>
      <c r="D570" s="64" t="s">
        <v>32</v>
      </c>
      <c r="E570" s="64" t="s">
        <v>33</v>
      </c>
      <c r="F570" s="52" t="s">
        <v>1197</v>
      </c>
      <c r="G570" s="91" t="s">
        <v>34</v>
      </c>
      <c r="H570" s="70" t="s">
        <v>1233</v>
      </c>
      <c r="I570" s="65">
        <v>46148</v>
      </c>
      <c r="J570" s="64">
        <f t="shared" ref="J570:J571" ca="1" si="1161">+TODAY()-I570</f>
        <v>36</v>
      </c>
      <c r="K570" s="64">
        <f t="shared" ref="K570:K571" si="1162">+U570</f>
        <v>46175</v>
      </c>
      <c r="L570" s="52" t="s">
        <v>1198</v>
      </c>
      <c r="M570" s="64">
        <v>38000</v>
      </c>
      <c r="N570" s="64">
        <v>35000</v>
      </c>
      <c r="O570" s="65">
        <v>46149</v>
      </c>
      <c r="P570" s="64">
        <f t="shared" ref="P570:P571" si="1163">+M570-N570</f>
        <v>3000</v>
      </c>
      <c r="Q570" s="64" t="s">
        <v>33</v>
      </c>
      <c r="R570" s="64" t="s">
        <v>112</v>
      </c>
      <c r="S570" s="64">
        <v>43000</v>
      </c>
      <c r="T570" s="64" t="s">
        <v>2684</v>
      </c>
      <c r="U570" s="65">
        <v>46175</v>
      </c>
      <c r="V570" s="64" t="s">
        <v>28</v>
      </c>
      <c r="W570" s="64">
        <f t="shared" ref="W570:W571" si="1164">+S570-M570</f>
        <v>5000</v>
      </c>
      <c r="X570" s="64" t="s">
        <v>963</v>
      </c>
      <c r="Y570" s="64" t="s">
        <v>29</v>
      </c>
      <c r="Z570" s="71">
        <f t="shared" ref="Z570:Z571" si="1165">+W570*100/M570</f>
        <v>13.157894736842104</v>
      </c>
      <c r="AA570" s="93"/>
    </row>
    <row r="571" spans="1:27" hidden="1">
      <c r="A571" s="64">
        <f>SUBTOTAL(3,C$2:C571)</f>
        <v>467</v>
      </c>
      <c r="B571" s="64" t="s">
        <v>1086</v>
      </c>
      <c r="C571" s="64" t="s">
        <v>44</v>
      </c>
      <c r="D571" s="64" t="s">
        <v>32</v>
      </c>
      <c r="E571" s="64" t="s">
        <v>33</v>
      </c>
      <c r="F571" s="52" t="s">
        <v>1200</v>
      </c>
      <c r="G571" s="91" t="s">
        <v>46</v>
      </c>
      <c r="H571" s="98" t="s">
        <v>1234</v>
      </c>
      <c r="I571" s="65">
        <v>46148</v>
      </c>
      <c r="J571" s="64">
        <f t="shared" ca="1" si="1161"/>
        <v>36</v>
      </c>
      <c r="K571" s="64">
        <f t="shared" si="1162"/>
        <v>46162</v>
      </c>
      <c r="L571" s="52" t="s">
        <v>355</v>
      </c>
      <c r="M571" s="64">
        <v>19000</v>
      </c>
      <c r="N571" s="64">
        <v>17000</v>
      </c>
      <c r="O571" s="65">
        <v>46149</v>
      </c>
      <c r="P571" s="64">
        <f t="shared" si="1163"/>
        <v>2000</v>
      </c>
      <c r="Q571" s="64" t="s">
        <v>33</v>
      </c>
      <c r="R571" s="64" t="s">
        <v>39</v>
      </c>
      <c r="S571" s="64">
        <v>21800</v>
      </c>
      <c r="T571" s="64" t="s">
        <v>2150</v>
      </c>
      <c r="U571" s="65">
        <v>46162</v>
      </c>
      <c r="V571" s="64" t="s">
        <v>28</v>
      </c>
      <c r="W571" s="64">
        <f t="shared" si="1164"/>
        <v>2800</v>
      </c>
      <c r="X571" s="64" t="s">
        <v>36</v>
      </c>
      <c r="Y571" s="64" t="s">
        <v>29</v>
      </c>
      <c r="Z571" s="71">
        <f t="shared" si="1165"/>
        <v>14.736842105263158</v>
      </c>
      <c r="AA571" s="93"/>
    </row>
    <row r="572" spans="1:27" hidden="1">
      <c r="A572" s="64">
        <f>SUBTOTAL(3,C$2:C572)</f>
        <v>467</v>
      </c>
      <c r="B572" s="64" t="s">
        <v>1086</v>
      </c>
      <c r="C572" s="64" t="s">
        <v>1196</v>
      </c>
      <c r="D572" s="64" t="s">
        <v>32</v>
      </c>
      <c r="E572" s="64" t="s">
        <v>33</v>
      </c>
      <c r="F572" s="52" t="s">
        <v>1199</v>
      </c>
      <c r="G572" s="91" t="s">
        <v>34</v>
      </c>
      <c r="H572" s="70" t="s">
        <v>1235</v>
      </c>
      <c r="I572" s="65">
        <v>46148</v>
      </c>
      <c r="J572" s="64">
        <f t="shared" ref="J572" ca="1" si="1166">+TODAY()-I572</f>
        <v>36</v>
      </c>
      <c r="K572" s="64">
        <f t="shared" ref="K572" si="1167">+U572</f>
        <v>46175</v>
      </c>
      <c r="L572" s="52" t="s">
        <v>1198</v>
      </c>
      <c r="M572" s="64">
        <v>38000</v>
      </c>
      <c r="N572" s="64">
        <v>35000</v>
      </c>
      <c r="O572" s="65">
        <v>46149</v>
      </c>
      <c r="P572" s="64">
        <f t="shared" ref="P572" si="1168">+M572-N572</f>
        <v>3000</v>
      </c>
      <c r="Q572" s="64" t="s">
        <v>33</v>
      </c>
      <c r="R572" s="64" t="s">
        <v>112</v>
      </c>
      <c r="S572" s="64">
        <v>43000</v>
      </c>
      <c r="T572" s="64" t="s">
        <v>2684</v>
      </c>
      <c r="U572" s="65">
        <v>46175</v>
      </c>
      <c r="V572" s="64" t="s">
        <v>28</v>
      </c>
      <c r="W572" s="64">
        <f t="shared" ref="W572" si="1169">+S572-M572</f>
        <v>5000</v>
      </c>
      <c r="X572" s="64" t="s">
        <v>963</v>
      </c>
      <c r="Y572" s="64" t="s">
        <v>29</v>
      </c>
      <c r="Z572" s="71">
        <f t="shared" ref="Z572" si="1170">+W572*100/M572</f>
        <v>13.157894736842104</v>
      </c>
      <c r="AA572" s="93"/>
    </row>
    <row r="573" spans="1:27" hidden="1">
      <c r="A573" s="64">
        <f>SUBTOTAL(3,C$2:C573)</f>
        <v>467</v>
      </c>
      <c r="B573" s="64" t="s">
        <v>1086</v>
      </c>
      <c r="C573" s="64" t="s">
        <v>44</v>
      </c>
      <c r="D573" s="64" t="s">
        <v>32</v>
      </c>
      <c r="E573" s="64" t="s">
        <v>33</v>
      </c>
      <c r="F573" s="52" t="s">
        <v>1201</v>
      </c>
      <c r="G573" s="91">
        <v>407</v>
      </c>
      <c r="H573" s="98" t="s">
        <v>1236</v>
      </c>
      <c r="I573" s="65">
        <v>46148</v>
      </c>
      <c r="J573" s="64">
        <f t="shared" ref="J573:J574" ca="1" si="1171">+TODAY()-I573</f>
        <v>36</v>
      </c>
      <c r="K573" s="64">
        <f t="shared" ref="K573:K574" si="1172">+U573</f>
        <v>46163</v>
      </c>
      <c r="L573" s="52" t="s">
        <v>381</v>
      </c>
      <c r="M573" s="64">
        <v>27000</v>
      </c>
      <c r="N573" s="64">
        <v>25000</v>
      </c>
      <c r="O573" s="65">
        <v>46149</v>
      </c>
      <c r="P573" s="64">
        <f t="shared" ref="P573:P574" si="1173">+M573-N573</f>
        <v>2000</v>
      </c>
      <c r="Q573" s="64" t="s">
        <v>33</v>
      </c>
      <c r="R573" s="64" t="s">
        <v>56</v>
      </c>
      <c r="S573" s="64">
        <v>29800</v>
      </c>
      <c r="T573" s="64" t="s">
        <v>2185</v>
      </c>
      <c r="U573" s="65">
        <v>46163</v>
      </c>
      <c r="V573" s="64" t="s">
        <v>28</v>
      </c>
      <c r="W573" s="64">
        <f t="shared" ref="W573:W574" si="1174">+S573-M573</f>
        <v>2800</v>
      </c>
      <c r="X573" s="64" t="s">
        <v>36</v>
      </c>
      <c r="Y573" s="64" t="s">
        <v>29</v>
      </c>
      <c r="Z573" s="71">
        <f t="shared" ref="Z573:Z574" si="1175">+W573*100/M573</f>
        <v>10.37037037037037</v>
      </c>
      <c r="AA573" s="93"/>
    </row>
    <row r="574" spans="1:27" hidden="1">
      <c r="A574" s="64">
        <f>SUBTOTAL(3,C$2:C574)</f>
        <v>467</v>
      </c>
      <c r="B574" s="64" t="s">
        <v>1086</v>
      </c>
      <c r="C574" s="64" t="s">
        <v>80</v>
      </c>
      <c r="D574" s="64" t="s">
        <v>32</v>
      </c>
      <c r="E574" s="64" t="s">
        <v>33</v>
      </c>
      <c r="F574" s="52" t="s">
        <v>1202</v>
      </c>
      <c r="G574" s="91" t="s">
        <v>1098</v>
      </c>
      <c r="H574" s="98" t="s">
        <v>1237</v>
      </c>
      <c r="I574" s="65">
        <v>46148</v>
      </c>
      <c r="J574" s="64">
        <f t="shared" ca="1" si="1171"/>
        <v>36</v>
      </c>
      <c r="K574" s="64">
        <f t="shared" si="1172"/>
        <v>46169</v>
      </c>
      <c r="L574" s="52" t="s">
        <v>1094</v>
      </c>
      <c r="M574" s="64">
        <v>28000</v>
      </c>
      <c r="N574" s="64">
        <v>26000</v>
      </c>
      <c r="O574" s="65">
        <v>46149</v>
      </c>
      <c r="P574" s="64">
        <f t="shared" si="1173"/>
        <v>2000</v>
      </c>
      <c r="Q574" s="64" t="s">
        <v>33</v>
      </c>
      <c r="R574" s="64" t="s">
        <v>39</v>
      </c>
      <c r="S574" s="64">
        <v>31500</v>
      </c>
      <c r="T574" s="64" t="s">
        <v>2680</v>
      </c>
      <c r="U574" s="65">
        <v>46169</v>
      </c>
      <c r="V574" s="64" t="s">
        <v>28</v>
      </c>
      <c r="W574" s="64">
        <f t="shared" si="1174"/>
        <v>3500</v>
      </c>
      <c r="X574" s="64" t="s">
        <v>36</v>
      </c>
      <c r="Y574" s="64" t="s">
        <v>29</v>
      </c>
      <c r="Z574" s="71">
        <f t="shared" si="1175"/>
        <v>12.5</v>
      </c>
      <c r="AA574" s="93"/>
    </row>
    <row r="575" spans="1:27" hidden="1">
      <c r="A575" s="64">
        <f>SUBTOTAL(3,C$2:C575)</f>
        <v>467</v>
      </c>
      <c r="B575" s="64" t="s">
        <v>1086</v>
      </c>
      <c r="C575" s="64" t="s">
        <v>80</v>
      </c>
      <c r="D575" s="64" t="s">
        <v>32</v>
      </c>
      <c r="E575" s="64" t="s">
        <v>33</v>
      </c>
      <c r="F575" s="52" t="s">
        <v>1203</v>
      </c>
      <c r="G575" s="91" t="s">
        <v>1098</v>
      </c>
      <c r="H575" s="98" t="s">
        <v>1238</v>
      </c>
      <c r="I575" s="65">
        <v>46148</v>
      </c>
      <c r="J575" s="64">
        <f t="shared" ref="J575:J578" ca="1" si="1176">+TODAY()-I575</f>
        <v>36</v>
      </c>
      <c r="K575" s="64" t="str">
        <f t="shared" ref="K575:K578" si="1177">+U575</f>
        <v>Pending</v>
      </c>
      <c r="L575" s="52" t="s">
        <v>598</v>
      </c>
      <c r="M575" s="64">
        <v>18000</v>
      </c>
      <c r="N575" s="64">
        <v>16000</v>
      </c>
      <c r="O575" s="65">
        <v>46149</v>
      </c>
      <c r="P575" s="64">
        <f t="shared" ref="P575:P578" si="1178">+M575-N575</f>
        <v>2000</v>
      </c>
      <c r="Q575" s="64" t="s">
        <v>33</v>
      </c>
      <c r="R575" s="64" t="s">
        <v>37</v>
      </c>
      <c r="S575" s="64">
        <v>21500</v>
      </c>
      <c r="T575" s="64" t="s">
        <v>33</v>
      </c>
      <c r="U575" s="65" t="s">
        <v>33</v>
      </c>
      <c r="V575" s="64" t="s">
        <v>28</v>
      </c>
      <c r="W575" s="64">
        <f t="shared" ref="W575:W578" si="1179">+S575-M575</f>
        <v>3500</v>
      </c>
      <c r="X575" s="64" t="s">
        <v>36</v>
      </c>
      <c r="Y575" s="64" t="s">
        <v>29</v>
      </c>
      <c r="Z575" s="71">
        <f t="shared" ref="Z575:Z578" si="1180">+W575*100/M575</f>
        <v>19.444444444444443</v>
      </c>
      <c r="AA575" s="93"/>
    </row>
    <row r="576" spans="1:27" hidden="1">
      <c r="A576" s="64">
        <f>SUBTOTAL(3,C$2:C576)</f>
        <v>467</v>
      </c>
      <c r="B576" s="64" t="s">
        <v>1086</v>
      </c>
      <c r="C576" s="64" t="s">
        <v>1031</v>
      </c>
      <c r="D576" s="64" t="s">
        <v>32</v>
      </c>
      <c r="E576" s="64" t="s">
        <v>33</v>
      </c>
      <c r="F576" s="52" t="s">
        <v>641</v>
      </c>
      <c r="G576" s="91" t="s">
        <v>34</v>
      </c>
      <c r="H576" s="98" t="s">
        <v>1239</v>
      </c>
      <c r="I576" s="65">
        <v>46148</v>
      </c>
      <c r="J576" s="64">
        <f t="shared" ca="1" si="1176"/>
        <v>36</v>
      </c>
      <c r="K576" s="64">
        <f t="shared" si="1177"/>
        <v>46163</v>
      </c>
      <c r="L576" s="52" t="s">
        <v>1036</v>
      </c>
      <c r="M576" s="64">
        <v>18000</v>
      </c>
      <c r="N576" s="64">
        <v>16000</v>
      </c>
      <c r="O576" s="65">
        <v>46149</v>
      </c>
      <c r="P576" s="64">
        <f t="shared" si="1178"/>
        <v>2000</v>
      </c>
      <c r="Q576" s="64" t="s">
        <v>33</v>
      </c>
      <c r="R576" s="64" t="s">
        <v>1886</v>
      </c>
      <c r="S576" s="64">
        <v>20500</v>
      </c>
      <c r="T576" s="64" t="s">
        <v>2184</v>
      </c>
      <c r="U576" s="65">
        <v>46163</v>
      </c>
      <c r="V576" s="64" t="s">
        <v>28</v>
      </c>
      <c r="W576" s="64">
        <f t="shared" si="1179"/>
        <v>2500</v>
      </c>
      <c r="X576" s="64" t="s">
        <v>963</v>
      </c>
      <c r="Y576" s="64" t="s">
        <v>29</v>
      </c>
      <c r="Z576" s="71">
        <f t="shared" si="1180"/>
        <v>13.888888888888889</v>
      </c>
      <c r="AA576" s="93"/>
    </row>
    <row r="577" spans="1:27" s="67" customFormat="1" hidden="1">
      <c r="A577" s="66">
        <f>SUBTOTAL(3,C$2:C577)</f>
        <v>467</v>
      </c>
      <c r="B577" s="66" t="s">
        <v>1086</v>
      </c>
      <c r="C577" s="66" t="s">
        <v>31</v>
      </c>
      <c r="D577" s="66" t="s">
        <v>32</v>
      </c>
      <c r="E577" s="66" t="s">
        <v>33</v>
      </c>
      <c r="F577" s="72" t="s">
        <v>296</v>
      </c>
      <c r="G577" s="94">
        <v>407</v>
      </c>
      <c r="H577" s="98" t="s">
        <v>1269</v>
      </c>
      <c r="I577" s="68">
        <v>46148</v>
      </c>
      <c r="J577" s="66">
        <f t="shared" ca="1" si="1176"/>
        <v>36</v>
      </c>
      <c r="K577" s="66" t="str">
        <f t="shared" si="1177"/>
        <v>Pending</v>
      </c>
      <c r="L577" s="72" t="s">
        <v>1204</v>
      </c>
      <c r="M577" s="66">
        <v>29000</v>
      </c>
      <c r="N577" s="66">
        <v>26000</v>
      </c>
      <c r="O577" s="68">
        <v>46149</v>
      </c>
      <c r="P577" s="66">
        <f t="shared" si="1178"/>
        <v>3000</v>
      </c>
      <c r="Q577" s="66" t="s">
        <v>33</v>
      </c>
      <c r="R577" s="66" t="s">
        <v>37</v>
      </c>
      <c r="S577" s="66">
        <v>33000</v>
      </c>
      <c r="T577" s="64" t="s">
        <v>33</v>
      </c>
      <c r="U577" s="65" t="s">
        <v>33</v>
      </c>
      <c r="V577" s="66" t="s">
        <v>28</v>
      </c>
      <c r="W577" s="66">
        <f t="shared" si="1179"/>
        <v>4000</v>
      </c>
      <c r="X577" s="66" t="s">
        <v>963</v>
      </c>
      <c r="Y577" s="66" t="s">
        <v>29</v>
      </c>
      <c r="Z577" s="75">
        <f t="shared" si="1180"/>
        <v>13.793103448275861</v>
      </c>
      <c r="AA577" s="93"/>
    </row>
    <row r="578" spans="1:27" hidden="1">
      <c r="A578" s="64">
        <f>SUBTOTAL(3,C$2:C578)</f>
        <v>467</v>
      </c>
      <c r="B578" s="64" t="s">
        <v>1086</v>
      </c>
      <c r="C578" s="64" t="s">
        <v>44</v>
      </c>
      <c r="D578" s="64" t="s">
        <v>32</v>
      </c>
      <c r="E578" s="64" t="s">
        <v>33</v>
      </c>
      <c r="F578" s="52" t="s">
        <v>1205</v>
      </c>
      <c r="G578" s="91" t="s">
        <v>46</v>
      </c>
      <c r="H578" s="98" t="s">
        <v>1240</v>
      </c>
      <c r="I578" s="65">
        <v>46148</v>
      </c>
      <c r="J578" s="64">
        <f t="shared" ca="1" si="1176"/>
        <v>36</v>
      </c>
      <c r="K578" s="64">
        <f t="shared" si="1177"/>
        <v>46163</v>
      </c>
      <c r="L578" s="52" t="s">
        <v>355</v>
      </c>
      <c r="M578" s="64">
        <v>19000</v>
      </c>
      <c r="N578" s="64">
        <v>17000</v>
      </c>
      <c r="O578" s="65">
        <v>46149</v>
      </c>
      <c r="P578" s="64">
        <f t="shared" si="1178"/>
        <v>2000</v>
      </c>
      <c r="Q578" s="64" t="s">
        <v>33</v>
      </c>
      <c r="R578" s="64" t="s">
        <v>39</v>
      </c>
      <c r="S578" s="64">
        <v>21800</v>
      </c>
      <c r="T578" s="64" t="s">
        <v>2189</v>
      </c>
      <c r="U578" s="65">
        <v>46163</v>
      </c>
      <c r="V578" s="64" t="s">
        <v>28</v>
      </c>
      <c r="W578" s="64">
        <f t="shared" si="1179"/>
        <v>2800</v>
      </c>
      <c r="X578" s="64" t="s">
        <v>36</v>
      </c>
      <c r="Y578" s="64" t="s">
        <v>29</v>
      </c>
      <c r="Z578" s="71">
        <f t="shared" si="1180"/>
        <v>14.736842105263158</v>
      </c>
      <c r="AA578" s="93"/>
    </row>
    <row r="579" spans="1:27" hidden="1">
      <c r="A579" s="64">
        <f>SUBTOTAL(3,C$2:C579)</f>
        <v>467</v>
      </c>
      <c r="B579" s="64" t="s">
        <v>1086</v>
      </c>
      <c r="C579" s="64" t="s">
        <v>31</v>
      </c>
      <c r="D579" s="64" t="s">
        <v>32</v>
      </c>
      <c r="E579" s="64" t="s">
        <v>33</v>
      </c>
      <c r="F579" s="52" t="s">
        <v>1206</v>
      </c>
      <c r="G579" s="91" t="s">
        <v>34</v>
      </c>
      <c r="H579" s="98" t="s">
        <v>1241</v>
      </c>
      <c r="I579" s="65">
        <v>46148</v>
      </c>
      <c r="J579" s="64">
        <f t="shared" ref="J579:J582" ca="1" si="1181">+TODAY()-I579</f>
        <v>36</v>
      </c>
      <c r="K579" s="64">
        <f t="shared" ref="K579:K582" si="1182">+U579</f>
        <v>46170</v>
      </c>
      <c r="L579" s="52" t="s">
        <v>1207</v>
      </c>
      <c r="M579" s="64">
        <v>10000</v>
      </c>
      <c r="N579" s="64">
        <v>9000</v>
      </c>
      <c r="O579" s="65">
        <v>46149</v>
      </c>
      <c r="P579" s="64">
        <f t="shared" ref="P579:P582" si="1183">+M579-N579</f>
        <v>1000</v>
      </c>
      <c r="Q579" s="64" t="s">
        <v>33</v>
      </c>
      <c r="R579" s="64" t="s">
        <v>174</v>
      </c>
      <c r="S579" s="64">
        <v>11500</v>
      </c>
      <c r="T579" s="64" t="s">
        <v>2685</v>
      </c>
      <c r="U579" s="65">
        <v>46170</v>
      </c>
      <c r="V579" s="64" t="s">
        <v>28</v>
      </c>
      <c r="W579" s="64">
        <f t="shared" ref="W579:W582" si="1184">+S579-M579</f>
        <v>1500</v>
      </c>
      <c r="X579" s="64" t="s">
        <v>963</v>
      </c>
      <c r="Y579" s="64" t="s">
        <v>29</v>
      </c>
      <c r="Z579" s="71">
        <f t="shared" ref="Z579:Z582" si="1185">+W579*100/M579</f>
        <v>15</v>
      </c>
      <c r="AA579" s="93"/>
    </row>
    <row r="580" spans="1:27" hidden="1">
      <c r="A580" s="64">
        <f>SUBTOTAL(3,C$2:C580)</f>
        <v>467</v>
      </c>
      <c r="B580" s="64" t="s">
        <v>1086</v>
      </c>
      <c r="C580" s="64" t="s">
        <v>44</v>
      </c>
      <c r="D580" s="64" t="s">
        <v>32</v>
      </c>
      <c r="E580" s="64" t="s">
        <v>33</v>
      </c>
      <c r="F580" s="52" t="s">
        <v>1208</v>
      </c>
      <c r="G580" s="91" t="s">
        <v>46</v>
      </c>
      <c r="H580" s="98" t="s">
        <v>1242</v>
      </c>
      <c r="I580" s="65">
        <v>46148</v>
      </c>
      <c r="J580" s="64">
        <f t="shared" ca="1" si="1181"/>
        <v>36</v>
      </c>
      <c r="K580" s="64">
        <f t="shared" si="1182"/>
        <v>46163</v>
      </c>
      <c r="L580" s="52" t="s">
        <v>355</v>
      </c>
      <c r="M580" s="64">
        <v>19000</v>
      </c>
      <c r="N580" s="64">
        <v>17000</v>
      </c>
      <c r="O580" s="65">
        <v>46149</v>
      </c>
      <c r="P580" s="64">
        <f t="shared" si="1183"/>
        <v>2000</v>
      </c>
      <c r="Q580" s="64" t="s">
        <v>33</v>
      </c>
      <c r="R580" s="64" t="s">
        <v>39</v>
      </c>
      <c r="S580" s="64">
        <v>21800</v>
      </c>
      <c r="T580" s="64" t="s">
        <v>2189</v>
      </c>
      <c r="U580" s="65">
        <v>46163</v>
      </c>
      <c r="V580" s="64" t="s">
        <v>28</v>
      </c>
      <c r="W580" s="64">
        <f t="shared" si="1184"/>
        <v>2800</v>
      </c>
      <c r="X580" s="64" t="s">
        <v>36</v>
      </c>
      <c r="Y580" s="64" t="s">
        <v>29</v>
      </c>
      <c r="Z580" s="71">
        <f t="shared" si="1185"/>
        <v>14.736842105263158</v>
      </c>
      <c r="AA580" s="93"/>
    </row>
    <row r="581" spans="1:27" hidden="1">
      <c r="A581" s="64">
        <f>SUBTOTAL(3,C$2:C581)</f>
        <v>467</v>
      </c>
      <c r="B581" s="64" t="s">
        <v>1086</v>
      </c>
      <c r="C581" s="64" t="s">
        <v>1031</v>
      </c>
      <c r="D581" s="64" t="s">
        <v>32</v>
      </c>
      <c r="E581" s="64" t="s">
        <v>33</v>
      </c>
      <c r="F581" s="52" t="s">
        <v>1209</v>
      </c>
      <c r="G581" s="91" t="s">
        <v>34</v>
      </c>
      <c r="H581" s="70" t="s">
        <v>1243</v>
      </c>
      <c r="I581" s="65">
        <v>46148</v>
      </c>
      <c r="J581" s="64">
        <f t="shared" ca="1" si="1181"/>
        <v>36</v>
      </c>
      <c r="K581" s="64" t="str">
        <f t="shared" si="1182"/>
        <v>Pending</v>
      </c>
      <c r="L581" s="52" t="s">
        <v>1034</v>
      </c>
      <c r="M581" s="64">
        <v>18300</v>
      </c>
      <c r="N581" s="64">
        <v>16300</v>
      </c>
      <c r="O581" s="65">
        <v>46149</v>
      </c>
      <c r="P581" s="64">
        <f t="shared" si="1183"/>
        <v>2000</v>
      </c>
      <c r="Q581" s="64" t="s">
        <v>33</v>
      </c>
      <c r="R581" s="64" t="s">
        <v>39</v>
      </c>
      <c r="S581" s="64">
        <v>21500</v>
      </c>
      <c r="T581" s="64" t="s">
        <v>33</v>
      </c>
      <c r="U581" s="65" t="s">
        <v>33</v>
      </c>
      <c r="V581" s="64" t="s">
        <v>28</v>
      </c>
      <c r="W581" s="64">
        <f t="shared" si="1184"/>
        <v>3200</v>
      </c>
      <c r="X581" s="64" t="s">
        <v>963</v>
      </c>
      <c r="Y581" s="64" t="s">
        <v>29</v>
      </c>
      <c r="Z581" s="71">
        <f t="shared" si="1185"/>
        <v>17.486338797814209</v>
      </c>
      <c r="AA581" s="93"/>
    </row>
    <row r="582" spans="1:27" hidden="1">
      <c r="A582" s="64">
        <f>SUBTOTAL(3,C$2:C582)</f>
        <v>467</v>
      </c>
      <c r="B582" s="64" t="s">
        <v>1086</v>
      </c>
      <c r="C582" s="64" t="s">
        <v>80</v>
      </c>
      <c r="D582" s="64" t="s">
        <v>32</v>
      </c>
      <c r="E582" s="64" t="s">
        <v>33</v>
      </c>
      <c r="F582" s="52" t="s">
        <v>1210</v>
      </c>
      <c r="G582" s="91" t="s">
        <v>607</v>
      </c>
      <c r="H582" s="98" t="s">
        <v>1244</v>
      </c>
      <c r="I582" s="65">
        <v>46148</v>
      </c>
      <c r="J582" s="64">
        <f t="shared" ca="1" si="1181"/>
        <v>36</v>
      </c>
      <c r="K582" s="64">
        <f t="shared" si="1182"/>
        <v>46170</v>
      </c>
      <c r="L582" s="52" t="s">
        <v>598</v>
      </c>
      <c r="M582" s="64">
        <v>29500</v>
      </c>
      <c r="N582" s="64">
        <v>26500</v>
      </c>
      <c r="O582" s="65">
        <v>46149</v>
      </c>
      <c r="P582" s="64">
        <f t="shared" si="1183"/>
        <v>3000</v>
      </c>
      <c r="Q582" s="64" t="s">
        <v>33</v>
      </c>
      <c r="R582" s="64" t="s">
        <v>52</v>
      </c>
      <c r="S582" s="64">
        <v>32500</v>
      </c>
      <c r="T582" s="64" t="s">
        <v>2686</v>
      </c>
      <c r="U582" s="65">
        <v>46170</v>
      </c>
      <c r="V582" s="64" t="s">
        <v>28</v>
      </c>
      <c r="W582" s="64">
        <f t="shared" si="1184"/>
        <v>3000</v>
      </c>
      <c r="X582" s="64" t="s">
        <v>36</v>
      </c>
      <c r="Y582" s="64" t="s">
        <v>29</v>
      </c>
      <c r="Z582" s="71">
        <f t="shared" si="1185"/>
        <v>10.169491525423728</v>
      </c>
      <c r="AA582" s="93"/>
    </row>
    <row r="583" spans="1:27" hidden="1">
      <c r="A583" s="64">
        <f>SUBTOTAL(3,C$2:C583)</f>
        <v>467</v>
      </c>
      <c r="B583" s="64" t="s">
        <v>1086</v>
      </c>
      <c r="C583" s="64" t="s">
        <v>80</v>
      </c>
      <c r="D583" s="64" t="s">
        <v>32</v>
      </c>
      <c r="E583" s="64" t="s">
        <v>33</v>
      </c>
      <c r="F583" s="52" t="s">
        <v>433</v>
      </c>
      <c r="G583" s="91" t="s">
        <v>607</v>
      </c>
      <c r="H583" s="98" t="s">
        <v>1245</v>
      </c>
      <c r="I583" s="65">
        <v>46149</v>
      </c>
      <c r="J583" s="64">
        <f t="shared" ref="J583:J584" ca="1" si="1186">+TODAY()-I583</f>
        <v>35</v>
      </c>
      <c r="K583" s="64">
        <f t="shared" ref="K583:K584" si="1187">+U583</f>
        <v>46162</v>
      </c>
      <c r="L583" s="52" t="s">
        <v>598</v>
      </c>
      <c r="M583" s="64">
        <v>29500</v>
      </c>
      <c r="N583" s="64">
        <v>26500</v>
      </c>
      <c r="O583" s="65">
        <v>46149</v>
      </c>
      <c r="P583" s="64">
        <f t="shared" ref="P583:P584" si="1188">+M583-N583</f>
        <v>3000</v>
      </c>
      <c r="Q583" s="64" t="s">
        <v>33</v>
      </c>
      <c r="R583" s="64" t="s">
        <v>52</v>
      </c>
      <c r="S583" s="64">
        <v>32500</v>
      </c>
      <c r="T583" s="64" t="s">
        <v>2157</v>
      </c>
      <c r="U583" s="65">
        <v>46162</v>
      </c>
      <c r="V583" s="64" t="s">
        <v>28</v>
      </c>
      <c r="W583" s="64">
        <f t="shared" ref="W583:W584" si="1189">+S583-M583</f>
        <v>3000</v>
      </c>
      <c r="X583" s="64" t="s">
        <v>36</v>
      </c>
      <c r="Y583" s="64" t="s">
        <v>29</v>
      </c>
      <c r="Z583" s="71">
        <f t="shared" ref="Z583:Z584" si="1190">+W583*100/M583</f>
        <v>10.169491525423728</v>
      </c>
      <c r="AA583" s="93"/>
    </row>
    <row r="584" spans="1:27" hidden="1">
      <c r="A584" s="64">
        <f>SUBTOTAL(3,C$2:C584)</f>
        <v>467</v>
      </c>
      <c r="B584" s="64" t="s">
        <v>1086</v>
      </c>
      <c r="C584" s="64" t="s">
        <v>31</v>
      </c>
      <c r="D584" s="64" t="s">
        <v>32</v>
      </c>
      <c r="E584" s="64" t="s">
        <v>33</v>
      </c>
      <c r="F584" s="52" t="s">
        <v>1211</v>
      </c>
      <c r="G584" s="91" t="s">
        <v>34</v>
      </c>
      <c r="H584" s="98" t="s">
        <v>1246</v>
      </c>
      <c r="I584" s="65">
        <v>46149</v>
      </c>
      <c r="J584" s="64">
        <f t="shared" ca="1" si="1186"/>
        <v>35</v>
      </c>
      <c r="K584" s="64" t="str">
        <f t="shared" si="1187"/>
        <v>Pending</v>
      </c>
      <c r="L584" s="52" t="s">
        <v>400</v>
      </c>
      <c r="M584" s="64">
        <v>23300</v>
      </c>
      <c r="N584" s="64">
        <v>21500</v>
      </c>
      <c r="O584" s="65">
        <v>46149</v>
      </c>
      <c r="P584" s="64">
        <f t="shared" si="1188"/>
        <v>1800</v>
      </c>
      <c r="Q584" s="64" t="s">
        <v>33</v>
      </c>
      <c r="R584" s="64" t="s">
        <v>37</v>
      </c>
      <c r="S584" s="64">
        <v>26000</v>
      </c>
      <c r="T584" s="64" t="s">
        <v>33</v>
      </c>
      <c r="U584" s="65" t="s">
        <v>33</v>
      </c>
      <c r="V584" s="64" t="s">
        <v>28</v>
      </c>
      <c r="W584" s="64">
        <f t="shared" si="1189"/>
        <v>2700</v>
      </c>
      <c r="X584" s="64" t="s">
        <v>963</v>
      </c>
      <c r="Y584" s="64" t="s">
        <v>29</v>
      </c>
      <c r="Z584" s="71">
        <f t="shared" si="1190"/>
        <v>11.587982832618026</v>
      </c>
      <c r="AA584" s="93"/>
    </row>
    <row r="585" spans="1:27" hidden="1">
      <c r="A585" s="64">
        <f>SUBTOTAL(3,C$2:C585)</f>
        <v>467</v>
      </c>
      <c r="B585" s="64" t="s">
        <v>1086</v>
      </c>
      <c r="C585" s="64" t="s">
        <v>31</v>
      </c>
      <c r="D585" s="64" t="s">
        <v>32</v>
      </c>
      <c r="E585" s="64" t="s">
        <v>33</v>
      </c>
      <c r="F585" s="52" t="s">
        <v>1212</v>
      </c>
      <c r="G585" s="91" t="s">
        <v>34</v>
      </c>
      <c r="H585" s="98" t="s">
        <v>1247</v>
      </c>
      <c r="I585" s="65">
        <v>46149</v>
      </c>
      <c r="J585" s="64">
        <f t="shared" ref="J585" ca="1" si="1191">+TODAY()-I585</f>
        <v>35</v>
      </c>
      <c r="K585" s="64">
        <f t="shared" ref="K585" si="1192">+U585</f>
        <v>46170</v>
      </c>
      <c r="L585" s="52" t="s">
        <v>355</v>
      </c>
      <c r="M585" s="64">
        <v>19000</v>
      </c>
      <c r="N585" s="64">
        <v>17000</v>
      </c>
      <c r="O585" s="65">
        <v>46149</v>
      </c>
      <c r="P585" s="64">
        <f t="shared" ref="P585" si="1193">+M585-N585</f>
        <v>2000</v>
      </c>
      <c r="Q585" s="64" t="s">
        <v>33</v>
      </c>
      <c r="R585" s="64" t="s">
        <v>196</v>
      </c>
      <c r="S585" s="64">
        <v>21800</v>
      </c>
      <c r="T585" s="64" t="s">
        <v>2673</v>
      </c>
      <c r="U585" s="65">
        <v>46170</v>
      </c>
      <c r="V585" s="64" t="s">
        <v>28</v>
      </c>
      <c r="W585" s="64">
        <f t="shared" ref="W585" si="1194">+S585-M585</f>
        <v>2800</v>
      </c>
      <c r="X585" s="64" t="s">
        <v>963</v>
      </c>
      <c r="Y585" s="64" t="s">
        <v>29</v>
      </c>
      <c r="Z585" s="71">
        <f t="shared" ref="Z585" si="1195">+W585*100/M585</f>
        <v>14.736842105263158</v>
      </c>
      <c r="AA585" s="93"/>
    </row>
    <row r="586" spans="1:27" hidden="1">
      <c r="A586" s="64">
        <f>SUBTOTAL(3,C$2:C586)</f>
        <v>467</v>
      </c>
      <c r="B586" s="64" t="s">
        <v>1086</v>
      </c>
      <c r="C586" s="64" t="s">
        <v>31</v>
      </c>
      <c r="D586" s="64" t="s">
        <v>32</v>
      </c>
      <c r="E586" s="64" t="s">
        <v>33</v>
      </c>
      <c r="F586" s="52" t="s">
        <v>195</v>
      </c>
      <c r="G586" s="91" t="s">
        <v>34</v>
      </c>
      <c r="H586" s="98" t="s">
        <v>1248</v>
      </c>
      <c r="I586" s="65">
        <v>46149</v>
      </c>
      <c r="J586" s="64">
        <f t="shared" ref="J586" ca="1" si="1196">+TODAY()-I586</f>
        <v>35</v>
      </c>
      <c r="K586" s="64">
        <f t="shared" ref="K586" si="1197">+U586</f>
        <v>46162</v>
      </c>
      <c r="L586" s="52" t="s">
        <v>355</v>
      </c>
      <c r="M586" s="64">
        <v>19000</v>
      </c>
      <c r="N586" s="64">
        <v>17000</v>
      </c>
      <c r="O586" s="65">
        <v>46149</v>
      </c>
      <c r="P586" s="64">
        <f t="shared" ref="P586" si="1198">+M586-N586</f>
        <v>2000</v>
      </c>
      <c r="Q586" s="64" t="s">
        <v>33</v>
      </c>
      <c r="R586" s="64" t="s">
        <v>39</v>
      </c>
      <c r="S586" s="64">
        <v>21800</v>
      </c>
      <c r="T586" s="64" t="s">
        <v>2150</v>
      </c>
      <c r="U586" s="65">
        <v>46162</v>
      </c>
      <c r="V586" s="64" t="s">
        <v>28</v>
      </c>
      <c r="W586" s="64">
        <f t="shared" ref="W586" si="1199">+S586-M586</f>
        <v>2800</v>
      </c>
      <c r="X586" s="64" t="s">
        <v>963</v>
      </c>
      <c r="Y586" s="64" t="s">
        <v>29</v>
      </c>
      <c r="Z586" s="71">
        <f t="shared" ref="Z586" si="1200">+W586*100/M586</f>
        <v>14.736842105263158</v>
      </c>
      <c r="AA586" s="93"/>
    </row>
    <row r="587" spans="1:27" hidden="1">
      <c r="A587" s="64">
        <f>SUBTOTAL(3,C$2:C587)</f>
        <v>467</v>
      </c>
      <c r="B587" s="64" t="s">
        <v>1086</v>
      </c>
      <c r="C587" s="64" t="s">
        <v>31</v>
      </c>
      <c r="D587" s="64" t="s">
        <v>32</v>
      </c>
      <c r="E587" s="64" t="s">
        <v>33</v>
      </c>
      <c r="F587" s="52" t="s">
        <v>199</v>
      </c>
      <c r="G587" s="91" t="s">
        <v>34</v>
      </c>
      <c r="H587" s="98" t="s">
        <v>1249</v>
      </c>
      <c r="I587" s="65">
        <v>46149</v>
      </c>
      <c r="J587" s="64">
        <f t="shared" ref="J587:J590" ca="1" si="1201">+TODAY()-I587</f>
        <v>35</v>
      </c>
      <c r="K587" s="64">
        <f t="shared" ref="K587:K590" si="1202">+U587</f>
        <v>46162</v>
      </c>
      <c r="L587" s="52" t="s">
        <v>355</v>
      </c>
      <c r="M587" s="64">
        <v>19000</v>
      </c>
      <c r="N587" s="64">
        <v>17000</v>
      </c>
      <c r="O587" s="65">
        <v>46149</v>
      </c>
      <c r="P587" s="64">
        <f t="shared" ref="P587:P590" si="1203">+M587-N587</f>
        <v>2000</v>
      </c>
      <c r="Q587" s="64" t="s">
        <v>33</v>
      </c>
      <c r="R587" s="64" t="s">
        <v>39</v>
      </c>
      <c r="S587" s="64">
        <v>21800</v>
      </c>
      <c r="T587" s="64" t="s">
        <v>2150</v>
      </c>
      <c r="U587" s="65">
        <v>46162</v>
      </c>
      <c r="V587" s="64" t="s">
        <v>28</v>
      </c>
      <c r="W587" s="64">
        <f t="shared" ref="W587:W590" si="1204">+S587-M587</f>
        <v>2800</v>
      </c>
      <c r="X587" s="64" t="s">
        <v>963</v>
      </c>
      <c r="Y587" s="64" t="s">
        <v>29</v>
      </c>
      <c r="Z587" s="71">
        <f t="shared" ref="Z587:Z590" si="1205">+W587*100/M587</f>
        <v>14.736842105263158</v>
      </c>
      <c r="AA587" s="93"/>
    </row>
    <row r="588" spans="1:27" hidden="1">
      <c r="A588" s="64">
        <f>SUBTOTAL(3,C$2:C588)</f>
        <v>467</v>
      </c>
      <c r="B588" s="64" t="s">
        <v>1086</v>
      </c>
      <c r="C588" s="64" t="s">
        <v>80</v>
      </c>
      <c r="D588" s="64" t="s">
        <v>32</v>
      </c>
      <c r="E588" s="64" t="s">
        <v>33</v>
      </c>
      <c r="F588" s="52" t="s">
        <v>1214</v>
      </c>
      <c r="G588" s="91" t="s">
        <v>1215</v>
      </c>
      <c r="H588" s="98" t="s">
        <v>1250</v>
      </c>
      <c r="I588" s="65">
        <v>46149</v>
      </c>
      <c r="J588" s="64">
        <f t="shared" ca="1" si="1201"/>
        <v>35</v>
      </c>
      <c r="K588" s="64">
        <f t="shared" si="1202"/>
        <v>46169</v>
      </c>
      <c r="L588" s="52" t="s">
        <v>995</v>
      </c>
      <c r="M588" s="64">
        <v>28000</v>
      </c>
      <c r="N588" s="64">
        <v>26000</v>
      </c>
      <c r="O588" s="65">
        <v>46149</v>
      </c>
      <c r="P588" s="64">
        <f t="shared" si="1203"/>
        <v>2000</v>
      </c>
      <c r="Q588" s="64" t="s">
        <v>33</v>
      </c>
      <c r="R588" s="64" t="s">
        <v>39</v>
      </c>
      <c r="S588" s="64">
        <v>31500</v>
      </c>
      <c r="T588" s="64" t="s">
        <v>2680</v>
      </c>
      <c r="U588" s="65">
        <v>46169</v>
      </c>
      <c r="V588" s="64" t="s">
        <v>28</v>
      </c>
      <c r="W588" s="64">
        <f t="shared" si="1204"/>
        <v>3500</v>
      </c>
      <c r="X588" s="64" t="s">
        <v>36</v>
      </c>
      <c r="Y588" s="64" t="s">
        <v>29</v>
      </c>
      <c r="Z588" s="71">
        <f t="shared" si="1205"/>
        <v>12.5</v>
      </c>
      <c r="AA588" s="93"/>
    </row>
    <row r="589" spans="1:27" hidden="1">
      <c r="A589" s="64">
        <f>SUBTOTAL(3,C$2:C589)</f>
        <v>467</v>
      </c>
      <c r="B589" s="64" t="s">
        <v>1086</v>
      </c>
      <c r="C589" s="64" t="s">
        <v>216</v>
      </c>
      <c r="D589" s="64" t="s">
        <v>32</v>
      </c>
      <c r="E589" s="64" t="s">
        <v>33</v>
      </c>
      <c r="F589" s="52" t="s">
        <v>215</v>
      </c>
      <c r="G589" s="91" t="s">
        <v>67</v>
      </c>
      <c r="H589" s="98" t="s">
        <v>1251</v>
      </c>
      <c r="I589" s="65">
        <v>46149</v>
      </c>
      <c r="J589" s="64">
        <f t="shared" ca="1" si="1201"/>
        <v>35</v>
      </c>
      <c r="K589" s="64">
        <f t="shared" si="1202"/>
        <v>46162</v>
      </c>
      <c r="L589" s="52" t="s">
        <v>217</v>
      </c>
      <c r="M589" s="64">
        <f>3000+38500</f>
        <v>41500</v>
      </c>
      <c r="N589" s="64">
        <v>35500</v>
      </c>
      <c r="O589" s="65">
        <v>46149</v>
      </c>
      <c r="P589" s="64">
        <f t="shared" si="1203"/>
        <v>6000</v>
      </c>
      <c r="Q589" s="64" t="s">
        <v>33</v>
      </c>
      <c r="R589" s="64" t="s">
        <v>52</v>
      </c>
      <c r="S589" s="64">
        <f>5000+42000</f>
        <v>47000</v>
      </c>
      <c r="T589" s="64" t="s">
        <v>2154</v>
      </c>
      <c r="U589" s="65">
        <v>46162</v>
      </c>
      <c r="V589" s="64" t="s">
        <v>28</v>
      </c>
      <c r="W589" s="64">
        <f t="shared" si="1204"/>
        <v>5500</v>
      </c>
      <c r="X589" s="64" t="s">
        <v>36</v>
      </c>
      <c r="Y589" s="64" t="s">
        <v>29</v>
      </c>
      <c r="Z589" s="71">
        <f t="shared" si="1205"/>
        <v>13.253012048192771</v>
      </c>
      <c r="AA589" s="93"/>
    </row>
    <row r="590" spans="1:27" hidden="1">
      <c r="A590" s="64">
        <f>SUBTOTAL(3,C$2:C590)</f>
        <v>467</v>
      </c>
      <c r="B590" s="64" t="s">
        <v>1086</v>
      </c>
      <c r="C590" s="64" t="s">
        <v>1031</v>
      </c>
      <c r="D590" s="64" t="s">
        <v>32</v>
      </c>
      <c r="E590" s="64" t="s">
        <v>33</v>
      </c>
      <c r="F590" s="52" t="s">
        <v>1213</v>
      </c>
      <c r="G590" s="91" t="s">
        <v>34</v>
      </c>
      <c r="H590" s="98" t="s">
        <v>1252</v>
      </c>
      <c r="I590" s="65">
        <v>46149</v>
      </c>
      <c r="J590" s="64">
        <f t="shared" ca="1" si="1201"/>
        <v>35</v>
      </c>
      <c r="K590" s="64" t="str">
        <f t="shared" si="1202"/>
        <v>Pending</v>
      </c>
      <c r="L590" s="52" t="s">
        <v>1034</v>
      </c>
      <c r="M590" s="64">
        <v>18000</v>
      </c>
      <c r="N590" s="64">
        <v>16000</v>
      </c>
      <c r="O590" s="65">
        <v>46149</v>
      </c>
      <c r="P590" s="64">
        <f t="shared" si="1203"/>
        <v>2000</v>
      </c>
      <c r="Q590" s="64" t="s">
        <v>33</v>
      </c>
      <c r="R590" s="64" t="s">
        <v>37</v>
      </c>
      <c r="S590" s="64">
        <v>21500</v>
      </c>
      <c r="T590" s="64" t="s">
        <v>33</v>
      </c>
      <c r="U590" s="65" t="s">
        <v>33</v>
      </c>
      <c r="V590" s="64" t="s">
        <v>28</v>
      </c>
      <c r="W590" s="64">
        <f t="shared" si="1204"/>
        <v>3500</v>
      </c>
      <c r="X590" s="64" t="s">
        <v>963</v>
      </c>
      <c r="Y590" s="64" t="s">
        <v>29</v>
      </c>
      <c r="Z590" s="71">
        <f t="shared" si="1205"/>
        <v>19.444444444444443</v>
      </c>
      <c r="AA590" s="93"/>
    </row>
    <row r="591" spans="1:27" hidden="1">
      <c r="A591" s="64">
        <f>SUBTOTAL(3,C$2:C591)</f>
        <v>467</v>
      </c>
      <c r="B591" s="64" t="s">
        <v>1086</v>
      </c>
      <c r="C591" s="64" t="s">
        <v>31</v>
      </c>
      <c r="D591" s="64" t="s">
        <v>32</v>
      </c>
      <c r="E591" s="64" t="s">
        <v>33</v>
      </c>
      <c r="F591" s="52" t="s">
        <v>241</v>
      </c>
      <c r="G591" s="91" t="s">
        <v>34</v>
      </c>
      <c r="H591" s="70" t="s">
        <v>1253</v>
      </c>
      <c r="I591" s="65">
        <v>46149</v>
      </c>
      <c r="J591" s="64">
        <f t="shared" ref="J591:J592" ca="1" si="1206">+TODAY()-I591</f>
        <v>35</v>
      </c>
      <c r="K591" s="64" t="str">
        <f t="shared" ref="K591:K592" si="1207">+U591</f>
        <v>Pending</v>
      </c>
      <c r="L591" s="52" t="s">
        <v>111</v>
      </c>
      <c r="M591" s="64">
        <v>11700</v>
      </c>
      <c r="N591" s="64">
        <v>10700</v>
      </c>
      <c r="O591" s="65">
        <v>46149</v>
      </c>
      <c r="P591" s="64">
        <f t="shared" ref="P591:P592" si="1208">+M591-N591</f>
        <v>1000</v>
      </c>
      <c r="Q591" s="64" t="s">
        <v>33</v>
      </c>
      <c r="R591" s="64" t="s">
        <v>112</v>
      </c>
      <c r="S591" s="64">
        <v>13500</v>
      </c>
      <c r="T591" s="64" t="s">
        <v>33</v>
      </c>
      <c r="U591" s="65" t="s">
        <v>33</v>
      </c>
      <c r="V591" s="64" t="s">
        <v>28</v>
      </c>
      <c r="W591" s="64">
        <f t="shared" ref="W591:W592" si="1209">+S591-M591</f>
        <v>1800</v>
      </c>
      <c r="X591" s="64" t="s">
        <v>963</v>
      </c>
      <c r="Y591" s="64" t="s">
        <v>29</v>
      </c>
      <c r="Z591" s="71">
        <f t="shared" ref="Z591:Z592" si="1210">+W591*100/M591</f>
        <v>15.384615384615385</v>
      </c>
      <c r="AA591" s="93"/>
    </row>
    <row r="592" spans="1:27" hidden="1">
      <c r="A592" s="64">
        <f>SUBTOTAL(3,C$2:C592)</f>
        <v>467</v>
      </c>
      <c r="B592" s="64" t="s">
        <v>1086</v>
      </c>
      <c r="C592" s="64" t="s">
        <v>44</v>
      </c>
      <c r="D592" s="64" t="s">
        <v>32</v>
      </c>
      <c r="E592" s="64" t="s">
        <v>33</v>
      </c>
      <c r="F592" s="52" t="s">
        <v>331</v>
      </c>
      <c r="G592" s="91">
        <v>407</v>
      </c>
      <c r="H592" s="98" t="s">
        <v>1254</v>
      </c>
      <c r="I592" s="65">
        <v>46149</v>
      </c>
      <c r="J592" s="64">
        <f t="shared" ca="1" si="1206"/>
        <v>35</v>
      </c>
      <c r="K592" s="64">
        <f t="shared" si="1207"/>
        <v>46163</v>
      </c>
      <c r="L592" s="52" t="s">
        <v>381</v>
      </c>
      <c r="M592" s="64">
        <v>27000</v>
      </c>
      <c r="N592" s="64">
        <v>25000</v>
      </c>
      <c r="O592" s="65">
        <v>46149</v>
      </c>
      <c r="P592" s="64">
        <f t="shared" si="1208"/>
        <v>2000</v>
      </c>
      <c r="Q592" s="64" t="s">
        <v>33</v>
      </c>
      <c r="R592" s="64" t="s">
        <v>56</v>
      </c>
      <c r="S592" s="64">
        <v>29800</v>
      </c>
      <c r="T592" s="64" t="s">
        <v>2185</v>
      </c>
      <c r="U592" s="65">
        <v>46163</v>
      </c>
      <c r="V592" s="64" t="s">
        <v>28</v>
      </c>
      <c r="W592" s="64">
        <f t="shared" si="1209"/>
        <v>2800</v>
      </c>
      <c r="X592" s="64" t="s">
        <v>36</v>
      </c>
      <c r="Y592" s="64" t="s">
        <v>29</v>
      </c>
      <c r="Z592" s="71">
        <f t="shared" si="1210"/>
        <v>10.37037037037037</v>
      </c>
      <c r="AA592" s="93"/>
    </row>
    <row r="593" spans="1:27" hidden="1">
      <c r="A593" s="64">
        <f>SUBTOTAL(3,C$2:C593)</f>
        <v>467</v>
      </c>
      <c r="B593" s="64" t="s">
        <v>1086</v>
      </c>
      <c r="C593" s="64" t="s">
        <v>31</v>
      </c>
      <c r="D593" s="64" t="s">
        <v>32</v>
      </c>
      <c r="E593" s="64" t="s">
        <v>33</v>
      </c>
      <c r="F593" s="52" t="s">
        <v>759</v>
      </c>
      <c r="G593" s="91" t="s">
        <v>34</v>
      </c>
      <c r="H593" s="98" t="s">
        <v>1255</v>
      </c>
      <c r="I593" s="65">
        <v>46149</v>
      </c>
      <c r="J593" s="64">
        <f t="shared" ref="J593" ca="1" si="1211">+TODAY()-I593</f>
        <v>35</v>
      </c>
      <c r="K593" s="64">
        <f t="shared" ref="K593" si="1212">+U593</f>
        <v>46163</v>
      </c>
      <c r="L593" s="52" t="s">
        <v>590</v>
      </c>
      <c r="M593" s="64">
        <v>18000</v>
      </c>
      <c r="N593" s="64">
        <v>16000</v>
      </c>
      <c r="O593" s="65">
        <v>46149</v>
      </c>
      <c r="P593" s="64">
        <f t="shared" ref="P593" si="1213">+M593-N593</f>
        <v>2000</v>
      </c>
      <c r="Q593" s="64" t="s">
        <v>33</v>
      </c>
      <c r="R593" s="64" t="s">
        <v>56</v>
      </c>
      <c r="S593" s="64">
        <v>20500</v>
      </c>
      <c r="T593" s="64" t="s">
        <v>2186</v>
      </c>
      <c r="U593" s="65">
        <v>46163</v>
      </c>
      <c r="V593" s="64" t="s">
        <v>28</v>
      </c>
      <c r="W593" s="64">
        <f t="shared" ref="W593" si="1214">+S593-M593</f>
        <v>2500</v>
      </c>
      <c r="X593" s="64" t="s">
        <v>963</v>
      </c>
      <c r="Y593" s="64" t="s">
        <v>29</v>
      </c>
      <c r="Z593" s="71">
        <f t="shared" ref="Z593" si="1215">+W593*100/M593</f>
        <v>13.888888888888889</v>
      </c>
      <c r="AA593" s="93"/>
    </row>
    <row r="594" spans="1:27" hidden="1">
      <c r="A594" s="64">
        <f>SUBTOTAL(3,C$2:C594)</f>
        <v>467</v>
      </c>
      <c r="B594" s="64" t="s">
        <v>1086</v>
      </c>
      <c r="C594" s="64" t="s">
        <v>31</v>
      </c>
      <c r="D594" s="64" t="s">
        <v>32</v>
      </c>
      <c r="E594" s="64" t="s">
        <v>33</v>
      </c>
      <c r="F594" s="52" t="s">
        <v>922</v>
      </c>
      <c r="G594" s="91" t="s">
        <v>34</v>
      </c>
      <c r="H594" s="98" t="s">
        <v>1256</v>
      </c>
      <c r="I594" s="65">
        <v>46149</v>
      </c>
      <c r="J594" s="64">
        <f t="shared" ref="J594:J595" ca="1" si="1216">+TODAY()-I594</f>
        <v>35</v>
      </c>
      <c r="K594" s="64">
        <f t="shared" ref="K594:K595" si="1217">+U594</f>
        <v>46169</v>
      </c>
      <c r="L594" s="52" t="s">
        <v>590</v>
      </c>
      <c r="M594" s="64">
        <v>18000</v>
      </c>
      <c r="N594" s="64">
        <v>16000</v>
      </c>
      <c r="O594" s="65">
        <v>46149</v>
      </c>
      <c r="P594" s="64">
        <f t="shared" ref="P594:P595" si="1218">+M594-N594</f>
        <v>2000</v>
      </c>
      <c r="Q594" s="64" t="s">
        <v>33</v>
      </c>
      <c r="R594" s="64" t="s">
        <v>56</v>
      </c>
      <c r="S594" s="64">
        <v>20500</v>
      </c>
      <c r="T594" s="64" t="s">
        <v>2677</v>
      </c>
      <c r="U594" s="65">
        <v>46169</v>
      </c>
      <c r="V594" s="64" t="s">
        <v>28</v>
      </c>
      <c r="W594" s="64">
        <f t="shared" ref="W594:W595" si="1219">+S594-M594</f>
        <v>2500</v>
      </c>
      <c r="X594" s="64" t="s">
        <v>963</v>
      </c>
      <c r="Y594" s="64" t="s">
        <v>29</v>
      </c>
      <c r="Z594" s="71">
        <f t="shared" ref="Z594:Z595" si="1220">+W594*100/M594</f>
        <v>13.888888888888889</v>
      </c>
      <c r="AA594" s="93"/>
    </row>
    <row r="595" spans="1:27" hidden="1">
      <c r="A595" s="64">
        <f>SUBTOTAL(3,C$2:C595)</f>
        <v>467</v>
      </c>
      <c r="B595" s="64" t="s">
        <v>1086</v>
      </c>
      <c r="C595" s="64" t="s">
        <v>80</v>
      </c>
      <c r="D595" s="64" t="s">
        <v>32</v>
      </c>
      <c r="E595" s="64" t="s">
        <v>33</v>
      </c>
      <c r="F595" s="52" t="s">
        <v>81</v>
      </c>
      <c r="G595" s="91" t="s">
        <v>59</v>
      </c>
      <c r="H595" s="98" t="s">
        <v>1257</v>
      </c>
      <c r="I595" s="65">
        <v>46149</v>
      </c>
      <c r="J595" s="64">
        <f t="shared" ca="1" si="1216"/>
        <v>35</v>
      </c>
      <c r="K595" s="64" t="str">
        <f t="shared" si="1217"/>
        <v>Pending</v>
      </c>
      <c r="L595" s="52" t="s">
        <v>740</v>
      </c>
      <c r="M595" s="64">
        <v>35000</v>
      </c>
      <c r="N595" s="64">
        <v>32000</v>
      </c>
      <c r="O595" s="65">
        <v>46149</v>
      </c>
      <c r="P595" s="64">
        <f t="shared" si="1218"/>
        <v>3000</v>
      </c>
      <c r="Q595" s="64" t="s">
        <v>33</v>
      </c>
      <c r="R595" s="64" t="s">
        <v>37</v>
      </c>
      <c r="S595" s="64">
        <v>38000</v>
      </c>
      <c r="T595" s="64" t="s">
        <v>33</v>
      </c>
      <c r="U595" s="65" t="s">
        <v>33</v>
      </c>
      <c r="V595" s="64" t="s">
        <v>28</v>
      </c>
      <c r="W595" s="64">
        <f t="shared" si="1219"/>
        <v>3000</v>
      </c>
      <c r="X595" s="64" t="s">
        <v>36</v>
      </c>
      <c r="Y595" s="64" t="s">
        <v>29</v>
      </c>
      <c r="Z595" s="71">
        <f t="shared" si="1220"/>
        <v>8.5714285714285712</v>
      </c>
      <c r="AA595" s="93"/>
    </row>
    <row r="596" spans="1:27" hidden="1">
      <c r="A596" s="64">
        <f>SUBTOTAL(3,C$2:C596)</f>
        <v>467</v>
      </c>
      <c r="B596" s="64" t="s">
        <v>1086</v>
      </c>
      <c r="C596" s="64" t="s">
        <v>80</v>
      </c>
      <c r="D596" s="64" t="s">
        <v>32</v>
      </c>
      <c r="E596" s="64" t="s">
        <v>33</v>
      </c>
      <c r="F596" s="52" t="s">
        <v>1216</v>
      </c>
      <c r="G596" s="91" t="s">
        <v>1215</v>
      </c>
      <c r="H596" s="98" t="s">
        <v>1258</v>
      </c>
      <c r="I596" s="65">
        <v>46149</v>
      </c>
      <c r="J596" s="64">
        <f t="shared" ref="J596:J598" ca="1" si="1221">+TODAY()-I596</f>
        <v>35</v>
      </c>
      <c r="K596" s="64">
        <f t="shared" ref="K596:K598" si="1222">+U596</f>
        <v>46169</v>
      </c>
      <c r="L596" s="52" t="s">
        <v>995</v>
      </c>
      <c r="M596" s="64">
        <v>28000</v>
      </c>
      <c r="N596" s="64">
        <v>26000</v>
      </c>
      <c r="O596" s="65">
        <v>46149</v>
      </c>
      <c r="P596" s="64">
        <f t="shared" ref="P596:P598" si="1223">+M596-N596</f>
        <v>2000</v>
      </c>
      <c r="Q596" s="64" t="s">
        <v>33</v>
      </c>
      <c r="R596" s="64" t="s">
        <v>39</v>
      </c>
      <c r="S596" s="64">
        <v>31500</v>
      </c>
      <c r="T596" s="64" t="s">
        <v>2680</v>
      </c>
      <c r="U596" s="65">
        <v>46169</v>
      </c>
      <c r="V596" s="64" t="s">
        <v>28</v>
      </c>
      <c r="W596" s="64">
        <f t="shared" ref="W596:W598" si="1224">+S596-M596</f>
        <v>3500</v>
      </c>
      <c r="X596" s="64" t="s">
        <v>36</v>
      </c>
      <c r="Y596" s="64" t="s">
        <v>29</v>
      </c>
      <c r="Z596" s="71">
        <f t="shared" ref="Z596:Z598" si="1225">+W596*100/M596</f>
        <v>12.5</v>
      </c>
      <c r="AA596" s="93"/>
    </row>
    <row r="597" spans="1:27" hidden="1">
      <c r="A597" s="64">
        <f>SUBTOTAL(3,C$2:C597)</f>
        <v>467</v>
      </c>
      <c r="B597" s="64" t="s">
        <v>1086</v>
      </c>
      <c r="C597" s="64" t="s">
        <v>44</v>
      </c>
      <c r="D597" s="64" t="s">
        <v>32</v>
      </c>
      <c r="E597" s="64" t="s">
        <v>33</v>
      </c>
      <c r="F597" s="52" t="s">
        <v>359</v>
      </c>
      <c r="G597" s="91">
        <v>407</v>
      </c>
      <c r="H597" s="98" t="s">
        <v>1259</v>
      </c>
      <c r="I597" s="65">
        <v>46149</v>
      </c>
      <c r="J597" s="64">
        <f t="shared" ca="1" si="1221"/>
        <v>35</v>
      </c>
      <c r="K597" s="64">
        <f t="shared" si="1222"/>
        <v>46170</v>
      </c>
      <c r="L597" s="52" t="s">
        <v>381</v>
      </c>
      <c r="M597" s="64">
        <v>27000</v>
      </c>
      <c r="N597" s="64">
        <v>25000</v>
      </c>
      <c r="O597" s="65">
        <v>46149</v>
      </c>
      <c r="P597" s="64">
        <f t="shared" si="1223"/>
        <v>2000</v>
      </c>
      <c r="Q597" s="64" t="s">
        <v>33</v>
      </c>
      <c r="R597" s="64" t="s">
        <v>78</v>
      </c>
      <c r="S597" s="64">
        <v>29800</v>
      </c>
      <c r="T597" s="64" t="s">
        <v>2678</v>
      </c>
      <c r="U597" s="65">
        <v>46170</v>
      </c>
      <c r="V597" s="64" t="s">
        <v>28</v>
      </c>
      <c r="W597" s="64">
        <f t="shared" si="1224"/>
        <v>2800</v>
      </c>
      <c r="X597" s="64" t="s">
        <v>36</v>
      </c>
      <c r="Y597" s="64" t="s">
        <v>29</v>
      </c>
      <c r="Z597" s="71">
        <f t="shared" si="1225"/>
        <v>10.37037037037037</v>
      </c>
      <c r="AA597" s="93"/>
    </row>
    <row r="598" spans="1:27" hidden="1">
      <c r="A598" s="64">
        <f>SUBTOTAL(3,C$2:C598)</f>
        <v>467</v>
      </c>
      <c r="B598" s="64" t="s">
        <v>1086</v>
      </c>
      <c r="C598" s="64" t="s">
        <v>44</v>
      </c>
      <c r="D598" s="64" t="s">
        <v>32</v>
      </c>
      <c r="E598" s="64" t="s">
        <v>33</v>
      </c>
      <c r="F598" s="52" t="s">
        <v>1217</v>
      </c>
      <c r="G598" s="91">
        <v>407</v>
      </c>
      <c r="H598" s="98" t="s">
        <v>1260</v>
      </c>
      <c r="I598" s="65">
        <v>46149</v>
      </c>
      <c r="J598" s="64">
        <f t="shared" ca="1" si="1221"/>
        <v>35</v>
      </c>
      <c r="K598" s="64">
        <f t="shared" si="1222"/>
        <v>46170</v>
      </c>
      <c r="L598" s="52" t="s">
        <v>381</v>
      </c>
      <c r="M598" s="64">
        <v>27000</v>
      </c>
      <c r="N598" s="64">
        <v>25000</v>
      </c>
      <c r="O598" s="65">
        <v>46149</v>
      </c>
      <c r="P598" s="64">
        <f t="shared" si="1223"/>
        <v>2000</v>
      </c>
      <c r="Q598" s="64" t="s">
        <v>33</v>
      </c>
      <c r="R598" s="64" t="s">
        <v>78</v>
      </c>
      <c r="S598" s="64">
        <v>29800</v>
      </c>
      <c r="T598" s="64" t="s">
        <v>2678</v>
      </c>
      <c r="U598" s="65">
        <v>46170</v>
      </c>
      <c r="V598" s="64" t="s">
        <v>28</v>
      </c>
      <c r="W598" s="64">
        <f t="shared" si="1224"/>
        <v>2800</v>
      </c>
      <c r="X598" s="64" t="s">
        <v>36</v>
      </c>
      <c r="Y598" s="64" t="s">
        <v>29</v>
      </c>
      <c r="Z598" s="71">
        <f t="shared" si="1225"/>
        <v>10.37037037037037</v>
      </c>
      <c r="AA598" s="93"/>
    </row>
    <row r="599" spans="1:27" hidden="1">
      <c r="A599" s="64">
        <f>SUBTOTAL(3,C$2:C599)</f>
        <v>467</v>
      </c>
      <c r="B599" s="64" t="s">
        <v>1086</v>
      </c>
      <c r="C599" s="64" t="s">
        <v>44</v>
      </c>
      <c r="D599" s="64" t="s">
        <v>32</v>
      </c>
      <c r="E599" s="64" t="s">
        <v>33</v>
      </c>
      <c r="F599" s="52" t="s">
        <v>471</v>
      </c>
      <c r="G599" s="91">
        <v>407</v>
      </c>
      <c r="H599" s="98" t="s">
        <v>1261</v>
      </c>
      <c r="I599" s="65">
        <v>46149</v>
      </c>
      <c r="J599" s="64">
        <f t="shared" ref="J599" ca="1" si="1226">+TODAY()-I599</f>
        <v>35</v>
      </c>
      <c r="K599" s="64">
        <f t="shared" ref="K599" si="1227">+U599</f>
        <v>46170</v>
      </c>
      <c r="L599" s="52" t="s">
        <v>381</v>
      </c>
      <c r="M599" s="64">
        <v>27000</v>
      </c>
      <c r="N599" s="64">
        <v>25000</v>
      </c>
      <c r="O599" s="65">
        <v>46149</v>
      </c>
      <c r="P599" s="64">
        <f t="shared" ref="P599" si="1228">+M599-N599</f>
        <v>2000</v>
      </c>
      <c r="Q599" s="64" t="s">
        <v>33</v>
      </c>
      <c r="R599" s="64" t="s">
        <v>78</v>
      </c>
      <c r="S599" s="64">
        <v>29800</v>
      </c>
      <c r="T599" s="64" t="s">
        <v>2678</v>
      </c>
      <c r="U599" s="65">
        <v>46170</v>
      </c>
      <c r="V599" s="64" t="s">
        <v>28</v>
      </c>
      <c r="W599" s="64">
        <f t="shared" ref="W599" si="1229">+S599-M599</f>
        <v>2800</v>
      </c>
      <c r="X599" s="64" t="s">
        <v>36</v>
      </c>
      <c r="Y599" s="64" t="s">
        <v>29</v>
      </c>
      <c r="Z599" s="71">
        <f t="shared" ref="Z599" si="1230">+W599*100/M599</f>
        <v>10.37037037037037</v>
      </c>
      <c r="AA599" s="93"/>
    </row>
    <row r="600" spans="1:27" hidden="1">
      <c r="A600" s="64">
        <f>SUBTOTAL(3,C$2:C600)</f>
        <v>467</v>
      </c>
      <c r="B600" s="64" t="s">
        <v>1086</v>
      </c>
      <c r="C600" s="64" t="s">
        <v>119</v>
      </c>
      <c r="D600" s="64" t="s">
        <v>32</v>
      </c>
      <c r="E600" s="64" t="s">
        <v>33</v>
      </c>
      <c r="F600" s="52" t="s">
        <v>1218</v>
      </c>
      <c r="G600" s="91" t="s">
        <v>143</v>
      </c>
      <c r="H600" s="98" t="s">
        <v>1262</v>
      </c>
      <c r="I600" s="65">
        <v>46149</v>
      </c>
      <c r="J600" s="64">
        <f t="shared" ref="J600:J605" ca="1" si="1231">+TODAY()-I600</f>
        <v>35</v>
      </c>
      <c r="K600" s="64">
        <f t="shared" ref="K600:K605" si="1232">+U600</f>
        <v>46162</v>
      </c>
      <c r="L600" s="52" t="s">
        <v>144</v>
      </c>
      <c r="M600" s="64">
        <v>32000</v>
      </c>
      <c r="N600" s="64">
        <v>29000</v>
      </c>
      <c r="O600" s="65">
        <v>46149</v>
      </c>
      <c r="P600" s="64">
        <f t="shared" ref="P600:P605" si="1233">+M600-N600</f>
        <v>3000</v>
      </c>
      <c r="Q600" s="64" t="s">
        <v>33</v>
      </c>
      <c r="R600" s="64" t="s">
        <v>39</v>
      </c>
      <c r="S600" s="64">
        <v>35000</v>
      </c>
      <c r="T600" s="64" t="s">
        <v>2151</v>
      </c>
      <c r="U600" s="65">
        <v>46162</v>
      </c>
      <c r="V600" s="64" t="s">
        <v>28</v>
      </c>
      <c r="W600" s="64">
        <f t="shared" ref="W600:W605" si="1234">+S600-M600</f>
        <v>3000</v>
      </c>
      <c r="X600" s="64" t="s">
        <v>36</v>
      </c>
      <c r="Y600" s="64" t="s">
        <v>29</v>
      </c>
      <c r="Z600" s="71">
        <f t="shared" ref="Z600:Z605" si="1235">+W600*100/M600</f>
        <v>9.375</v>
      </c>
      <c r="AA600" s="93"/>
    </row>
    <row r="601" spans="1:27" hidden="1">
      <c r="A601" s="64">
        <f>SUBTOTAL(3,C$2:C601)</f>
        <v>467</v>
      </c>
      <c r="B601" s="64" t="s">
        <v>1086</v>
      </c>
      <c r="C601" s="64" t="s">
        <v>80</v>
      </c>
      <c r="D601" s="64" t="s">
        <v>32</v>
      </c>
      <c r="E601" s="64" t="s">
        <v>33</v>
      </c>
      <c r="F601" s="52" t="s">
        <v>1219</v>
      </c>
      <c r="G601" s="91" t="s">
        <v>607</v>
      </c>
      <c r="H601" s="98" t="s">
        <v>1263</v>
      </c>
      <c r="I601" s="65">
        <v>46149</v>
      </c>
      <c r="J601" s="64">
        <f t="shared" ca="1" si="1231"/>
        <v>35</v>
      </c>
      <c r="K601" s="64" t="str">
        <f t="shared" si="1232"/>
        <v>Pending</v>
      </c>
      <c r="L601" s="52" t="s">
        <v>598</v>
      </c>
      <c r="M601" s="64">
        <v>29500</v>
      </c>
      <c r="N601" s="64">
        <v>26500</v>
      </c>
      <c r="O601" s="65">
        <v>46149</v>
      </c>
      <c r="P601" s="64">
        <f t="shared" si="1233"/>
        <v>3000</v>
      </c>
      <c r="Q601" s="64" t="s">
        <v>33</v>
      </c>
      <c r="R601" s="64" t="s">
        <v>37</v>
      </c>
      <c r="S601" s="64">
        <v>33000</v>
      </c>
      <c r="T601" s="64" t="s">
        <v>33</v>
      </c>
      <c r="U601" s="65" t="s">
        <v>33</v>
      </c>
      <c r="V601" s="64" t="s">
        <v>28</v>
      </c>
      <c r="W601" s="64">
        <f t="shared" si="1234"/>
        <v>3500</v>
      </c>
      <c r="X601" s="64" t="s">
        <v>36</v>
      </c>
      <c r="Y601" s="64" t="s">
        <v>29</v>
      </c>
      <c r="Z601" s="71">
        <f t="shared" si="1235"/>
        <v>11.864406779661017</v>
      </c>
      <c r="AA601" s="93"/>
    </row>
    <row r="602" spans="1:27" hidden="1">
      <c r="A602" s="64">
        <f>SUBTOTAL(3,C$2:C602)</f>
        <v>467</v>
      </c>
      <c r="B602" s="64" t="s">
        <v>1086</v>
      </c>
      <c r="C602" s="64" t="s">
        <v>124</v>
      </c>
      <c r="D602" s="64" t="s">
        <v>32</v>
      </c>
      <c r="E602" s="64" t="s">
        <v>33</v>
      </c>
      <c r="F602" s="63" t="s">
        <v>122</v>
      </c>
      <c r="G602" s="91" t="s">
        <v>67</v>
      </c>
      <c r="H602" s="100" t="s">
        <v>1264</v>
      </c>
      <c r="I602" s="65">
        <v>46147</v>
      </c>
      <c r="J602" s="64">
        <f t="shared" ca="1" si="1231"/>
        <v>37</v>
      </c>
      <c r="K602" s="64">
        <f t="shared" si="1232"/>
        <v>46170</v>
      </c>
      <c r="L602" s="63" t="s">
        <v>123</v>
      </c>
      <c r="M602" s="64">
        <v>21500</v>
      </c>
      <c r="N602" s="64">
        <v>21500</v>
      </c>
      <c r="O602" s="65">
        <v>46150</v>
      </c>
      <c r="P602" s="64">
        <f t="shared" si="1233"/>
        <v>0</v>
      </c>
      <c r="Q602" s="64" t="s">
        <v>33</v>
      </c>
      <c r="R602" s="64" t="s">
        <v>78</v>
      </c>
      <c r="S602" s="64">
        <v>25500</v>
      </c>
      <c r="T602" s="64" t="s">
        <v>2679</v>
      </c>
      <c r="U602" s="65">
        <v>46170</v>
      </c>
      <c r="V602" s="64" t="s">
        <v>28</v>
      </c>
      <c r="W602" s="64">
        <f t="shared" si="1234"/>
        <v>4000</v>
      </c>
      <c r="X602" s="64" t="s">
        <v>36</v>
      </c>
      <c r="Y602" s="64" t="s">
        <v>29</v>
      </c>
      <c r="Z602" s="71">
        <f t="shared" si="1235"/>
        <v>18.604651162790699</v>
      </c>
      <c r="AA602" s="93"/>
    </row>
    <row r="603" spans="1:27" hidden="1">
      <c r="A603" s="64">
        <f>SUBTOTAL(3,C$2:C603)</f>
        <v>467</v>
      </c>
      <c r="B603" s="64" t="s">
        <v>1086</v>
      </c>
      <c r="C603" s="64" t="s">
        <v>124</v>
      </c>
      <c r="D603" s="64" t="s">
        <v>32</v>
      </c>
      <c r="E603" s="64" t="s">
        <v>33</v>
      </c>
      <c r="F603" s="63" t="s">
        <v>122</v>
      </c>
      <c r="G603" s="91" t="s">
        <v>67</v>
      </c>
      <c r="H603" s="100" t="s">
        <v>1265</v>
      </c>
      <c r="I603" s="65">
        <v>46149</v>
      </c>
      <c r="J603" s="64">
        <f t="shared" ca="1" si="1231"/>
        <v>35</v>
      </c>
      <c r="K603" s="64">
        <f t="shared" si="1232"/>
        <v>46162</v>
      </c>
      <c r="L603" s="63" t="s">
        <v>1035</v>
      </c>
      <c r="M603" s="64">
        <f>3000+38500</f>
        <v>41500</v>
      </c>
      <c r="N603" s="64">
        <v>35500</v>
      </c>
      <c r="O603" s="65">
        <v>46150</v>
      </c>
      <c r="P603" s="64">
        <f t="shared" si="1233"/>
        <v>6000</v>
      </c>
      <c r="Q603" s="64" t="s">
        <v>33</v>
      </c>
      <c r="R603" s="64" t="s">
        <v>52</v>
      </c>
      <c r="S603" s="64">
        <f>5000+42000</f>
        <v>47000</v>
      </c>
      <c r="T603" s="64" t="s">
        <v>2154</v>
      </c>
      <c r="U603" s="65">
        <v>46162</v>
      </c>
      <c r="V603" s="64" t="s">
        <v>28</v>
      </c>
      <c r="W603" s="64">
        <f t="shared" si="1234"/>
        <v>5500</v>
      </c>
      <c r="X603" s="64" t="s">
        <v>36</v>
      </c>
      <c r="Y603" s="64" t="s">
        <v>29</v>
      </c>
      <c r="Z603" s="71">
        <f t="shared" si="1235"/>
        <v>13.253012048192771</v>
      </c>
      <c r="AA603" s="93"/>
    </row>
    <row r="604" spans="1:27" hidden="1">
      <c r="A604" s="64">
        <f>SUBTOTAL(3,C$2:C604)</f>
        <v>467</v>
      </c>
      <c r="B604" s="64" t="s">
        <v>1086</v>
      </c>
      <c r="C604" s="64" t="s">
        <v>1031</v>
      </c>
      <c r="D604" s="64" t="s">
        <v>32</v>
      </c>
      <c r="E604" s="64" t="s">
        <v>33</v>
      </c>
      <c r="F604" s="52" t="s">
        <v>1270</v>
      </c>
      <c r="G604" s="91" t="s">
        <v>34</v>
      </c>
      <c r="H604" s="98" t="s">
        <v>1292</v>
      </c>
      <c r="I604" s="65">
        <v>46149</v>
      </c>
      <c r="J604" s="64">
        <f t="shared" ca="1" si="1231"/>
        <v>35</v>
      </c>
      <c r="K604" s="64">
        <f t="shared" si="1232"/>
        <v>46169</v>
      </c>
      <c r="L604" s="52" t="s">
        <v>1024</v>
      </c>
      <c r="M604" s="64">
        <v>19000</v>
      </c>
      <c r="N604" s="64">
        <v>17000</v>
      </c>
      <c r="O604" s="65">
        <v>46150</v>
      </c>
      <c r="P604" s="64">
        <f t="shared" si="1233"/>
        <v>2000</v>
      </c>
      <c r="Q604" s="64" t="s">
        <v>33</v>
      </c>
      <c r="R604" s="64" t="s">
        <v>39</v>
      </c>
      <c r="S604" s="64">
        <v>21800</v>
      </c>
      <c r="T604" s="64" t="s">
        <v>2674</v>
      </c>
      <c r="U604" s="65">
        <v>46169</v>
      </c>
      <c r="V604" s="64" t="s">
        <v>28</v>
      </c>
      <c r="W604" s="64">
        <f t="shared" si="1234"/>
        <v>2800</v>
      </c>
      <c r="X604" s="64" t="s">
        <v>963</v>
      </c>
      <c r="Y604" s="64" t="s">
        <v>29</v>
      </c>
      <c r="Z604" s="71">
        <f t="shared" si="1235"/>
        <v>14.736842105263158</v>
      </c>
      <c r="AA604" s="93"/>
    </row>
    <row r="605" spans="1:27" hidden="1">
      <c r="A605" s="64">
        <f>SUBTOTAL(3,C$2:C605)</f>
        <v>467</v>
      </c>
      <c r="B605" s="64" t="s">
        <v>1086</v>
      </c>
      <c r="C605" s="64" t="s">
        <v>31</v>
      </c>
      <c r="D605" s="64" t="s">
        <v>32</v>
      </c>
      <c r="E605" s="64" t="s">
        <v>33</v>
      </c>
      <c r="F605" s="52" t="s">
        <v>147</v>
      </c>
      <c r="G605" s="91" t="s">
        <v>34</v>
      </c>
      <c r="H605" s="98" t="s">
        <v>1293</v>
      </c>
      <c r="I605" s="65">
        <v>46150</v>
      </c>
      <c r="J605" s="64">
        <f t="shared" ca="1" si="1231"/>
        <v>34</v>
      </c>
      <c r="K605" s="64">
        <f t="shared" si="1232"/>
        <v>46163</v>
      </c>
      <c r="L605" s="52" t="s">
        <v>355</v>
      </c>
      <c r="M605" s="64">
        <v>19000</v>
      </c>
      <c r="N605" s="64">
        <v>17000</v>
      </c>
      <c r="O605" s="65">
        <v>46150</v>
      </c>
      <c r="P605" s="64">
        <f t="shared" si="1233"/>
        <v>2000</v>
      </c>
      <c r="Q605" s="64" t="s">
        <v>33</v>
      </c>
      <c r="R605" s="64" t="s">
        <v>39</v>
      </c>
      <c r="S605" s="64">
        <v>21800</v>
      </c>
      <c r="T605" s="64" t="s">
        <v>2189</v>
      </c>
      <c r="U605" s="65">
        <v>46163</v>
      </c>
      <c r="V605" s="64" t="s">
        <v>28</v>
      </c>
      <c r="W605" s="64">
        <f t="shared" si="1234"/>
        <v>2800</v>
      </c>
      <c r="X605" s="64" t="s">
        <v>963</v>
      </c>
      <c r="Y605" s="64" t="s">
        <v>29</v>
      </c>
      <c r="Z605" s="71">
        <f t="shared" si="1235"/>
        <v>14.736842105263158</v>
      </c>
      <c r="AA605" s="93"/>
    </row>
    <row r="606" spans="1:27" hidden="1">
      <c r="A606" s="64">
        <f>SUBTOTAL(3,C$2:C606)</f>
        <v>467</v>
      </c>
      <c r="B606" s="64" t="s">
        <v>1086</v>
      </c>
      <c r="C606" s="64" t="s">
        <v>80</v>
      </c>
      <c r="D606" s="64" t="s">
        <v>32</v>
      </c>
      <c r="E606" s="64" t="s">
        <v>33</v>
      </c>
      <c r="F606" s="52" t="s">
        <v>722</v>
      </c>
      <c r="G606" s="91">
        <v>407</v>
      </c>
      <c r="H606" s="98" t="s">
        <v>1294</v>
      </c>
      <c r="I606" s="65">
        <v>46149</v>
      </c>
      <c r="J606" s="64">
        <f t="shared" ref="J606:J607" ca="1" si="1236">+TODAY()-I606</f>
        <v>35</v>
      </c>
      <c r="K606" s="64">
        <f t="shared" ref="K606:K607" si="1237">+U606</f>
        <v>46170</v>
      </c>
      <c r="L606" s="52" t="s">
        <v>54</v>
      </c>
      <c r="M606" s="64">
        <v>28000</v>
      </c>
      <c r="N606" s="64">
        <v>26000</v>
      </c>
      <c r="O606" s="65">
        <v>46150</v>
      </c>
      <c r="P606" s="64">
        <f t="shared" ref="P606:P607" si="1238">+M606-N606</f>
        <v>2000</v>
      </c>
      <c r="Q606" s="64" t="s">
        <v>33</v>
      </c>
      <c r="R606" s="64" t="s">
        <v>118</v>
      </c>
      <c r="S606" s="64">
        <v>30500</v>
      </c>
      <c r="T606" s="64" t="s">
        <v>2687</v>
      </c>
      <c r="U606" s="65">
        <v>46170</v>
      </c>
      <c r="V606" s="64" t="s">
        <v>28</v>
      </c>
      <c r="W606" s="64">
        <f t="shared" ref="W606:W607" si="1239">+S606-M606</f>
        <v>2500</v>
      </c>
      <c r="X606" s="64" t="s">
        <v>36</v>
      </c>
      <c r="Y606" s="64" t="s">
        <v>29</v>
      </c>
      <c r="Z606" s="71">
        <f t="shared" ref="Z606:Z607" si="1240">+W606*100/M606</f>
        <v>8.9285714285714288</v>
      </c>
      <c r="AA606" s="93"/>
    </row>
    <row r="607" spans="1:27" hidden="1">
      <c r="A607" s="64">
        <f>SUBTOTAL(3,C$2:C607)</f>
        <v>467</v>
      </c>
      <c r="B607" s="64" t="s">
        <v>1086</v>
      </c>
      <c r="C607" s="64" t="s">
        <v>31</v>
      </c>
      <c r="D607" s="64" t="s">
        <v>32</v>
      </c>
      <c r="E607" s="64" t="s">
        <v>33</v>
      </c>
      <c r="F607" s="52" t="s">
        <v>1271</v>
      </c>
      <c r="G607" s="91" t="s">
        <v>34</v>
      </c>
      <c r="H607" s="98" t="s">
        <v>1295</v>
      </c>
      <c r="I607" s="65">
        <v>46149</v>
      </c>
      <c r="J607" s="64">
        <f t="shared" ca="1" si="1236"/>
        <v>35</v>
      </c>
      <c r="K607" s="64" t="str">
        <f t="shared" si="1237"/>
        <v>Pending</v>
      </c>
      <c r="L607" s="52" t="s">
        <v>400</v>
      </c>
      <c r="M607" s="64">
        <v>23300</v>
      </c>
      <c r="N607" s="64">
        <v>21500</v>
      </c>
      <c r="O607" s="65">
        <v>46150</v>
      </c>
      <c r="P607" s="64">
        <f t="shared" si="1238"/>
        <v>1800</v>
      </c>
      <c r="Q607" s="64" t="s">
        <v>33</v>
      </c>
      <c r="R607" s="64" t="s">
        <v>37</v>
      </c>
      <c r="S607" s="64">
        <v>26000</v>
      </c>
      <c r="T607" s="64" t="s">
        <v>33</v>
      </c>
      <c r="U607" s="65" t="s">
        <v>33</v>
      </c>
      <c r="V607" s="64" t="s">
        <v>28</v>
      </c>
      <c r="W607" s="64">
        <f t="shared" si="1239"/>
        <v>2700</v>
      </c>
      <c r="X607" s="64" t="s">
        <v>963</v>
      </c>
      <c r="Y607" s="64" t="s">
        <v>29</v>
      </c>
      <c r="Z607" s="71">
        <f t="shared" si="1240"/>
        <v>11.587982832618026</v>
      </c>
      <c r="AA607" s="93"/>
    </row>
    <row r="608" spans="1:27" hidden="1">
      <c r="A608" s="64">
        <f>SUBTOTAL(3,C$2:C608)</f>
        <v>467</v>
      </c>
      <c r="B608" s="64" t="s">
        <v>1086</v>
      </c>
      <c r="C608" s="64" t="s">
        <v>80</v>
      </c>
      <c r="D608" s="64" t="s">
        <v>32</v>
      </c>
      <c r="E608" s="64" t="s">
        <v>33</v>
      </c>
      <c r="F608" s="52" t="s">
        <v>1272</v>
      </c>
      <c r="G608" s="91" t="s">
        <v>59</v>
      </c>
      <c r="H608" s="98" t="s">
        <v>1296</v>
      </c>
      <c r="I608" s="65">
        <v>46149</v>
      </c>
      <c r="J608" s="64">
        <f t="shared" ref="J608:J609" ca="1" si="1241">+TODAY()-I608</f>
        <v>35</v>
      </c>
      <c r="K608" s="64">
        <f t="shared" ref="K608:K609" si="1242">+U608</f>
        <v>46169</v>
      </c>
      <c r="L608" s="52" t="s">
        <v>1273</v>
      </c>
      <c r="M608" s="64">
        <v>35000</v>
      </c>
      <c r="N608" s="64">
        <v>32000</v>
      </c>
      <c r="O608" s="65">
        <v>46150</v>
      </c>
      <c r="P608" s="64">
        <f t="shared" ref="P608:P609" si="1243">+M608-N608</f>
        <v>3000</v>
      </c>
      <c r="Q608" s="64" t="s">
        <v>33</v>
      </c>
      <c r="R608" s="64" t="s">
        <v>39</v>
      </c>
      <c r="S608" s="64">
        <v>38500</v>
      </c>
      <c r="T608" s="64" t="s">
        <v>2688</v>
      </c>
      <c r="U608" s="65">
        <v>46169</v>
      </c>
      <c r="V608" s="64" t="s">
        <v>28</v>
      </c>
      <c r="W608" s="64">
        <f t="shared" ref="W608:W609" si="1244">+S608-M608</f>
        <v>3500</v>
      </c>
      <c r="X608" s="64" t="s">
        <v>36</v>
      </c>
      <c r="Y608" s="64" t="s">
        <v>29</v>
      </c>
      <c r="Z608" s="71">
        <f t="shared" ref="Z608:Z609" si="1245">+W608*100/M608</f>
        <v>10</v>
      </c>
      <c r="AA608" s="93"/>
    </row>
    <row r="609" spans="1:27" hidden="1">
      <c r="A609" s="64">
        <f>SUBTOTAL(3,C$2:C609)</f>
        <v>467</v>
      </c>
      <c r="B609" s="64" t="s">
        <v>1086</v>
      </c>
      <c r="C609" s="64" t="s">
        <v>80</v>
      </c>
      <c r="D609" s="64" t="s">
        <v>32</v>
      </c>
      <c r="E609" s="64" t="s">
        <v>33</v>
      </c>
      <c r="F609" s="52" t="s">
        <v>1000</v>
      </c>
      <c r="G609" s="91" t="s">
        <v>50</v>
      </c>
      <c r="H609" s="98" t="s">
        <v>1297</v>
      </c>
      <c r="I609" s="65">
        <v>46149</v>
      </c>
      <c r="J609" s="64">
        <f t="shared" ca="1" si="1241"/>
        <v>35</v>
      </c>
      <c r="K609" s="64">
        <f t="shared" si="1242"/>
        <v>46168</v>
      </c>
      <c r="L609" s="52" t="s">
        <v>598</v>
      </c>
      <c r="M609" s="64">
        <v>44000</v>
      </c>
      <c r="N609" s="64">
        <v>40000</v>
      </c>
      <c r="O609" s="65">
        <v>46150</v>
      </c>
      <c r="P609" s="64">
        <f t="shared" si="1243"/>
        <v>4000</v>
      </c>
      <c r="Q609" s="64" t="s">
        <v>33</v>
      </c>
      <c r="R609" s="64" t="s">
        <v>2141</v>
      </c>
      <c r="S609" s="64">
        <v>48000</v>
      </c>
      <c r="T609" s="64" t="s">
        <v>2190</v>
      </c>
      <c r="U609" s="65">
        <v>46168</v>
      </c>
      <c r="V609" s="64" t="s">
        <v>28</v>
      </c>
      <c r="W609" s="64">
        <f t="shared" si="1244"/>
        <v>4000</v>
      </c>
      <c r="X609" s="64" t="s">
        <v>36</v>
      </c>
      <c r="Y609" s="64" t="s">
        <v>29</v>
      </c>
      <c r="Z609" s="71">
        <f t="shared" si="1245"/>
        <v>9.0909090909090917</v>
      </c>
      <c r="AA609" s="93"/>
    </row>
    <row r="610" spans="1:27" hidden="1">
      <c r="A610" s="64">
        <f>SUBTOTAL(3,C$2:C610)</f>
        <v>467</v>
      </c>
      <c r="B610" s="64" t="s">
        <v>1086</v>
      </c>
      <c r="C610" s="64" t="s">
        <v>80</v>
      </c>
      <c r="D610" s="64" t="s">
        <v>32</v>
      </c>
      <c r="E610" s="64" t="s">
        <v>33</v>
      </c>
      <c r="F610" s="52" t="s">
        <v>1274</v>
      </c>
      <c r="G610" s="91" t="s">
        <v>1215</v>
      </c>
      <c r="H610" s="98" t="s">
        <v>1298</v>
      </c>
      <c r="I610" s="65">
        <v>46149</v>
      </c>
      <c r="J610" s="64">
        <f t="shared" ref="J610:J612" ca="1" si="1246">+TODAY()-I610</f>
        <v>35</v>
      </c>
      <c r="K610" s="64">
        <f t="shared" ref="K610:K612" si="1247">+U610</f>
        <v>46169</v>
      </c>
      <c r="L610" s="52" t="s">
        <v>1094</v>
      </c>
      <c r="M610" s="64">
        <v>28000</v>
      </c>
      <c r="N610" s="64">
        <v>26000</v>
      </c>
      <c r="O610" s="65">
        <v>46150</v>
      </c>
      <c r="P610" s="64">
        <f t="shared" ref="P610:P612" si="1248">+M610-N610</f>
        <v>2000</v>
      </c>
      <c r="Q610" s="64" t="s">
        <v>33</v>
      </c>
      <c r="R610" s="64" t="s">
        <v>39</v>
      </c>
      <c r="S610" s="64">
        <v>31500</v>
      </c>
      <c r="T610" s="64" t="s">
        <v>2680</v>
      </c>
      <c r="U610" s="65">
        <v>46169</v>
      </c>
      <c r="V610" s="64" t="s">
        <v>28</v>
      </c>
      <c r="W610" s="64">
        <f t="shared" ref="W610:W612" si="1249">+S610-M610</f>
        <v>3500</v>
      </c>
      <c r="X610" s="64" t="s">
        <v>36</v>
      </c>
      <c r="Y610" s="64" t="s">
        <v>29</v>
      </c>
      <c r="Z610" s="71">
        <f t="shared" ref="Z610:Z612" si="1250">+W610*100/M610</f>
        <v>12.5</v>
      </c>
      <c r="AA610" s="93"/>
    </row>
    <row r="611" spans="1:27" hidden="1">
      <c r="A611" s="64">
        <f>SUBTOTAL(3,C$2:C611)</f>
        <v>467</v>
      </c>
      <c r="B611" s="64" t="s">
        <v>1086</v>
      </c>
      <c r="C611" s="64" t="s">
        <v>31</v>
      </c>
      <c r="D611" s="64" t="s">
        <v>32</v>
      </c>
      <c r="E611" s="64" t="s">
        <v>33</v>
      </c>
      <c r="F611" s="52" t="s">
        <v>279</v>
      </c>
      <c r="G611" s="91" t="s">
        <v>34</v>
      </c>
      <c r="H611" s="98" t="s">
        <v>1299</v>
      </c>
      <c r="I611" s="65">
        <v>46149</v>
      </c>
      <c r="J611" s="64">
        <f t="shared" ca="1" si="1246"/>
        <v>35</v>
      </c>
      <c r="K611" s="64">
        <f t="shared" si="1247"/>
        <v>46169</v>
      </c>
      <c r="L611" s="52" t="s">
        <v>355</v>
      </c>
      <c r="M611" s="64">
        <v>19000</v>
      </c>
      <c r="N611" s="64">
        <v>17000</v>
      </c>
      <c r="O611" s="65">
        <v>46150</v>
      </c>
      <c r="P611" s="64">
        <f t="shared" si="1248"/>
        <v>2000</v>
      </c>
      <c r="Q611" s="64" t="s">
        <v>33</v>
      </c>
      <c r="R611" s="64" t="s">
        <v>39</v>
      </c>
      <c r="S611" s="64">
        <v>21800</v>
      </c>
      <c r="T611" s="64" t="s">
        <v>2672</v>
      </c>
      <c r="U611" s="65">
        <v>46169</v>
      </c>
      <c r="V611" s="64" t="s">
        <v>28</v>
      </c>
      <c r="W611" s="64">
        <f t="shared" si="1249"/>
        <v>2800</v>
      </c>
      <c r="X611" s="64" t="s">
        <v>963</v>
      </c>
      <c r="Y611" s="64" t="s">
        <v>29</v>
      </c>
      <c r="Z611" s="71">
        <f t="shared" si="1250"/>
        <v>14.736842105263158</v>
      </c>
      <c r="AA611" s="93"/>
    </row>
    <row r="612" spans="1:27" hidden="1">
      <c r="A612" s="64">
        <f>SUBTOTAL(3,C$2:C612)</f>
        <v>467</v>
      </c>
      <c r="B612" s="64" t="s">
        <v>1086</v>
      </c>
      <c r="C612" s="64" t="s">
        <v>1031</v>
      </c>
      <c r="D612" s="64" t="s">
        <v>32</v>
      </c>
      <c r="E612" s="64" t="s">
        <v>33</v>
      </c>
      <c r="F612" s="52" t="s">
        <v>1275</v>
      </c>
      <c r="G612" s="91" t="s">
        <v>34</v>
      </c>
      <c r="H612" s="98" t="s">
        <v>1300</v>
      </c>
      <c r="I612" s="65">
        <v>46149</v>
      </c>
      <c r="J612" s="64">
        <f t="shared" ca="1" si="1246"/>
        <v>35</v>
      </c>
      <c r="K612" s="64" t="str">
        <f t="shared" si="1247"/>
        <v>Pending</v>
      </c>
      <c r="L612" s="52" t="s">
        <v>1034</v>
      </c>
      <c r="M612" s="64">
        <v>18000</v>
      </c>
      <c r="N612" s="64">
        <v>16000</v>
      </c>
      <c r="O612" s="65">
        <v>46150</v>
      </c>
      <c r="P612" s="64">
        <f t="shared" si="1248"/>
        <v>2000</v>
      </c>
      <c r="Q612" s="64" t="s">
        <v>33</v>
      </c>
      <c r="R612" s="64" t="s">
        <v>37</v>
      </c>
      <c r="S612" s="64">
        <v>21500</v>
      </c>
      <c r="T612" s="64" t="s">
        <v>33</v>
      </c>
      <c r="U612" s="65" t="s">
        <v>33</v>
      </c>
      <c r="V612" s="64" t="s">
        <v>28</v>
      </c>
      <c r="W612" s="64">
        <f t="shared" si="1249"/>
        <v>3500</v>
      </c>
      <c r="X612" s="64" t="s">
        <v>963</v>
      </c>
      <c r="Y612" s="64" t="s">
        <v>29</v>
      </c>
      <c r="Z612" s="71">
        <f t="shared" si="1250"/>
        <v>19.444444444444443</v>
      </c>
      <c r="AA612" s="93"/>
    </row>
    <row r="613" spans="1:27" hidden="1">
      <c r="A613" s="64">
        <f>SUBTOTAL(3,C$2:C613)</f>
        <v>467</v>
      </c>
      <c r="B613" s="64" t="s">
        <v>1086</v>
      </c>
      <c r="C613" s="64" t="s">
        <v>31</v>
      </c>
      <c r="D613" s="64" t="s">
        <v>32</v>
      </c>
      <c r="E613" s="64" t="s">
        <v>33</v>
      </c>
      <c r="F613" s="52" t="s">
        <v>257</v>
      </c>
      <c r="G613" s="91" t="s">
        <v>34</v>
      </c>
      <c r="H613" s="98" t="s">
        <v>1301</v>
      </c>
      <c r="I613" s="65">
        <v>46150</v>
      </c>
      <c r="J613" s="64">
        <f t="shared" ref="J613" ca="1" si="1251">+TODAY()-I613</f>
        <v>34</v>
      </c>
      <c r="K613" s="64">
        <f t="shared" ref="K613" si="1252">+U613</f>
        <v>46169</v>
      </c>
      <c r="L613" s="52" t="s">
        <v>355</v>
      </c>
      <c r="M613" s="64">
        <v>19000</v>
      </c>
      <c r="N613" s="64">
        <v>17000</v>
      </c>
      <c r="O613" s="65">
        <v>46150</v>
      </c>
      <c r="P613" s="64">
        <f t="shared" ref="P613" si="1253">+M613-N613</f>
        <v>2000</v>
      </c>
      <c r="Q613" s="64" t="s">
        <v>33</v>
      </c>
      <c r="R613" s="64" t="s">
        <v>39</v>
      </c>
      <c r="S613" s="64">
        <v>21800</v>
      </c>
      <c r="T613" s="64" t="s">
        <v>2672</v>
      </c>
      <c r="U613" s="65">
        <v>46169</v>
      </c>
      <c r="V613" s="64" t="s">
        <v>28</v>
      </c>
      <c r="W613" s="64">
        <f t="shared" ref="W613" si="1254">+S613-M613</f>
        <v>2800</v>
      </c>
      <c r="X613" s="64" t="s">
        <v>963</v>
      </c>
      <c r="Y613" s="64" t="s">
        <v>29</v>
      </c>
      <c r="Z613" s="71">
        <f t="shared" ref="Z613" si="1255">+W613*100/M613</f>
        <v>14.736842105263158</v>
      </c>
      <c r="AA613" s="93"/>
    </row>
    <row r="614" spans="1:27" hidden="1">
      <c r="A614" s="64">
        <f>SUBTOTAL(3,C$2:C614)</f>
        <v>467</v>
      </c>
      <c r="B614" s="64" t="s">
        <v>1086</v>
      </c>
      <c r="C614" s="64" t="s">
        <v>31</v>
      </c>
      <c r="D614" s="64" t="s">
        <v>32</v>
      </c>
      <c r="E614" s="64" t="s">
        <v>33</v>
      </c>
      <c r="F614" s="52" t="s">
        <v>1276</v>
      </c>
      <c r="G614" s="91" t="s">
        <v>34</v>
      </c>
      <c r="H614" s="98" t="s">
        <v>1302</v>
      </c>
      <c r="I614" s="65">
        <v>46150</v>
      </c>
      <c r="J614" s="64">
        <f t="shared" ref="J614:J615" ca="1" si="1256">+TODAY()-I614</f>
        <v>34</v>
      </c>
      <c r="K614" s="64" t="str">
        <f t="shared" ref="K614:K615" si="1257">+U614</f>
        <v>Pending</v>
      </c>
      <c r="L614" s="52" t="s">
        <v>400</v>
      </c>
      <c r="M614" s="64">
        <v>23300</v>
      </c>
      <c r="N614" s="64">
        <v>21500</v>
      </c>
      <c r="O614" s="65">
        <v>46150</v>
      </c>
      <c r="P614" s="64">
        <f t="shared" ref="P614:P615" si="1258">+M614-N614</f>
        <v>1800</v>
      </c>
      <c r="Q614" s="64" t="s">
        <v>33</v>
      </c>
      <c r="R614" s="64" t="s">
        <v>37</v>
      </c>
      <c r="S614" s="64">
        <v>26000</v>
      </c>
      <c r="T614" s="64" t="s">
        <v>33</v>
      </c>
      <c r="U614" s="65" t="s">
        <v>33</v>
      </c>
      <c r="V614" s="64" t="s">
        <v>28</v>
      </c>
      <c r="W614" s="64">
        <f t="shared" ref="W614:W615" si="1259">+S614-M614</f>
        <v>2700</v>
      </c>
      <c r="X614" s="64" t="s">
        <v>963</v>
      </c>
      <c r="Y614" s="64" t="s">
        <v>29</v>
      </c>
      <c r="Z614" s="71">
        <f t="shared" ref="Z614:Z615" si="1260">+W614*100/M614</f>
        <v>11.587982832618026</v>
      </c>
      <c r="AA614" s="93"/>
    </row>
    <row r="615" spans="1:27" hidden="1">
      <c r="A615" s="64">
        <f>SUBTOTAL(3,C$2:C615)</f>
        <v>467</v>
      </c>
      <c r="B615" s="64" t="s">
        <v>1086</v>
      </c>
      <c r="C615" s="64" t="s">
        <v>1031</v>
      </c>
      <c r="D615" s="64" t="s">
        <v>32</v>
      </c>
      <c r="E615" s="64" t="s">
        <v>33</v>
      </c>
      <c r="F615" s="52" t="s">
        <v>1277</v>
      </c>
      <c r="G615" s="91" t="s">
        <v>34</v>
      </c>
      <c r="H615" s="98" t="s">
        <v>1303</v>
      </c>
      <c r="I615" s="65">
        <v>46150</v>
      </c>
      <c r="J615" s="64">
        <f t="shared" ca="1" si="1256"/>
        <v>34</v>
      </c>
      <c r="K615" s="64">
        <f t="shared" si="1257"/>
        <v>46170</v>
      </c>
      <c r="L615" s="52" t="s">
        <v>1024</v>
      </c>
      <c r="M615" s="64">
        <v>19000</v>
      </c>
      <c r="N615" s="64">
        <v>17000</v>
      </c>
      <c r="O615" s="65">
        <v>46150</v>
      </c>
      <c r="P615" s="64">
        <f t="shared" si="1258"/>
        <v>2000</v>
      </c>
      <c r="Q615" s="64" t="s">
        <v>33</v>
      </c>
      <c r="R615" s="64" t="s">
        <v>196</v>
      </c>
      <c r="S615" s="64">
        <v>21800</v>
      </c>
      <c r="T615" s="64" t="s">
        <v>2673</v>
      </c>
      <c r="U615" s="65">
        <v>46170</v>
      </c>
      <c r="V615" s="64" t="s">
        <v>28</v>
      </c>
      <c r="W615" s="64">
        <f t="shared" si="1259"/>
        <v>2800</v>
      </c>
      <c r="X615" s="64" t="s">
        <v>963</v>
      </c>
      <c r="Y615" s="64" t="s">
        <v>29</v>
      </c>
      <c r="Z615" s="71">
        <f t="shared" si="1260"/>
        <v>14.736842105263158</v>
      </c>
      <c r="AA615" s="93"/>
    </row>
    <row r="616" spans="1:27" hidden="1">
      <c r="A616" s="64">
        <f>SUBTOTAL(3,C$2:C616)</f>
        <v>467</v>
      </c>
      <c r="B616" s="64" t="s">
        <v>1086</v>
      </c>
      <c r="C616" s="64" t="s">
        <v>31</v>
      </c>
      <c r="D616" s="64" t="s">
        <v>32</v>
      </c>
      <c r="E616" s="64" t="s">
        <v>33</v>
      </c>
      <c r="F616" s="52" t="s">
        <v>1278</v>
      </c>
      <c r="G616" s="91" t="s">
        <v>34</v>
      </c>
      <c r="H616" s="98" t="s">
        <v>1304</v>
      </c>
      <c r="I616" s="65">
        <v>46150</v>
      </c>
      <c r="J616" s="64">
        <f t="shared" ref="J616:J618" ca="1" si="1261">+TODAY()-I616</f>
        <v>34</v>
      </c>
      <c r="K616" s="64" t="str">
        <f t="shared" ref="K616:K618" si="1262">+U616</f>
        <v>Pending</v>
      </c>
      <c r="L616" s="52" t="s">
        <v>1204</v>
      </c>
      <c r="M616" s="64">
        <v>28000</v>
      </c>
      <c r="N616" s="64">
        <v>26000</v>
      </c>
      <c r="O616" s="65">
        <v>46150</v>
      </c>
      <c r="P616" s="64">
        <f t="shared" ref="P616:P618" si="1263">+M616-N616</f>
        <v>2000</v>
      </c>
      <c r="Q616" s="64" t="s">
        <v>33</v>
      </c>
      <c r="R616" s="64" t="s">
        <v>37</v>
      </c>
      <c r="S616" s="64">
        <v>33000</v>
      </c>
      <c r="T616" s="64" t="s">
        <v>33</v>
      </c>
      <c r="U616" s="65" t="s">
        <v>33</v>
      </c>
      <c r="V616" s="64" t="s">
        <v>28</v>
      </c>
      <c r="W616" s="64">
        <f t="shared" ref="W616:W618" si="1264">+S616-M616</f>
        <v>5000</v>
      </c>
      <c r="X616" s="64" t="s">
        <v>963</v>
      </c>
      <c r="Y616" s="64" t="s">
        <v>29</v>
      </c>
      <c r="Z616" s="71">
        <f t="shared" ref="Z616:Z618" si="1265">+W616*100/M616</f>
        <v>17.857142857142858</v>
      </c>
      <c r="AA616" s="93"/>
    </row>
    <row r="617" spans="1:27" hidden="1">
      <c r="A617" s="64">
        <f>SUBTOTAL(3,C$2:C617)</f>
        <v>467</v>
      </c>
      <c r="B617" s="64" t="s">
        <v>1086</v>
      </c>
      <c r="C617" s="64" t="s">
        <v>44</v>
      </c>
      <c r="D617" s="64" t="s">
        <v>32</v>
      </c>
      <c r="E617" s="64" t="s">
        <v>33</v>
      </c>
      <c r="F617" s="52" t="s">
        <v>1279</v>
      </c>
      <c r="G617" s="91" t="s">
        <v>46</v>
      </c>
      <c r="H617" s="98" t="s">
        <v>1305</v>
      </c>
      <c r="I617" s="65">
        <v>46150</v>
      </c>
      <c r="J617" s="64">
        <f t="shared" ca="1" si="1261"/>
        <v>34</v>
      </c>
      <c r="K617" s="64">
        <f t="shared" si="1262"/>
        <v>46162</v>
      </c>
      <c r="L617" s="52" t="s">
        <v>397</v>
      </c>
      <c r="M617" s="64">
        <v>19000</v>
      </c>
      <c r="N617" s="64">
        <v>17000</v>
      </c>
      <c r="O617" s="65">
        <v>46150</v>
      </c>
      <c r="P617" s="64">
        <f t="shared" si="1263"/>
        <v>2000</v>
      </c>
      <c r="Q617" s="64" t="s">
        <v>33</v>
      </c>
      <c r="R617" s="64" t="s">
        <v>39</v>
      </c>
      <c r="S617" s="64">
        <v>21800</v>
      </c>
      <c r="T617" s="64" t="s">
        <v>2150</v>
      </c>
      <c r="U617" s="65">
        <v>46162</v>
      </c>
      <c r="V617" s="64" t="s">
        <v>28</v>
      </c>
      <c r="W617" s="64">
        <f t="shared" si="1264"/>
        <v>2800</v>
      </c>
      <c r="X617" s="64" t="s">
        <v>36</v>
      </c>
      <c r="Y617" s="64" t="s">
        <v>29</v>
      </c>
      <c r="Z617" s="71">
        <f t="shared" si="1265"/>
        <v>14.736842105263158</v>
      </c>
      <c r="AA617" s="93"/>
    </row>
    <row r="618" spans="1:27" hidden="1">
      <c r="A618" s="64">
        <f>SUBTOTAL(3,C$2:C618)</f>
        <v>467</v>
      </c>
      <c r="B618" s="64" t="s">
        <v>1086</v>
      </c>
      <c r="C618" s="64" t="s">
        <v>44</v>
      </c>
      <c r="D618" s="64" t="s">
        <v>32</v>
      </c>
      <c r="E618" s="64" t="s">
        <v>33</v>
      </c>
      <c r="F618" s="52" t="s">
        <v>283</v>
      </c>
      <c r="G618" s="91" t="s">
        <v>46</v>
      </c>
      <c r="H618" s="98" t="s">
        <v>1306</v>
      </c>
      <c r="I618" s="65">
        <v>46150</v>
      </c>
      <c r="J618" s="64">
        <f t="shared" ca="1" si="1261"/>
        <v>34</v>
      </c>
      <c r="K618" s="64">
        <f t="shared" si="1262"/>
        <v>46162</v>
      </c>
      <c r="L618" s="52" t="s">
        <v>397</v>
      </c>
      <c r="M618" s="64">
        <v>19000</v>
      </c>
      <c r="N618" s="64">
        <v>17000</v>
      </c>
      <c r="O618" s="65">
        <v>46150</v>
      </c>
      <c r="P618" s="64">
        <f t="shared" si="1263"/>
        <v>2000</v>
      </c>
      <c r="Q618" s="64" t="s">
        <v>33</v>
      </c>
      <c r="R618" s="64" t="s">
        <v>39</v>
      </c>
      <c r="S618" s="64">
        <v>21800</v>
      </c>
      <c r="T618" s="64" t="s">
        <v>2150</v>
      </c>
      <c r="U618" s="65">
        <v>46162</v>
      </c>
      <c r="V618" s="64" t="s">
        <v>28</v>
      </c>
      <c r="W618" s="64">
        <f t="shared" si="1264"/>
        <v>2800</v>
      </c>
      <c r="X618" s="64" t="s">
        <v>36</v>
      </c>
      <c r="Y618" s="64" t="s">
        <v>29</v>
      </c>
      <c r="Z618" s="71">
        <f t="shared" si="1265"/>
        <v>14.736842105263158</v>
      </c>
      <c r="AA618" s="93"/>
    </row>
    <row r="619" spans="1:27" hidden="1">
      <c r="A619" s="64">
        <f>SUBTOTAL(3,C$2:C619)</f>
        <v>467</v>
      </c>
      <c r="B619" s="64" t="s">
        <v>1086</v>
      </c>
      <c r="C619" s="64" t="s">
        <v>216</v>
      </c>
      <c r="D619" s="64" t="s">
        <v>32</v>
      </c>
      <c r="E619" s="64" t="s">
        <v>33</v>
      </c>
      <c r="F619" s="52" t="s">
        <v>1280</v>
      </c>
      <c r="G619" s="91" t="s">
        <v>50</v>
      </c>
      <c r="H619" s="70" t="s">
        <v>1307</v>
      </c>
      <c r="I619" s="65">
        <v>46150</v>
      </c>
      <c r="J619" s="64">
        <f t="shared" ref="J619" ca="1" si="1266">+TODAY()-I619</f>
        <v>34</v>
      </c>
      <c r="K619" s="64" t="str">
        <f t="shared" ref="K619" si="1267">+U619</f>
        <v>Pending</v>
      </c>
      <c r="L619" s="52" t="s">
        <v>219</v>
      </c>
      <c r="M619" s="64">
        <f>3000+44000</f>
        <v>47000</v>
      </c>
      <c r="N619" s="64">
        <v>40000</v>
      </c>
      <c r="O619" s="65">
        <v>46150</v>
      </c>
      <c r="P619" s="64">
        <f t="shared" ref="P619" si="1268">+M619-N619</f>
        <v>7000</v>
      </c>
      <c r="Q619" s="64" t="s">
        <v>33</v>
      </c>
      <c r="R619" s="64" t="s">
        <v>52</v>
      </c>
      <c r="S619" s="64">
        <f>5000+48000</f>
        <v>53000</v>
      </c>
      <c r="T619" s="64" t="s">
        <v>33</v>
      </c>
      <c r="U619" s="65" t="s">
        <v>33</v>
      </c>
      <c r="V619" s="64" t="s">
        <v>28</v>
      </c>
      <c r="W619" s="64">
        <f t="shared" ref="W619" si="1269">+S619-M619</f>
        <v>6000</v>
      </c>
      <c r="X619" s="64" t="s">
        <v>36</v>
      </c>
      <c r="Y619" s="64" t="s">
        <v>29</v>
      </c>
      <c r="Z619" s="71">
        <f t="shared" ref="Z619" si="1270">+W619*100/M619</f>
        <v>12.76595744680851</v>
      </c>
      <c r="AA619" s="93"/>
    </row>
    <row r="620" spans="1:27" hidden="1">
      <c r="A620" s="64">
        <f>SUBTOTAL(3,C$2:C620)</f>
        <v>467</v>
      </c>
      <c r="B620" s="64" t="s">
        <v>1086</v>
      </c>
      <c r="C620" s="64" t="s">
        <v>44</v>
      </c>
      <c r="D620" s="64" t="s">
        <v>32</v>
      </c>
      <c r="E620" s="64" t="s">
        <v>33</v>
      </c>
      <c r="F620" s="52" t="s">
        <v>1281</v>
      </c>
      <c r="G620" s="91" t="s">
        <v>46</v>
      </c>
      <c r="H620" s="98" t="s">
        <v>1308</v>
      </c>
      <c r="I620" s="65">
        <v>46150</v>
      </c>
      <c r="J620" s="64">
        <f t="shared" ref="J620:J621" ca="1" si="1271">+TODAY()-I620</f>
        <v>34</v>
      </c>
      <c r="K620" s="64">
        <f t="shared" ref="K620:K621" si="1272">+U620</f>
        <v>46169</v>
      </c>
      <c r="L620" s="52" t="s">
        <v>1282</v>
      </c>
      <c r="M620" s="64">
        <v>28000</v>
      </c>
      <c r="N620" s="64">
        <v>26000</v>
      </c>
      <c r="O620" s="65">
        <v>46150</v>
      </c>
      <c r="P620" s="64">
        <f t="shared" ref="P620:P621" si="1273">+M620-N620</f>
        <v>2000</v>
      </c>
      <c r="Q620" s="64" t="s">
        <v>33</v>
      </c>
      <c r="R620" s="64" t="s">
        <v>39</v>
      </c>
      <c r="S620" s="64">
        <v>31500</v>
      </c>
      <c r="T620" s="64" t="s">
        <v>2689</v>
      </c>
      <c r="U620" s="65">
        <v>46169</v>
      </c>
      <c r="V620" s="64" t="s">
        <v>28</v>
      </c>
      <c r="W620" s="64">
        <f t="shared" ref="W620:W621" si="1274">+S620-M620</f>
        <v>3500</v>
      </c>
      <c r="X620" s="64" t="s">
        <v>36</v>
      </c>
      <c r="Y620" s="64" t="s">
        <v>29</v>
      </c>
      <c r="Z620" s="71">
        <f t="shared" ref="Z620:Z621" si="1275">+W620*100/M620</f>
        <v>12.5</v>
      </c>
      <c r="AA620" s="93"/>
    </row>
    <row r="621" spans="1:27" hidden="1">
      <c r="A621" s="64">
        <f>SUBTOTAL(3,C$2:C621)</f>
        <v>467</v>
      </c>
      <c r="B621" s="64" t="s">
        <v>1086</v>
      </c>
      <c r="C621" s="64" t="s">
        <v>31</v>
      </c>
      <c r="D621" s="64" t="s">
        <v>32</v>
      </c>
      <c r="E621" s="64" t="s">
        <v>33</v>
      </c>
      <c r="F621" s="52" t="s">
        <v>568</v>
      </c>
      <c r="G621" s="91" t="s">
        <v>34</v>
      </c>
      <c r="H621" s="98" t="s">
        <v>1309</v>
      </c>
      <c r="I621" s="65">
        <v>46150</v>
      </c>
      <c r="J621" s="64">
        <f t="shared" ca="1" si="1271"/>
        <v>34</v>
      </c>
      <c r="K621" s="64">
        <f t="shared" si="1272"/>
        <v>46169</v>
      </c>
      <c r="L621" s="52" t="s">
        <v>698</v>
      </c>
      <c r="M621" s="64">
        <v>18000</v>
      </c>
      <c r="N621" s="64">
        <v>16000</v>
      </c>
      <c r="O621" s="65">
        <v>46150</v>
      </c>
      <c r="P621" s="64">
        <f t="shared" si="1273"/>
        <v>2000</v>
      </c>
      <c r="Q621" s="64" t="s">
        <v>33</v>
      </c>
      <c r="R621" s="64" t="s">
        <v>56</v>
      </c>
      <c r="S621" s="64">
        <v>20500</v>
      </c>
      <c r="T621" s="64" t="s">
        <v>2690</v>
      </c>
      <c r="U621" s="65">
        <v>46169</v>
      </c>
      <c r="V621" s="64" t="s">
        <v>28</v>
      </c>
      <c r="W621" s="64">
        <f t="shared" si="1274"/>
        <v>2500</v>
      </c>
      <c r="X621" s="64" t="s">
        <v>963</v>
      </c>
      <c r="Y621" s="64" t="s">
        <v>29</v>
      </c>
      <c r="Z621" s="71">
        <f t="shared" si="1275"/>
        <v>13.888888888888889</v>
      </c>
      <c r="AA621" s="93"/>
    </row>
    <row r="622" spans="1:27" hidden="1">
      <c r="A622" s="64">
        <f>SUBTOTAL(3,C$2:C622)</f>
        <v>467</v>
      </c>
      <c r="B622" s="64" t="s">
        <v>1086</v>
      </c>
      <c r="C622" s="64" t="s">
        <v>31</v>
      </c>
      <c r="D622" s="64" t="s">
        <v>32</v>
      </c>
      <c r="E622" s="64" t="s">
        <v>33</v>
      </c>
      <c r="F622" s="52" t="s">
        <v>1283</v>
      </c>
      <c r="G622" s="91" t="s">
        <v>34</v>
      </c>
      <c r="H622" s="98" t="s">
        <v>1310</v>
      </c>
      <c r="I622" s="65">
        <v>46150</v>
      </c>
      <c r="J622" s="64">
        <f t="shared" ref="J622:J623" ca="1" si="1276">+TODAY()-I622</f>
        <v>34</v>
      </c>
      <c r="K622" s="64" t="str">
        <f t="shared" ref="K622:K623" si="1277">+U622</f>
        <v>Pending</v>
      </c>
      <c r="L622" s="52" t="s">
        <v>519</v>
      </c>
      <c r="M622" s="64">
        <v>18300</v>
      </c>
      <c r="N622" s="64">
        <v>16500</v>
      </c>
      <c r="O622" s="65">
        <v>46150</v>
      </c>
      <c r="P622" s="64">
        <f t="shared" ref="P622:P623" si="1278">+M622-N622</f>
        <v>1800</v>
      </c>
      <c r="Q622" s="64" t="s">
        <v>33</v>
      </c>
      <c r="R622" s="64" t="s">
        <v>37</v>
      </c>
      <c r="S622" s="64">
        <v>21500</v>
      </c>
      <c r="T622" s="64" t="s">
        <v>33</v>
      </c>
      <c r="U622" s="65" t="s">
        <v>33</v>
      </c>
      <c r="V622" s="64" t="s">
        <v>28</v>
      </c>
      <c r="W622" s="64">
        <f t="shared" ref="W622:W623" si="1279">+S622-M622</f>
        <v>3200</v>
      </c>
      <c r="X622" s="64" t="s">
        <v>963</v>
      </c>
      <c r="Y622" s="64" t="s">
        <v>29</v>
      </c>
      <c r="Z622" s="71">
        <f t="shared" ref="Z622:Z623" si="1280">+W622*100/M622</f>
        <v>17.486338797814209</v>
      </c>
      <c r="AA622" s="93"/>
    </row>
    <row r="623" spans="1:27" hidden="1">
      <c r="A623" s="64">
        <f>SUBTOTAL(3,C$2:C623)</f>
        <v>467</v>
      </c>
      <c r="B623" s="64" t="s">
        <v>1086</v>
      </c>
      <c r="C623" s="64" t="s">
        <v>1031</v>
      </c>
      <c r="D623" s="64" t="s">
        <v>32</v>
      </c>
      <c r="E623" s="64" t="s">
        <v>33</v>
      </c>
      <c r="F623" s="52" t="s">
        <v>1284</v>
      </c>
      <c r="G623" s="91" t="s">
        <v>34</v>
      </c>
      <c r="H623" s="98" t="s">
        <v>1311</v>
      </c>
      <c r="I623" s="65">
        <v>46150</v>
      </c>
      <c r="J623" s="64">
        <f t="shared" ca="1" si="1276"/>
        <v>34</v>
      </c>
      <c r="K623" s="64">
        <f t="shared" si="1277"/>
        <v>46162</v>
      </c>
      <c r="L623" s="52" t="s">
        <v>1024</v>
      </c>
      <c r="M623" s="64">
        <v>19000</v>
      </c>
      <c r="N623" s="64">
        <v>17000</v>
      </c>
      <c r="O623" s="65">
        <v>46150</v>
      </c>
      <c r="P623" s="64">
        <f t="shared" si="1278"/>
        <v>2000</v>
      </c>
      <c r="Q623" s="64" t="s">
        <v>33</v>
      </c>
      <c r="R623" s="64" t="s">
        <v>39</v>
      </c>
      <c r="S623" s="64">
        <v>21800</v>
      </c>
      <c r="T623" s="64" t="s">
        <v>2150</v>
      </c>
      <c r="U623" s="65">
        <v>46162</v>
      </c>
      <c r="V623" s="64" t="s">
        <v>28</v>
      </c>
      <c r="W623" s="64">
        <f t="shared" si="1279"/>
        <v>2800</v>
      </c>
      <c r="X623" s="64" t="s">
        <v>963</v>
      </c>
      <c r="Y623" s="64" t="s">
        <v>29</v>
      </c>
      <c r="Z623" s="71">
        <f t="shared" si="1280"/>
        <v>14.736842105263158</v>
      </c>
      <c r="AA623" s="93"/>
    </row>
    <row r="624" spans="1:27" hidden="1">
      <c r="A624" s="64">
        <f>SUBTOTAL(3,C$2:C624)</f>
        <v>467</v>
      </c>
      <c r="B624" s="64" t="s">
        <v>1086</v>
      </c>
      <c r="C624" s="64" t="s">
        <v>1031</v>
      </c>
      <c r="D624" s="64" t="s">
        <v>32</v>
      </c>
      <c r="E624" s="64" t="s">
        <v>33</v>
      </c>
      <c r="F624" s="52" t="s">
        <v>1285</v>
      </c>
      <c r="G624" s="91" t="s">
        <v>34</v>
      </c>
      <c r="H624" s="70" t="s">
        <v>1312</v>
      </c>
      <c r="I624" s="65">
        <v>46150</v>
      </c>
      <c r="J624" s="64">
        <f t="shared" ref="J624:J625" ca="1" si="1281">+TODAY()-I624</f>
        <v>34</v>
      </c>
      <c r="K624" s="64" t="str">
        <f t="shared" ref="K624:K625" si="1282">+U624</f>
        <v>Pending</v>
      </c>
      <c r="L624" s="52" t="s">
        <v>1024</v>
      </c>
      <c r="M624" s="64">
        <v>18000</v>
      </c>
      <c r="N624" s="64">
        <v>16000</v>
      </c>
      <c r="O624" s="65">
        <v>46150</v>
      </c>
      <c r="P624" s="64">
        <f t="shared" ref="P624:P625" si="1283">+M624-N624</f>
        <v>2000</v>
      </c>
      <c r="Q624" s="64" t="s">
        <v>33</v>
      </c>
      <c r="R624" s="64" t="s">
        <v>37</v>
      </c>
      <c r="S624" s="64">
        <v>21500</v>
      </c>
      <c r="T624" s="64" t="s">
        <v>33</v>
      </c>
      <c r="U624" s="65" t="s">
        <v>33</v>
      </c>
      <c r="V624" s="64" t="s">
        <v>28</v>
      </c>
      <c r="W624" s="64">
        <f t="shared" ref="W624:W625" si="1284">+S624-M624</f>
        <v>3500</v>
      </c>
      <c r="X624" s="64" t="s">
        <v>963</v>
      </c>
      <c r="Y624" s="64" t="s">
        <v>29</v>
      </c>
      <c r="Z624" s="71">
        <f t="shared" ref="Z624:Z625" si="1285">+W624*100/M624</f>
        <v>19.444444444444443</v>
      </c>
      <c r="AA624" s="93"/>
    </row>
    <row r="625" spans="1:27" hidden="1">
      <c r="A625" s="64">
        <f>SUBTOTAL(3,C$2:C625)</f>
        <v>467</v>
      </c>
      <c r="B625" s="64" t="s">
        <v>1086</v>
      </c>
      <c r="C625" s="64" t="s">
        <v>31</v>
      </c>
      <c r="D625" s="64" t="s">
        <v>32</v>
      </c>
      <c r="E625" s="64" t="s">
        <v>33</v>
      </c>
      <c r="F625" s="52" t="s">
        <v>1286</v>
      </c>
      <c r="G625" s="91" t="s">
        <v>34</v>
      </c>
      <c r="H625" s="98" t="s">
        <v>1313</v>
      </c>
      <c r="I625" s="65">
        <v>46150</v>
      </c>
      <c r="J625" s="64">
        <f t="shared" ca="1" si="1281"/>
        <v>34</v>
      </c>
      <c r="K625" s="64" t="str">
        <f t="shared" si="1282"/>
        <v>Pending</v>
      </c>
      <c r="L625" s="52" t="s">
        <v>400</v>
      </c>
      <c r="M625" s="64">
        <v>23300</v>
      </c>
      <c r="N625" s="64">
        <v>21500</v>
      </c>
      <c r="O625" s="65">
        <v>46150</v>
      </c>
      <c r="P625" s="64">
        <f t="shared" si="1283"/>
        <v>1800</v>
      </c>
      <c r="Q625" s="64" t="s">
        <v>33</v>
      </c>
      <c r="R625" s="64" t="s">
        <v>37</v>
      </c>
      <c r="S625" s="64">
        <v>26000</v>
      </c>
      <c r="T625" s="64" t="s">
        <v>33</v>
      </c>
      <c r="U625" s="65" t="s">
        <v>33</v>
      </c>
      <c r="V625" s="64" t="s">
        <v>28</v>
      </c>
      <c r="W625" s="64">
        <f t="shared" si="1284"/>
        <v>2700</v>
      </c>
      <c r="X625" s="64" t="s">
        <v>963</v>
      </c>
      <c r="Y625" s="64" t="s">
        <v>29</v>
      </c>
      <c r="Z625" s="71">
        <f t="shared" si="1285"/>
        <v>11.587982832618026</v>
      </c>
      <c r="AA625" s="93"/>
    </row>
    <row r="626" spans="1:27" hidden="1">
      <c r="A626" s="64">
        <f>SUBTOTAL(3,C$2:C626)</f>
        <v>467</v>
      </c>
      <c r="B626" s="64" t="s">
        <v>1086</v>
      </c>
      <c r="C626" s="64" t="s">
        <v>31</v>
      </c>
      <c r="D626" s="64" t="s">
        <v>32</v>
      </c>
      <c r="E626" s="64" t="s">
        <v>33</v>
      </c>
      <c r="F626" s="52" t="s">
        <v>1287</v>
      </c>
      <c r="G626" s="91" t="s">
        <v>34</v>
      </c>
      <c r="H626" s="98" t="s">
        <v>1314</v>
      </c>
      <c r="I626" s="65">
        <v>46150</v>
      </c>
      <c r="J626" s="64">
        <f t="shared" ref="J626:J628" ca="1" si="1286">+TODAY()-I626</f>
        <v>34</v>
      </c>
      <c r="K626" s="64">
        <f t="shared" ref="K626:K628" si="1287">+U626</f>
        <v>46169</v>
      </c>
      <c r="L626" s="52" t="s">
        <v>698</v>
      </c>
      <c r="M626" s="64">
        <v>18000</v>
      </c>
      <c r="N626" s="64">
        <v>16000</v>
      </c>
      <c r="O626" s="65">
        <v>46150</v>
      </c>
      <c r="P626" s="64">
        <f t="shared" ref="P626:P628" si="1288">+M626-N626</f>
        <v>2000</v>
      </c>
      <c r="Q626" s="64" t="s">
        <v>33</v>
      </c>
      <c r="R626" s="64" t="s">
        <v>56</v>
      </c>
      <c r="S626" s="64">
        <v>20500</v>
      </c>
      <c r="T626" s="64" t="s">
        <v>2691</v>
      </c>
      <c r="U626" s="65">
        <v>46169</v>
      </c>
      <c r="V626" s="64" t="s">
        <v>28</v>
      </c>
      <c r="W626" s="64">
        <f t="shared" ref="W626:W628" si="1289">+S626-M626</f>
        <v>2500</v>
      </c>
      <c r="X626" s="64" t="s">
        <v>963</v>
      </c>
      <c r="Y626" s="64" t="s">
        <v>29</v>
      </c>
      <c r="Z626" s="71">
        <f t="shared" ref="Z626:Z628" si="1290">+W626*100/M626</f>
        <v>13.888888888888889</v>
      </c>
      <c r="AA626" s="93"/>
    </row>
    <row r="627" spans="1:27" hidden="1">
      <c r="A627" s="64">
        <f>SUBTOTAL(3,C$2:C627)</f>
        <v>467</v>
      </c>
      <c r="B627" s="64" t="s">
        <v>1086</v>
      </c>
      <c r="C627" s="64" t="s">
        <v>44</v>
      </c>
      <c r="D627" s="64" t="s">
        <v>32</v>
      </c>
      <c r="E627" s="64" t="s">
        <v>33</v>
      </c>
      <c r="F627" s="52" t="s">
        <v>353</v>
      </c>
      <c r="G627" s="91" t="s">
        <v>46</v>
      </c>
      <c r="H627" s="98" t="s">
        <v>1315</v>
      </c>
      <c r="I627" s="65">
        <v>46150</v>
      </c>
      <c r="J627" s="64">
        <f t="shared" ca="1" si="1286"/>
        <v>34</v>
      </c>
      <c r="K627" s="64">
        <f t="shared" si="1287"/>
        <v>46170</v>
      </c>
      <c r="L627" s="52" t="s">
        <v>1288</v>
      </c>
      <c r="M627" s="64">
        <v>18000</v>
      </c>
      <c r="N627" s="64">
        <v>18000</v>
      </c>
      <c r="O627" s="65">
        <v>46150</v>
      </c>
      <c r="P627" s="64">
        <f t="shared" si="1288"/>
        <v>0</v>
      </c>
      <c r="Q627" s="64" t="s">
        <v>33</v>
      </c>
      <c r="R627" s="97" t="s">
        <v>78</v>
      </c>
      <c r="S627" s="64">
        <v>21000</v>
      </c>
      <c r="T627" s="64" t="s">
        <v>2681</v>
      </c>
      <c r="U627" s="65">
        <v>46170</v>
      </c>
      <c r="V627" s="64" t="s">
        <v>28</v>
      </c>
      <c r="W627" s="64">
        <f t="shared" si="1289"/>
        <v>3000</v>
      </c>
      <c r="X627" s="64" t="s">
        <v>36</v>
      </c>
      <c r="Y627" s="64" t="s">
        <v>29</v>
      </c>
      <c r="Z627" s="71">
        <f t="shared" si="1290"/>
        <v>16.666666666666668</v>
      </c>
      <c r="AA627" s="93"/>
    </row>
    <row r="628" spans="1:27" hidden="1">
      <c r="A628" s="64">
        <f>SUBTOTAL(3,C$2:C628)</f>
        <v>467</v>
      </c>
      <c r="B628" s="64" t="s">
        <v>1086</v>
      </c>
      <c r="C628" s="64" t="s">
        <v>137</v>
      </c>
      <c r="D628" s="64" t="s">
        <v>32</v>
      </c>
      <c r="E628" s="64" t="s">
        <v>33</v>
      </c>
      <c r="F628" s="52" t="s">
        <v>138</v>
      </c>
      <c r="G628" s="91" t="s">
        <v>50</v>
      </c>
      <c r="H628" s="98" t="s">
        <v>1316</v>
      </c>
      <c r="I628" s="65">
        <v>46150</v>
      </c>
      <c r="J628" s="64">
        <f t="shared" ca="1" si="1286"/>
        <v>34</v>
      </c>
      <c r="K628" s="64">
        <f t="shared" si="1287"/>
        <v>46170</v>
      </c>
      <c r="L628" s="52" t="s">
        <v>139</v>
      </c>
      <c r="M628" s="64">
        <f>3000+44000</f>
        <v>47000</v>
      </c>
      <c r="N628" s="64">
        <v>40000</v>
      </c>
      <c r="O628" s="65">
        <v>46150</v>
      </c>
      <c r="P628" s="64">
        <f t="shared" si="1288"/>
        <v>7000</v>
      </c>
      <c r="Q628" s="64" t="s">
        <v>33</v>
      </c>
      <c r="R628" s="64" t="s">
        <v>52</v>
      </c>
      <c r="S628" s="64">
        <f>5000+48000</f>
        <v>53000</v>
      </c>
      <c r="T628" s="64" t="s">
        <v>2692</v>
      </c>
      <c r="U628" s="65">
        <v>46170</v>
      </c>
      <c r="V628" s="64" t="s">
        <v>28</v>
      </c>
      <c r="W628" s="64">
        <f t="shared" si="1289"/>
        <v>6000</v>
      </c>
      <c r="X628" s="64" t="s">
        <v>36</v>
      </c>
      <c r="Y628" s="64" t="s">
        <v>29</v>
      </c>
      <c r="Z628" s="71">
        <f t="shared" si="1290"/>
        <v>12.76595744680851</v>
      </c>
      <c r="AA628" s="93"/>
    </row>
    <row r="629" spans="1:27" hidden="1">
      <c r="A629" s="64">
        <f>SUBTOTAL(3,C$2:C629)</f>
        <v>467</v>
      </c>
      <c r="B629" s="64" t="s">
        <v>1086</v>
      </c>
      <c r="C629" s="64" t="s">
        <v>44</v>
      </c>
      <c r="D629" s="64" t="s">
        <v>32</v>
      </c>
      <c r="E629" s="64" t="s">
        <v>33</v>
      </c>
      <c r="F629" s="52" t="s">
        <v>828</v>
      </c>
      <c r="G629" s="91">
        <v>407</v>
      </c>
      <c r="H629" s="70" t="s">
        <v>1368</v>
      </c>
      <c r="I629" s="65">
        <v>46149</v>
      </c>
      <c r="J629" s="64">
        <f t="shared" ref="J629:J630" ca="1" si="1291">+TODAY()-I629</f>
        <v>35</v>
      </c>
      <c r="K629" s="64" t="str">
        <f t="shared" ref="K629:K630" si="1292">+U629</f>
        <v>Pending</v>
      </c>
      <c r="L629" s="52" t="s">
        <v>381</v>
      </c>
      <c r="M629" s="64">
        <v>28000</v>
      </c>
      <c r="N629" s="64">
        <v>25000</v>
      </c>
      <c r="O629" s="65">
        <v>46151</v>
      </c>
      <c r="P629" s="64">
        <f t="shared" ref="P629:P630" si="1293">+M629-N629</f>
        <v>3000</v>
      </c>
      <c r="Q629" s="64" t="s">
        <v>33</v>
      </c>
      <c r="R629" s="64" t="s">
        <v>56</v>
      </c>
      <c r="S629" s="64">
        <v>30800</v>
      </c>
      <c r="T629" s="64" t="s">
        <v>33</v>
      </c>
      <c r="U629" s="65" t="s">
        <v>33</v>
      </c>
      <c r="V629" s="64" t="s">
        <v>28</v>
      </c>
      <c r="W629" s="64">
        <f t="shared" ref="W629:W630" si="1294">+S629-M629</f>
        <v>2800</v>
      </c>
      <c r="X629" s="64" t="s">
        <v>36</v>
      </c>
      <c r="Y629" s="64" t="s">
        <v>29</v>
      </c>
      <c r="Z629" s="71">
        <f t="shared" ref="Z629:Z630" si="1295">+W629*100/M629</f>
        <v>10</v>
      </c>
      <c r="AA629" s="93"/>
    </row>
    <row r="630" spans="1:27" hidden="1">
      <c r="A630" s="64">
        <f>SUBTOTAL(3,C$2:C630)</f>
        <v>467</v>
      </c>
      <c r="B630" s="64" t="s">
        <v>1086</v>
      </c>
      <c r="C630" s="64" t="s">
        <v>31</v>
      </c>
      <c r="D630" s="64" t="s">
        <v>32</v>
      </c>
      <c r="E630" s="64" t="s">
        <v>33</v>
      </c>
      <c r="F630" s="52" t="s">
        <v>1345</v>
      </c>
      <c r="G630" s="91" t="s">
        <v>34</v>
      </c>
      <c r="H630" s="98" t="s">
        <v>1369</v>
      </c>
      <c r="I630" s="65">
        <v>46150</v>
      </c>
      <c r="J630" s="64">
        <f t="shared" ca="1" si="1291"/>
        <v>34</v>
      </c>
      <c r="K630" s="64" t="str">
        <f t="shared" si="1292"/>
        <v>Pending</v>
      </c>
      <c r="L630" s="52" t="s">
        <v>519</v>
      </c>
      <c r="M630" s="64">
        <v>18300</v>
      </c>
      <c r="N630" s="64">
        <v>16500</v>
      </c>
      <c r="O630" s="65">
        <v>46151</v>
      </c>
      <c r="P630" s="64">
        <f t="shared" si="1293"/>
        <v>1800</v>
      </c>
      <c r="Q630" s="64" t="s">
        <v>33</v>
      </c>
      <c r="R630" s="64" t="s">
        <v>37</v>
      </c>
      <c r="S630" s="64">
        <v>21500</v>
      </c>
      <c r="T630" s="64" t="s">
        <v>33</v>
      </c>
      <c r="U630" s="65" t="s">
        <v>33</v>
      </c>
      <c r="V630" s="64" t="s">
        <v>28</v>
      </c>
      <c r="W630" s="64">
        <f t="shared" si="1294"/>
        <v>3200</v>
      </c>
      <c r="X630" s="64" t="s">
        <v>963</v>
      </c>
      <c r="Y630" s="64" t="s">
        <v>29</v>
      </c>
      <c r="Z630" s="71">
        <f t="shared" si="1295"/>
        <v>17.486338797814209</v>
      </c>
      <c r="AA630" s="93"/>
    </row>
    <row r="631" spans="1:27" hidden="1">
      <c r="A631" s="64">
        <f>SUBTOTAL(3,C$2:C631)</f>
        <v>467</v>
      </c>
      <c r="B631" s="64" t="s">
        <v>1086</v>
      </c>
      <c r="C631" s="64" t="s">
        <v>31</v>
      </c>
      <c r="D631" s="64" t="s">
        <v>32</v>
      </c>
      <c r="E631" s="64" t="s">
        <v>33</v>
      </c>
      <c r="F631" s="52" t="s">
        <v>1346</v>
      </c>
      <c r="G631" s="91" t="s">
        <v>34</v>
      </c>
      <c r="H631" s="98" t="s">
        <v>1370</v>
      </c>
      <c r="I631" s="65">
        <v>46150</v>
      </c>
      <c r="J631" s="64">
        <f t="shared" ref="J631:J633" ca="1" si="1296">+TODAY()-I631</f>
        <v>34</v>
      </c>
      <c r="K631" s="64">
        <f t="shared" ref="K631:K633" si="1297">+U631</f>
        <v>46169</v>
      </c>
      <c r="L631" s="52" t="s">
        <v>783</v>
      </c>
      <c r="M631" s="64">
        <v>18000</v>
      </c>
      <c r="N631" s="64">
        <v>16000</v>
      </c>
      <c r="O631" s="65">
        <v>46151</v>
      </c>
      <c r="P631" s="64">
        <f t="shared" ref="P631:P633" si="1298">+M631-N631</f>
        <v>2000</v>
      </c>
      <c r="Q631" s="64" t="s">
        <v>33</v>
      </c>
      <c r="R631" s="64" t="s">
        <v>56</v>
      </c>
      <c r="S631" s="64">
        <v>20500</v>
      </c>
      <c r="T631" s="64" t="s">
        <v>2677</v>
      </c>
      <c r="U631" s="65">
        <v>46169</v>
      </c>
      <c r="V631" s="64" t="s">
        <v>28</v>
      </c>
      <c r="W631" s="64">
        <f t="shared" ref="W631:W633" si="1299">+S631-M631</f>
        <v>2500</v>
      </c>
      <c r="X631" s="64" t="s">
        <v>963</v>
      </c>
      <c r="Y631" s="64" t="s">
        <v>29</v>
      </c>
      <c r="Z631" s="71">
        <f t="shared" ref="Z631:Z633" si="1300">+W631*100/M631</f>
        <v>13.888888888888889</v>
      </c>
      <c r="AA631" s="93"/>
    </row>
    <row r="632" spans="1:27" hidden="1">
      <c r="A632" s="64">
        <f>SUBTOTAL(3,C$2:C632)</f>
        <v>467</v>
      </c>
      <c r="B632" s="64" t="s">
        <v>1086</v>
      </c>
      <c r="C632" s="64" t="s">
        <v>80</v>
      </c>
      <c r="D632" s="64" t="s">
        <v>32</v>
      </c>
      <c r="E632" s="64" t="s">
        <v>33</v>
      </c>
      <c r="F632" s="52" t="s">
        <v>1347</v>
      </c>
      <c r="G632" s="91" t="s">
        <v>1215</v>
      </c>
      <c r="H632" s="98" t="s">
        <v>1371</v>
      </c>
      <c r="I632" s="65">
        <v>46150</v>
      </c>
      <c r="J632" s="64">
        <f t="shared" ca="1" si="1296"/>
        <v>34</v>
      </c>
      <c r="K632" s="64">
        <f t="shared" si="1297"/>
        <v>46169</v>
      </c>
      <c r="L632" s="52" t="s">
        <v>1094</v>
      </c>
      <c r="M632" s="64">
        <v>28000</v>
      </c>
      <c r="N632" s="64">
        <v>26000</v>
      </c>
      <c r="O632" s="65">
        <v>46151</v>
      </c>
      <c r="P632" s="64">
        <f t="shared" si="1298"/>
        <v>2000</v>
      </c>
      <c r="Q632" s="64" t="s">
        <v>33</v>
      </c>
      <c r="R632" s="64" t="s">
        <v>39</v>
      </c>
      <c r="S632" s="64">
        <v>31500</v>
      </c>
      <c r="T632" s="64" t="s">
        <v>2680</v>
      </c>
      <c r="U632" s="65">
        <v>46169</v>
      </c>
      <c r="V632" s="64" t="s">
        <v>28</v>
      </c>
      <c r="W632" s="64">
        <f t="shared" si="1299"/>
        <v>3500</v>
      </c>
      <c r="X632" s="64" t="s">
        <v>36</v>
      </c>
      <c r="Y632" s="64" t="s">
        <v>29</v>
      </c>
      <c r="Z632" s="71">
        <f t="shared" si="1300"/>
        <v>12.5</v>
      </c>
      <c r="AA632" s="93"/>
    </row>
    <row r="633" spans="1:27" hidden="1">
      <c r="A633" s="64">
        <f>SUBTOTAL(3,C$2:C633)</f>
        <v>467</v>
      </c>
      <c r="B633" s="64" t="s">
        <v>1086</v>
      </c>
      <c r="C633" s="64" t="s">
        <v>44</v>
      </c>
      <c r="D633" s="64" t="s">
        <v>32</v>
      </c>
      <c r="E633" s="64" t="s">
        <v>33</v>
      </c>
      <c r="F633" s="52" t="s">
        <v>1348</v>
      </c>
      <c r="G633" s="91" t="s">
        <v>46</v>
      </c>
      <c r="H633" s="70" t="s">
        <v>1372</v>
      </c>
      <c r="I633" s="65">
        <v>46150</v>
      </c>
      <c r="J633" s="64">
        <f t="shared" ca="1" si="1296"/>
        <v>34</v>
      </c>
      <c r="K633" s="64" t="str">
        <f t="shared" si="1297"/>
        <v>Pending</v>
      </c>
      <c r="L633" s="52" t="s">
        <v>740</v>
      </c>
      <c r="M633" s="64">
        <v>19000</v>
      </c>
      <c r="N633" s="64">
        <v>17000</v>
      </c>
      <c r="O633" s="65">
        <v>46151</v>
      </c>
      <c r="P633" s="64">
        <f t="shared" si="1298"/>
        <v>2000</v>
      </c>
      <c r="Q633" s="64" t="s">
        <v>33</v>
      </c>
      <c r="R633" s="64" t="s">
        <v>112</v>
      </c>
      <c r="S633" s="64">
        <v>24000</v>
      </c>
      <c r="T633" s="64" t="s">
        <v>33</v>
      </c>
      <c r="U633" s="65" t="s">
        <v>33</v>
      </c>
      <c r="V633" s="64" t="s">
        <v>28</v>
      </c>
      <c r="W633" s="64">
        <f t="shared" si="1299"/>
        <v>5000</v>
      </c>
      <c r="X633" s="64" t="s">
        <v>36</v>
      </c>
      <c r="Y633" s="64" t="s">
        <v>29</v>
      </c>
      <c r="Z633" s="71">
        <f t="shared" si="1300"/>
        <v>26.315789473684209</v>
      </c>
      <c r="AA633" s="93"/>
    </row>
    <row r="634" spans="1:27" hidden="1">
      <c r="A634" s="64">
        <f>SUBTOTAL(3,C$2:C634)</f>
        <v>467</v>
      </c>
      <c r="B634" s="64" t="s">
        <v>1086</v>
      </c>
      <c r="C634" s="64" t="s">
        <v>31</v>
      </c>
      <c r="D634" s="64" t="s">
        <v>32</v>
      </c>
      <c r="E634" s="64" t="s">
        <v>33</v>
      </c>
      <c r="F634" s="52" t="s">
        <v>1350</v>
      </c>
      <c r="G634" s="91" t="s">
        <v>34</v>
      </c>
      <c r="H634" s="98" t="s">
        <v>1373</v>
      </c>
      <c r="I634" s="65">
        <v>46150</v>
      </c>
      <c r="J634" s="64">
        <f t="shared" ref="J634" ca="1" si="1301">+TODAY()-I634</f>
        <v>34</v>
      </c>
      <c r="K634" s="64">
        <f t="shared" ref="K634" si="1302">+U634</f>
        <v>46169</v>
      </c>
      <c r="L634" s="52" t="s">
        <v>355</v>
      </c>
      <c r="M634" s="64">
        <v>19000</v>
      </c>
      <c r="N634" s="64">
        <v>17000</v>
      </c>
      <c r="O634" s="65">
        <v>46151</v>
      </c>
      <c r="P634" s="64">
        <f t="shared" ref="P634" si="1303">+M634-N634</f>
        <v>2000</v>
      </c>
      <c r="Q634" s="64" t="s">
        <v>33</v>
      </c>
      <c r="R634" s="64" t="s">
        <v>39</v>
      </c>
      <c r="S634" s="64">
        <v>21800</v>
      </c>
      <c r="T634" s="64" t="s">
        <v>2674</v>
      </c>
      <c r="U634" s="65">
        <v>46169</v>
      </c>
      <c r="V634" s="64" t="s">
        <v>28</v>
      </c>
      <c r="W634" s="64">
        <f t="shared" ref="W634" si="1304">+S634-M634</f>
        <v>2800</v>
      </c>
      <c r="X634" s="64" t="s">
        <v>963</v>
      </c>
      <c r="Y634" s="64" t="s">
        <v>29</v>
      </c>
      <c r="Z634" s="71">
        <f t="shared" ref="Z634" si="1305">+W634*100/M634</f>
        <v>14.736842105263158</v>
      </c>
      <c r="AA634" s="93"/>
    </row>
    <row r="635" spans="1:27" hidden="1">
      <c r="A635" s="64">
        <f>SUBTOTAL(3,C$2:C635)</f>
        <v>467</v>
      </c>
      <c r="B635" s="64" t="s">
        <v>1086</v>
      </c>
      <c r="C635" s="64" t="s">
        <v>31</v>
      </c>
      <c r="D635" s="64" t="s">
        <v>32</v>
      </c>
      <c r="E635" s="64" t="s">
        <v>33</v>
      </c>
      <c r="F635" s="52" t="s">
        <v>194</v>
      </c>
      <c r="G635" s="91" t="s">
        <v>34</v>
      </c>
      <c r="H635" s="98" t="s">
        <v>1374</v>
      </c>
      <c r="I635" s="65">
        <v>46151</v>
      </c>
      <c r="J635" s="64">
        <f t="shared" ref="J635" ca="1" si="1306">+TODAY()-I635</f>
        <v>33</v>
      </c>
      <c r="K635" s="64">
        <f t="shared" ref="K635" si="1307">+U635</f>
        <v>46169</v>
      </c>
      <c r="L635" s="52" t="s">
        <v>698</v>
      </c>
      <c r="M635" s="64">
        <v>18000</v>
      </c>
      <c r="N635" s="64">
        <v>16000</v>
      </c>
      <c r="O635" s="65">
        <v>46151</v>
      </c>
      <c r="P635" s="64">
        <f t="shared" ref="P635" si="1308">+M635-N635</f>
        <v>2000</v>
      </c>
      <c r="Q635" s="64" t="s">
        <v>33</v>
      </c>
      <c r="R635" s="64" t="s">
        <v>56</v>
      </c>
      <c r="S635" s="64">
        <v>20500</v>
      </c>
      <c r="T635" s="64" t="s">
        <v>2669</v>
      </c>
      <c r="U635" s="65">
        <v>46169</v>
      </c>
      <c r="V635" s="64" t="s">
        <v>28</v>
      </c>
      <c r="W635" s="64">
        <f t="shared" ref="W635" si="1309">+S635-M635</f>
        <v>2500</v>
      </c>
      <c r="X635" s="64" t="s">
        <v>963</v>
      </c>
      <c r="Y635" s="64" t="s">
        <v>29</v>
      </c>
      <c r="Z635" s="71">
        <f t="shared" ref="Z635" si="1310">+W635*100/M635</f>
        <v>13.888888888888889</v>
      </c>
      <c r="AA635" s="93"/>
    </row>
    <row r="636" spans="1:27" hidden="1">
      <c r="A636" s="64">
        <f>SUBTOTAL(3,C$2:C636)</f>
        <v>467</v>
      </c>
      <c r="B636" s="64" t="s">
        <v>1086</v>
      </c>
      <c r="C636" s="64" t="s">
        <v>31</v>
      </c>
      <c r="D636" s="64" t="s">
        <v>32</v>
      </c>
      <c r="E636" s="64" t="s">
        <v>33</v>
      </c>
      <c r="F636" s="52" t="s">
        <v>1351</v>
      </c>
      <c r="G636" s="91" t="s">
        <v>34</v>
      </c>
      <c r="H636" s="70" t="s">
        <v>1375</v>
      </c>
      <c r="I636" s="65">
        <v>46150</v>
      </c>
      <c r="J636" s="64">
        <f t="shared" ref="J636:J638" ca="1" si="1311">+TODAY()-I636</f>
        <v>34</v>
      </c>
      <c r="K636" s="64" t="str">
        <f t="shared" ref="K636:K638" si="1312">+U636</f>
        <v>Pending</v>
      </c>
      <c r="L636" s="52" t="s">
        <v>519</v>
      </c>
      <c r="M636" s="64">
        <v>18300</v>
      </c>
      <c r="N636" s="64">
        <v>16500</v>
      </c>
      <c r="O636" s="65">
        <v>46151</v>
      </c>
      <c r="P636" s="64">
        <f t="shared" ref="P636:P638" si="1313">+M636-N636</f>
        <v>1800</v>
      </c>
      <c r="Q636" s="64" t="s">
        <v>33</v>
      </c>
      <c r="R636" s="64" t="s">
        <v>37</v>
      </c>
      <c r="S636" s="64">
        <v>21500</v>
      </c>
      <c r="T636" s="64" t="s">
        <v>33</v>
      </c>
      <c r="U636" s="65" t="s">
        <v>33</v>
      </c>
      <c r="V636" s="64" t="s">
        <v>28</v>
      </c>
      <c r="W636" s="64">
        <f t="shared" ref="W636:W638" si="1314">+S636-M636</f>
        <v>3200</v>
      </c>
      <c r="X636" s="64" t="s">
        <v>963</v>
      </c>
      <c r="Y636" s="64" t="s">
        <v>29</v>
      </c>
      <c r="Z636" s="71">
        <f t="shared" ref="Z636:Z638" si="1315">+W636*100/M636</f>
        <v>17.486338797814209</v>
      </c>
      <c r="AA636" s="93"/>
    </row>
    <row r="637" spans="1:27" hidden="1">
      <c r="A637" s="64">
        <f>SUBTOTAL(3,C$2:C637)</f>
        <v>467</v>
      </c>
      <c r="B637" s="64" t="s">
        <v>1086</v>
      </c>
      <c r="C637" s="64" t="s">
        <v>1031</v>
      </c>
      <c r="D637" s="64" t="s">
        <v>32</v>
      </c>
      <c r="E637" s="64" t="s">
        <v>33</v>
      </c>
      <c r="F637" s="52" t="s">
        <v>1352</v>
      </c>
      <c r="G637" s="91" t="s">
        <v>34</v>
      </c>
      <c r="H637" s="98" t="s">
        <v>1376</v>
      </c>
      <c r="I637" s="65">
        <v>46151</v>
      </c>
      <c r="J637" s="64">
        <f t="shared" ca="1" si="1311"/>
        <v>33</v>
      </c>
      <c r="K637" s="64" t="str">
        <f t="shared" si="1312"/>
        <v>Pending</v>
      </c>
      <c r="L637" s="52" t="s">
        <v>519</v>
      </c>
      <c r="M637" s="64">
        <v>18300</v>
      </c>
      <c r="N637" s="64">
        <v>16500</v>
      </c>
      <c r="O637" s="65">
        <v>46151</v>
      </c>
      <c r="P637" s="64">
        <f t="shared" si="1313"/>
        <v>1800</v>
      </c>
      <c r="Q637" s="64" t="s">
        <v>33</v>
      </c>
      <c r="R637" s="64" t="s">
        <v>37</v>
      </c>
      <c r="S637" s="64">
        <v>21500</v>
      </c>
      <c r="T637" s="64" t="s">
        <v>33</v>
      </c>
      <c r="U637" s="65" t="s">
        <v>33</v>
      </c>
      <c r="V637" s="64" t="s">
        <v>28</v>
      </c>
      <c r="W637" s="64">
        <f t="shared" si="1314"/>
        <v>3200</v>
      </c>
      <c r="X637" s="64" t="s">
        <v>963</v>
      </c>
      <c r="Y637" s="64" t="s">
        <v>29</v>
      </c>
      <c r="Z637" s="71">
        <f t="shared" si="1315"/>
        <v>17.486338797814209</v>
      </c>
      <c r="AA637" s="93"/>
    </row>
    <row r="638" spans="1:27" hidden="1">
      <c r="A638" s="64">
        <f>SUBTOTAL(3,C$2:C638)</f>
        <v>467</v>
      </c>
      <c r="B638" s="64" t="s">
        <v>1086</v>
      </c>
      <c r="C638" s="64" t="s">
        <v>80</v>
      </c>
      <c r="D638" s="64" t="s">
        <v>32</v>
      </c>
      <c r="E638" s="64" t="s">
        <v>33</v>
      </c>
      <c r="F638" s="52" t="s">
        <v>1353</v>
      </c>
      <c r="G638" s="91" t="s">
        <v>1215</v>
      </c>
      <c r="H638" s="98" t="s">
        <v>1377</v>
      </c>
      <c r="I638" s="65">
        <v>46151</v>
      </c>
      <c r="J638" s="64">
        <f t="shared" ca="1" si="1311"/>
        <v>33</v>
      </c>
      <c r="K638" s="64">
        <f t="shared" si="1312"/>
        <v>46169</v>
      </c>
      <c r="L638" s="52" t="s">
        <v>1094</v>
      </c>
      <c r="M638" s="64">
        <v>28000</v>
      </c>
      <c r="N638" s="64">
        <v>26000</v>
      </c>
      <c r="O638" s="65">
        <v>46151</v>
      </c>
      <c r="P638" s="64">
        <f t="shared" si="1313"/>
        <v>2000</v>
      </c>
      <c r="Q638" s="64" t="s">
        <v>33</v>
      </c>
      <c r="R638" s="64" t="s">
        <v>39</v>
      </c>
      <c r="S638" s="64">
        <v>31500</v>
      </c>
      <c r="T638" s="64" t="s">
        <v>2680</v>
      </c>
      <c r="U638" s="65">
        <v>46169</v>
      </c>
      <c r="V638" s="64" t="s">
        <v>28</v>
      </c>
      <c r="W638" s="64">
        <f t="shared" si="1314"/>
        <v>3500</v>
      </c>
      <c r="X638" s="64" t="s">
        <v>36</v>
      </c>
      <c r="Y638" s="64" t="s">
        <v>29</v>
      </c>
      <c r="Z638" s="71">
        <f t="shared" si="1315"/>
        <v>12.5</v>
      </c>
      <c r="AA638" s="93"/>
    </row>
    <row r="639" spans="1:27" hidden="1">
      <c r="A639" s="64">
        <f>SUBTOTAL(3,C$2:C639)</f>
        <v>467</v>
      </c>
      <c r="B639" s="64" t="s">
        <v>1086</v>
      </c>
      <c r="C639" s="64" t="s">
        <v>31</v>
      </c>
      <c r="D639" s="64" t="s">
        <v>32</v>
      </c>
      <c r="E639" s="64" t="s">
        <v>33</v>
      </c>
      <c r="F639" s="52" t="s">
        <v>1354</v>
      </c>
      <c r="G639" s="91">
        <v>407</v>
      </c>
      <c r="H639" s="98" t="s">
        <v>1378</v>
      </c>
      <c r="I639" s="65">
        <v>46151</v>
      </c>
      <c r="J639" s="64">
        <f t="shared" ref="J639:J640" ca="1" si="1316">+TODAY()-I639</f>
        <v>33</v>
      </c>
      <c r="K639" s="64">
        <f t="shared" ref="K639:K640" si="1317">+U639</f>
        <v>46170</v>
      </c>
      <c r="L639" s="52" t="s">
        <v>1355</v>
      </c>
      <c r="M639" s="64">
        <v>38000</v>
      </c>
      <c r="N639" s="64">
        <v>35000</v>
      </c>
      <c r="O639" s="65">
        <v>46151</v>
      </c>
      <c r="P639" s="64">
        <f t="shared" ref="P639:P640" si="1318">+M639-N639</f>
        <v>3000</v>
      </c>
      <c r="Q639" s="64" t="s">
        <v>33</v>
      </c>
      <c r="R639" s="64" t="s">
        <v>52</v>
      </c>
      <c r="S639" s="64">
        <v>41500</v>
      </c>
      <c r="T639" s="64" t="s">
        <v>2682</v>
      </c>
      <c r="U639" s="65">
        <v>46170</v>
      </c>
      <c r="V639" s="64" t="s">
        <v>28</v>
      </c>
      <c r="W639" s="64">
        <f t="shared" ref="W639:W640" si="1319">+S639-M639</f>
        <v>3500</v>
      </c>
      <c r="X639" s="64" t="s">
        <v>963</v>
      </c>
      <c r="Y639" s="64" t="s">
        <v>29</v>
      </c>
      <c r="Z639" s="71">
        <f t="shared" ref="Z639:Z640" si="1320">+W639*100/M639</f>
        <v>9.2105263157894743</v>
      </c>
      <c r="AA639" s="93"/>
    </row>
    <row r="640" spans="1:27" hidden="1">
      <c r="A640" s="64">
        <f>SUBTOTAL(3,C$2:C640)</f>
        <v>467</v>
      </c>
      <c r="B640" s="64" t="s">
        <v>1086</v>
      </c>
      <c r="C640" s="64" t="s">
        <v>1031</v>
      </c>
      <c r="D640" s="64" t="s">
        <v>32</v>
      </c>
      <c r="E640" s="64" t="s">
        <v>33</v>
      </c>
      <c r="F640" s="52" t="s">
        <v>1356</v>
      </c>
      <c r="G640" s="91" t="s">
        <v>34</v>
      </c>
      <c r="H640" s="98" t="s">
        <v>1379</v>
      </c>
      <c r="I640" s="65">
        <v>46151</v>
      </c>
      <c r="J640" s="64">
        <f t="shared" ca="1" si="1316"/>
        <v>33</v>
      </c>
      <c r="K640" s="64">
        <f t="shared" si="1317"/>
        <v>46163</v>
      </c>
      <c r="L640" s="52" t="s">
        <v>1024</v>
      </c>
      <c r="M640" s="64">
        <v>19000</v>
      </c>
      <c r="N640" s="64">
        <v>17000</v>
      </c>
      <c r="O640" s="65">
        <v>46151</v>
      </c>
      <c r="P640" s="64">
        <f t="shared" si="1318"/>
        <v>2000</v>
      </c>
      <c r="Q640" s="64" t="s">
        <v>33</v>
      </c>
      <c r="R640" s="64" t="s">
        <v>39</v>
      </c>
      <c r="S640" s="64">
        <v>21800</v>
      </c>
      <c r="T640" s="64" t="s">
        <v>2189</v>
      </c>
      <c r="U640" s="65">
        <v>46163</v>
      </c>
      <c r="V640" s="64" t="s">
        <v>28</v>
      </c>
      <c r="W640" s="64">
        <f t="shared" si="1319"/>
        <v>2800</v>
      </c>
      <c r="X640" s="64" t="s">
        <v>963</v>
      </c>
      <c r="Y640" s="64" t="s">
        <v>29</v>
      </c>
      <c r="Z640" s="71">
        <f t="shared" si="1320"/>
        <v>14.736842105263158</v>
      </c>
      <c r="AA640" s="93"/>
    </row>
    <row r="641" spans="1:27" hidden="1">
      <c r="A641" s="64">
        <f>SUBTOTAL(3,C$2:C641)</f>
        <v>467</v>
      </c>
      <c r="B641" s="64" t="s">
        <v>1086</v>
      </c>
      <c r="C641" s="64" t="s">
        <v>1031</v>
      </c>
      <c r="D641" s="64" t="s">
        <v>32</v>
      </c>
      <c r="E641" s="64" t="s">
        <v>33</v>
      </c>
      <c r="F641" s="52" t="s">
        <v>931</v>
      </c>
      <c r="G641" s="91" t="s">
        <v>34</v>
      </c>
      <c r="H641" s="98" t="s">
        <v>1380</v>
      </c>
      <c r="I641" s="65">
        <v>46151</v>
      </c>
      <c r="J641" s="64">
        <f t="shared" ref="J641:J643" ca="1" si="1321">+TODAY()-I641</f>
        <v>33</v>
      </c>
      <c r="K641" s="64">
        <f t="shared" ref="K641:K643" si="1322">+U641</f>
        <v>46163</v>
      </c>
      <c r="L641" s="52" t="s">
        <v>1024</v>
      </c>
      <c r="M641" s="64">
        <v>19000</v>
      </c>
      <c r="N641" s="64">
        <v>17000</v>
      </c>
      <c r="O641" s="65">
        <v>46151</v>
      </c>
      <c r="P641" s="64">
        <f t="shared" ref="P641:P643" si="1323">+M641-N641</f>
        <v>2000</v>
      </c>
      <c r="Q641" s="64" t="s">
        <v>33</v>
      </c>
      <c r="R641" s="64" t="s">
        <v>39</v>
      </c>
      <c r="S641" s="64">
        <v>21800</v>
      </c>
      <c r="T641" s="64" t="s">
        <v>2189</v>
      </c>
      <c r="U641" s="65">
        <v>46163</v>
      </c>
      <c r="V641" s="64" t="s">
        <v>28</v>
      </c>
      <c r="W641" s="64">
        <f t="shared" ref="W641:W643" si="1324">+S641-M641</f>
        <v>2800</v>
      </c>
      <c r="X641" s="64" t="s">
        <v>963</v>
      </c>
      <c r="Y641" s="64" t="s">
        <v>29</v>
      </c>
      <c r="Z641" s="71">
        <f t="shared" ref="Z641:Z643" si="1325">+W641*100/M641</f>
        <v>14.736842105263158</v>
      </c>
      <c r="AA641" s="93"/>
    </row>
    <row r="642" spans="1:27" hidden="1">
      <c r="A642" s="64">
        <f>SUBTOTAL(3,C$2:C642)</f>
        <v>467</v>
      </c>
      <c r="B642" s="64" t="s">
        <v>1086</v>
      </c>
      <c r="C642" s="64" t="s">
        <v>31</v>
      </c>
      <c r="D642" s="64" t="s">
        <v>32</v>
      </c>
      <c r="E642" s="64" t="s">
        <v>33</v>
      </c>
      <c r="F642" s="52" t="s">
        <v>782</v>
      </c>
      <c r="G642" s="91" t="s">
        <v>34</v>
      </c>
      <c r="H642" s="98" t="s">
        <v>1381</v>
      </c>
      <c r="I642" s="65">
        <v>46151</v>
      </c>
      <c r="J642" s="64">
        <f t="shared" ca="1" si="1321"/>
        <v>33</v>
      </c>
      <c r="K642" s="64">
        <f t="shared" si="1322"/>
        <v>46169</v>
      </c>
      <c r="L642" s="52" t="s">
        <v>783</v>
      </c>
      <c r="M642" s="64">
        <v>18000</v>
      </c>
      <c r="N642" s="64">
        <v>16000</v>
      </c>
      <c r="O642" s="65">
        <v>46151</v>
      </c>
      <c r="P642" s="64">
        <f t="shared" si="1323"/>
        <v>2000</v>
      </c>
      <c r="Q642" s="64" t="s">
        <v>33</v>
      </c>
      <c r="R642" s="64" t="s">
        <v>56</v>
      </c>
      <c r="S642" s="64">
        <v>20500</v>
      </c>
      <c r="T642" s="64" t="s">
        <v>2691</v>
      </c>
      <c r="U642" s="65">
        <v>46169</v>
      </c>
      <c r="V642" s="64" t="s">
        <v>28</v>
      </c>
      <c r="W642" s="64">
        <f t="shared" si="1324"/>
        <v>2500</v>
      </c>
      <c r="X642" s="64" t="s">
        <v>963</v>
      </c>
      <c r="Y642" s="64" t="s">
        <v>29</v>
      </c>
      <c r="Z642" s="71">
        <f t="shared" si="1325"/>
        <v>13.888888888888889</v>
      </c>
      <c r="AA642" s="93"/>
    </row>
    <row r="643" spans="1:27" hidden="1">
      <c r="A643" s="64">
        <f>SUBTOTAL(3,C$2:C643)</f>
        <v>467</v>
      </c>
      <c r="B643" s="64" t="s">
        <v>1086</v>
      </c>
      <c r="C643" s="64" t="s">
        <v>44</v>
      </c>
      <c r="D643" s="64" t="s">
        <v>32</v>
      </c>
      <c r="E643" s="64" t="s">
        <v>33</v>
      </c>
      <c r="F643" s="52" t="s">
        <v>1357</v>
      </c>
      <c r="G643" s="91">
        <v>407</v>
      </c>
      <c r="H643" s="98" t="s">
        <v>1382</v>
      </c>
      <c r="I643" s="65">
        <v>46151</v>
      </c>
      <c r="J643" s="64">
        <f t="shared" ca="1" si="1321"/>
        <v>33</v>
      </c>
      <c r="K643" s="64">
        <f t="shared" si="1322"/>
        <v>46170</v>
      </c>
      <c r="L643" s="52" t="s">
        <v>1038</v>
      </c>
      <c r="M643" s="64">
        <v>27000</v>
      </c>
      <c r="N643" s="64">
        <v>25000</v>
      </c>
      <c r="O643" s="65">
        <v>46151</v>
      </c>
      <c r="P643" s="64">
        <f t="shared" si="1323"/>
        <v>2000</v>
      </c>
      <c r="Q643" s="64" t="s">
        <v>33</v>
      </c>
      <c r="R643" s="64" t="s">
        <v>56</v>
      </c>
      <c r="S643" s="64">
        <v>29800</v>
      </c>
      <c r="T643" s="64" t="s">
        <v>2693</v>
      </c>
      <c r="U643" s="65">
        <v>46170</v>
      </c>
      <c r="V643" s="64" t="s">
        <v>28</v>
      </c>
      <c r="W643" s="64">
        <f t="shared" si="1324"/>
        <v>2800</v>
      </c>
      <c r="X643" s="64" t="s">
        <v>36</v>
      </c>
      <c r="Y643" s="64" t="s">
        <v>29</v>
      </c>
      <c r="Z643" s="71">
        <f t="shared" si="1325"/>
        <v>10.37037037037037</v>
      </c>
      <c r="AA643" s="93"/>
    </row>
    <row r="644" spans="1:27" hidden="1">
      <c r="A644" s="64">
        <f>SUBTOTAL(3,C$2:C644)</f>
        <v>467</v>
      </c>
      <c r="B644" s="64" t="s">
        <v>1086</v>
      </c>
      <c r="C644" s="64" t="s">
        <v>31</v>
      </c>
      <c r="D644" s="64" t="s">
        <v>32</v>
      </c>
      <c r="E644" s="64" t="s">
        <v>33</v>
      </c>
      <c r="F644" s="52" t="s">
        <v>205</v>
      </c>
      <c r="G644" s="91" t="s">
        <v>34</v>
      </c>
      <c r="H644" s="98" t="s">
        <v>1383</v>
      </c>
      <c r="I644" s="65">
        <v>46151</v>
      </c>
      <c r="J644" s="64">
        <f t="shared" ref="J644" ca="1" si="1326">+TODAY()-I644</f>
        <v>33</v>
      </c>
      <c r="K644" s="64" t="str">
        <f t="shared" ref="K644" si="1327">+U644</f>
        <v>Pending</v>
      </c>
      <c r="L644" s="52" t="s">
        <v>400</v>
      </c>
      <c r="M644" s="64">
        <v>23300</v>
      </c>
      <c r="N644" s="64">
        <v>21500</v>
      </c>
      <c r="O644" s="65">
        <v>46151</v>
      </c>
      <c r="P644" s="64">
        <f t="shared" ref="P644" si="1328">+M644-N644</f>
        <v>1800</v>
      </c>
      <c r="Q644" s="64" t="s">
        <v>33</v>
      </c>
      <c r="R644" s="64" t="s">
        <v>37</v>
      </c>
      <c r="S644" s="64">
        <v>26000</v>
      </c>
      <c r="T644" s="64" t="s">
        <v>33</v>
      </c>
      <c r="U644" s="65" t="s">
        <v>33</v>
      </c>
      <c r="V644" s="64" t="s">
        <v>28</v>
      </c>
      <c r="W644" s="64">
        <f t="shared" ref="W644" si="1329">+S644-M644</f>
        <v>2700</v>
      </c>
      <c r="X644" s="64" t="s">
        <v>963</v>
      </c>
      <c r="Y644" s="64" t="s">
        <v>29</v>
      </c>
      <c r="Z644" s="71">
        <f t="shared" ref="Z644" si="1330">+W644*100/M644</f>
        <v>11.587982832618026</v>
      </c>
      <c r="AA644" s="93"/>
    </row>
    <row r="645" spans="1:27" hidden="1">
      <c r="A645" s="64">
        <f>SUBTOTAL(3,C$2:C645)</f>
        <v>467</v>
      </c>
      <c r="B645" s="64" t="s">
        <v>1086</v>
      </c>
      <c r="C645" s="64" t="s">
        <v>31</v>
      </c>
      <c r="D645" s="64" t="s">
        <v>32</v>
      </c>
      <c r="E645" s="64" t="s">
        <v>33</v>
      </c>
      <c r="F645" s="52" t="s">
        <v>148</v>
      </c>
      <c r="G645" s="91" t="s">
        <v>34</v>
      </c>
      <c r="H645" s="98" t="s">
        <v>1384</v>
      </c>
      <c r="I645" s="65">
        <v>46151</v>
      </c>
      <c r="J645" s="64">
        <f t="shared" ref="J645" ca="1" si="1331">+TODAY()-I645</f>
        <v>33</v>
      </c>
      <c r="K645" s="64" t="str">
        <f t="shared" ref="K645" si="1332">+U645</f>
        <v>Pending</v>
      </c>
      <c r="L645" s="52" t="s">
        <v>400</v>
      </c>
      <c r="M645" s="64">
        <v>23300</v>
      </c>
      <c r="N645" s="64">
        <v>21500</v>
      </c>
      <c r="O645" s="65">
        <v>46151</v>
      </c>
      <c r="P645" s="64">
        <f t="shared" ref="P645" si="1333">+M645-N645</f>
        <v>1800</v>
      </c>
      <c r="Q645" s="64" t="s">
        <v>33</v>
      </c>
      <c r="R645" s="64" t="s">
        <v>37</v>
      </c>
      <c r="S645" s="64">
        <v>26000</v>
      </c>
      <c r="T645" s="64" t="s">
        <v>33</v>
      </c>
      <c r="U645" s="65" t="s">
        <v>33</v>
      </c>
      <c r="V645" s="64" t="s">
        <v>28</v>
      </c>
      <c r="W645" s="64">
        <f t="shared" ref="W645" si="1334">+S645-M645</f>
        <v>2700</v>
      </c>
      <c r="X645" s="64" t="s">
        <v>963</v>
      </c>
      <c r="Y645" s="64" t="s">
        <v>29</v>
      </c>
      <c r="Z645" s="71">
        <f t="shared" ref="Z645" si="1335">+W645*100/M645</f>
        <v>11.587982832618026</v>
      </c>
      <c r="AA645" s="93"/>
    </row>
    <row r="646" spans="1:27" hidden="1">
      <c r="A646" s="64">
        <f>SUBTOTAL(3,C$2:C646)</f>
        <v>467</v>
      </c>
      <c r="B646" s="64" t="s">
        <v>1086</v>
      </c>
      <c r="C646" s="64" t="s">
        <v>31</v>
      </c>
      <c r="D646" s="64" t="s">
        <v>32</v>
      </c>
      <c r="E646" s="64" t="s">
        <v>33</v>
      </c>
      <c r="F646" s="52" t="s">
        <v>1358</v>
      </c>
      <c r="G646" s="91" t="s">
        <v>34</v>
      </c>
      <c r="H646" s="98" t="s">
        <v>1385</v>
      </c>
      <c r="I646" s="65">
        <v>46151</v>
      </c>
      <c r="J646" s="64">
        <f t="shared" ref="J646" ca="1" si="1336">+TODAY()-I646</f>
        <v>33</v>
      </c>
      <c r="K646" s="64">
        <f t="shared" ref="K646" si="1337">+U646</f>
        <v>46169</v>
      </c>
      <c r="L646" s="52" t="s">
        <v>355</v>
      </c>
      <c r="M646" s="64">
        <v>19000</v>
      </c>
      <c r="N646" s="64">
        <v>17000</v>
      </c>
      <c r="O646" s="65">
        <v>46151</v>
      </c>
      <c r="P646" s="64">
        <f t="shared" ref="P646" si="1338">+M646-N646</f>
        <v>2000</v>
      </c>
      <c r="Q646" s="64" t="s">
        <v>33</v>
      </c>
      <c r="R646" s="64" t="s">
        <v>39</v>
      </c>
      <c r="S646" s="64">
        <v>21800</v>
      </c>
      <c r="T646" s="64" t="s">
        <v>2694</v>
      </c>
      <c r="U646" s="65">
        <v>46169</v>
      </c>
      <c r="V646" s="64" t="s">
        <v>28</v>
      </c>
      <c r="W646" s="64">
        <f t="shared" ref="W646" si="1339">+S646-M646</f>
        <v>2800</v>
      </c>
      <c r="X646" s="64" t="s">
        <v>963</v>
      </c>
      <c r="Y646" s="64" t="s">
        <v>29</v>
      </c>
      <c r="Z646" s="71">
        <f t="shared" ref="Z646" si="1340">+W646*100/M646</f>
        <v>14.736842105263158</v>
      </c>
      <c r="AA646" s="93"/>
    </row>
    <row r="647" spans="1:27" hidden="1">
      <c r="A647" s="64">
        <f>SUBTOTAL(3,C$2:C647)</f>
        <v>467</v>
      </c>
      <c r="B647" s="64" t="s">
        <v>1086</v>
      </c>
      <c r="C647" s="64" t="s">
        <v>31</v>
      </c>
      <c r="D647" s="64" t="s">
        <v>32</v>
      </c>
      <c r="E647" s="64" t="s">
        <v>33</v>
      </c>
      <c r="F647" s="52" t="s">
        <v>191</v>
      </c>
      <c r="G647" s="91" t="s">
        <v>34</v>
      </c>
      <c r="H647" s="98" t="s">
        <v>1386</v>
      </c>
      <c r="I647" s="65">
        <v>46151</v>
      </c>
      <c r="J647" s="64">
        <f t="shared" ref="J647" ca="1" si="1341">+TODAY()-I647</f>
        <v>33</v>
      </c>
      <c r="K647" s="64">
        <f t="shared" ref="K647" si="1342">+U647</f>
        <v>46169</v>
      </c>
      <c r="L647" s="52" t="s">
        <v>355</v>
      </c>
      <c r="M647" s="64">
        <v>19000</v>
      </c>
      <c r="N647" s="64">
        <v>17000</v>
      </c>
      <c r="O647" s="65">
        <v>46151</v>
      </c>
      <c r="P647" s="64">
        <f t="shared" ref="P647" si="1343">+M647-N647</f>
        <v>2000</v>
      </c>
      <c r="Q647" s="64" t="s">
        <v>33</v>
      </c>
      <c r="R647" s="64" t="s">
        <v>39</v>
      </c>
      <c r="S647" s="64">
        <v>21800</v>
      </c>
      <c r="T647" s="64" t="s">
        <v>2674</v>
      </c>
      <c r="U647" s="65">
        <v>46169</v>
      </c>
      <c r="V647" s="64" t="s">
        <v>28</v>
      </c>
      <c r="W647" s="64">
        <f t="shared" ref="W647" si="1344">+S647-M647</f>
        <v>2800</v>
      </c>
      <c r="X647" s="64" t="s">
        <v>963</v>
      </c>
      <c r="Y647" s="64" t="s">
        <v>29</v>
      </c>
      <c r="Z647" s="71">
        <f t="shared" ref="Z647" si="1345">+W647*100/M647</f>
        <v>14.736842105263158</v>
      </c>
      <c r="AA647" s="93"/>
    </row>
    <row r="648" spans="1:27" hidden="1">
      <c r="A648" s="64">
        <f>SUBTOTAL(3,C$2:C648)</f>
        <v>467</v>
      </c>
      <c r="B648" s="64" t="s">
        <v>1086</v>
      </c>
      <c r="C648" s="64" t="s">
        <v>31</v>
      </c>
      <c r="D648" s="64" t="s">
        <v>32</v>
      </c>
      <c r="E648" s="64" t="s">
        <v>33</v>
      </c>
      <c r="F648" s="52" t="s">
        <v>1359</v>
      </c>
      <c r="G648" s="91" t="s">
        <v>34</v>
      </c>
      <c r="H648" s="70" t="s">
        <v>1387</v>
      </c>
      <c r="I648" s="65">
        <v>46150</v>
      </c>
      <c r="J648" s="64">
        <f t="shared" ref="J648" ca="1" si="1346">+TODAY()-I648</f>
        <v>34</v>
      </c>
      <c r="K648" s="64" t="str">
        <f t="shared" ref="K648" si="1347">+U648</f>
        <v>Pending</v>
      </c>
      <c r="L648" s="52" t="s">
        <v>111</v>
      </c>
      <c r="M648" s="64">
        <v>11700</v>
      </c>
      <c r="N648" s="64">
        <v>10700</v>
      </c>
      <c r="O648" s="65">
        <v>46151</v>
      </c>
      <c r="P648" s="64">
        <f t="shared" ref="P648" si="1348">+M648-N648</f>
        <v>1000</v>
      </c>
      <c r="Q648" s="64" t="s">
        <v>33</v>
      </c>
      <c r="R648" s="64" t="s">
        <v>112</v>
      </c>
      <c r="S648" s="64">
        <v>13500</v>
      </c>
      <c r="T648" s="64" t="s">
        <v>33</v>
      </c>
      <c r="U648" s="65" t="s">
        <v>33</v>
      </c>
      <c r="V648" s="64" t="s">
        <v>28</v>
      </c>
      <c r="W648" s="64">
        <f t="shared" ref="W648" si="1349">+S648-M648</f>
        <v>1800</v>
      </c>
      <c r="X648" s="64" t="s">
        <v>963</v>
      </c>
      <c r="Y648" s="64" t="s">
        <v>29</v>
      </c>
      <c r="Z648" s="71">
        <f t="shared" ref="Z648" si="1350">+W648*100/M648</f>
        <v>15.384615384615385</v>
      </c>
      <c r="AA648" s="93"/>
    </row>
    <row r="649" spans="1:27" hidden="1">
      <c r="A649" s="64">
        <f>SUBTOTAL(3,C$2:C649)</f>
        <v>467</v>
      </c>
      <c r="B649" s="64" t="s">
        <v>1086</v>
      </c>
      <c r="C649" s="64" t="s">
        <v>31</v>
      </c>
      <c r="D649" s="64" t="s">
        <v>32</v>
      </c>
      <c r="E649" s="64" t="s">
        <v>33</v>
      </c>
      <c r="F649" s="52" t="s">
        <v>1360</v>
      </c>
      <c r="G649" s="91" t="s">
        <v>34</v>
      </c>
      <c r="H649" s="70" t="s">
        <v>1388</v>
      </c>
      <c r="I649" s="65">
        <v>46151</v>
      </c>
      <c r="J649" s="64">
        <f t="shared" ref="J649" ca="1" si="1351">+TODAY()-I649</f>
        <v>33</v>
      </c>
      <c r="K649" s="64" t="str">
        <f t="shared" ref="K649" si="1352">+U649</f>
        <v>Pending</v>
      </c>
      <c r="L649" s="52" t="s">
        <v>111</v>
      </c>
      <c r="M649" s="64">
        <v>11700</v>
      </c>
      <c r="N649" s="64">
        <v>10700</v>
      </c>
      <c r="O649" s="65">
        <v>46151</v>
      </c>
      <c r="P649" s="64">
        <f t="shared" ref="P649" si="1353">+M649-N649</f>
        <v>1000</v>
      </c>
      <c r="Q649" s="64" t="s">
        <v>33</v>
      </c>
      <c r="R649" s="64" t="s">
        <v>112</v>
      </c>
      <c r="S649" s="64">
        <v>13500</v>
      </c>
      <c r="T649" s="64" t="s">
        <v>33</v>
      </c>
      <c r="U649" s="65" t="s">
        <v>33</v>
      </c>
      <c r="V649" s="64" t="s">
        <v>28</v>
      </c>
      <c r="W649" s="64">
        <f t="shared" ref="W649" si="1354">+S649-M649</f>
        <v>1800</v>
      </c>
      <c r="X649" s="64" t="s">
        <v>963</v>
      </c>
      <c r="Y649" s="64" t="s">
        <v>29</v>
      </c>
      <c r="Z649" s="71">
        <f t="shared" ref="Z649" si="1355">+W649*100/M649</f>
        <v>15.384615384615385</v>
      </c>
      <c r="AA649" s="93"/>
    </row>
    <row r="650" spans="1:27" hidden="1">
      <c r="A650" s="64">
        <f>SUBTOTAL(3,C$2:C650)</f>
        <v>467</v>
      </c>
      <c r="B650" s="64" t="s">
        <v>1086</v>
      </c>
      <c r="C650" s="64" t="s">
        <v>31</v>
      </c>
      <c r="D650" s="64" t="s">
        <v>32</v>
      </c>
      <c r="E650" s="64" t="s">
        <v>33</v>
      </c>
      <c r="F650" s="52" t="s">
        <v>1361</v>
      </c>
      <c r="G650" s="91" t="s">
        <v>34</v>
      </c>
      <c r="H650" s="98" t="s">
        <v>1389</v>
      </c>
      <c r="I650" s="65">
        <v>46151</v>
      </c>
      <c r="J650" s="64">
        <f t="shared" ref="J650:J651" ca="1" si="1356">+TODAY()-I650</f>
        <v>33</v>
      </c>
      <c r="K650" s="64" t="str">
        <f t="shared" ref="K650:K651" si="1357">+U650</f>
        <v>Pending</v>
      </c>
      <c r="L650" s="52" t="s">
        <v>1024</v>
      </c>
      <c r="M650" s="64">
        <v>19000</v>
      </c>
      <c r="N650" s="64">
        <v>17000</v>
      </c>
      <c r="O650" s="65">
        <v>46151</v>
      </c>
      <c r="P650" s="64">
        <f t="shared" ref="P650:P651" si="1358">+M650-N650</f>
        <v>2000</v>
      </c>
      <c r="Q650" s="64" t="s">
        <v>33</v>
      </c>
      <c r="R650" s="64" t="s">
        <v>39</v>
      </c>
      <c r="S650" s="64">
        <v>21800</v>
      </c>
      <c r="T650" s="64" t="s">
        <v>33</v>
      </c>
      <c r="U650" s="65" t="s">
        <v>33</v>
      </c>
      <c r="V650" s="64" t="s">
        <v>28</v>
      </c>
      <c r="W650" s="64">
        <f t="shared" ref="W650:W651" si="1359">+S650-M650</f>
        <v>2800</v>
      </c>
      <c r="X650" s="64" t="s">
        <v>963</v>
      </c>
      <c r="Y650" s="64" t="s">
        <v>29</v>
      </c>
      <c r="Z650" s="71">
        <f t="shared" ref="Z650:Z651" si="1360">+W650*100/M650</f>
        <v>14.736842105263158</v>
      </c>
      <c r="AA650" s="93"/>
    </row>
    <row r="651" spans="1:27" hidden="1">
      <c r="A651" s="64">
        <f>SUBTOTAL(3,C$2:C651)</f>
        <v>467</v>
      </c>
      <c r="B651" s="64" t="s">
        <v>1086</v>
      </c>
      <c r="C651" s="64" t="s">
        <v>44</v>
      </c>
      <c r="D651" s="64" t="s">
        <v>32</v>
      </c>
      <c r="E651" s="64" t="s">
        <v>33</v>
      </c>
      <c r="F651" s="52" t="s">
        <v>829</v>
      </c>
      <c r="G651" s="91" t="s">
        <v>607</v>
      </c>
      <c r="H651" s="70" t="s">
        <v>1390</v>
      </c>
      <c r="I651" s="65">
        <v>46151</v>
      </c>
      <c r="J651" s="64">
        <f t="shared" ca="1" si="1356"/>
        <v>33</v>
      </c>
      <c r="K651" s="64" t="str">
        <f t="shared" si="1357"/>
        <v>Pending</v>
      </c>
      <c r="L651" s="52" t="s">
        <v>609</v>
      </c>
      <c r="M651" s="64">
        <v>38500</v>
      </c>
      <c r="N651" s="64">
        <v>35500</v>
      </c>
      <c r="O651" s="65">
        <v>46151</v>
      </c>
      <c r="P651" s="64">
        <f t="shared" si="1358"/>
        <v>3000</v>
      </c>
      <c r="Q651" s="64" t="s">
        <v>33</v>
      </c>
      <c r="R651" s="64" t="s">
        <v>52</v>
      </c>
      <c r="S651" s="64">
        <v>41500</v>
      </c>
      <c r="T651" s="64" t="s">
        <v>33</v>
      </c>
      <c r="U651" s="65" t="s">
        <v>33</v>
      </c>
      <c r="V651" s="64" t="s">
        <v>28</v>
      </c>
      <c r="W651" s="64">
        <f t="shared" si="1359"/>
        <v>3000</v>
      </c>
      <c r="X651" s="64" t="s">
        <v>36</v>
      </c>
      <c r="Y651" s="64" t="s">
        <v>29</v>
      </c>
      <c r="Z651" s="71">
        <f t="shared" si="1360"/>
        <v>7.7922077922077921</v>
      </c>
      <c r="AA651" s="93"/>
    </row>
    <row r="652" spans="1:27" hidden="1">
      <c r="A652" s="64">
        <f>SUBTOTAL(3,C$2:C652)</f>
        <v>467</v>
      </c>
      <c r="B652" s="64" t="s">
        <v>1086</v>
      </c>
      <c r="C652" s="64" t="s">
        <v>31</v>
      </c>
      <c r="D652" s="64" t="s">
        <v>32</v>
      </c>
      <c r="E652" s="64" t="s">
        <v>33</v>
      </c>
      <c r="F652" s="52" t="s">
        <v>1362</v>
      </c>
      <c r="G652" s="91" t="s">
        <v>34</v>
      </c>
      <c r="H652" s="98" t="s">
        <v>1391</v>
      </c>
      <c r="I652" s="65">
        <v>46151</v>
      </c>
      <c r="J652" s="64">
        <f t="shared" ref="J652:J653" ca="1" si="1361">+TODAY()-I652</f>
        <v>33</v>
      </c>
      <c r="K652" s="64" t="str">
        <f t="shared" ref="K652:K653" si="1362">+U652</f>
        <v>Pending</v>
      </c>
      <c r="L652" s="52" t="s">
        <v>519</v>
      </c>
      <c r="M652" s="64">
        <v>18300</v>
      </c>
      <c r="N652" s="64">
        <v>16500</v>
      </c>
      <c r="O652" s="65">
        <v>46151</v>
      </c>
      <c r="P652" s="64">
        <f t="shared" ref="P652:P653" si="1363">+M652-N652</f>
        <v>1800</v>
      </c>
      <c r="Q652" s="64" t="s">
        <v>33</v>
      </c>
      <c r="R652" s="64" t="s">
        <v>2244</v>
      </c>
      <c r="S652" s="64">
        <v>21500</v>
      </c>
      <c r="T652" s="64" t="s">
        <v>33</v>
      </c>
      <c r="U652" s="65" t="s">
        <v>33</v>
      </c>
      <c r="V652" s="64" t="s">
        <v>28</v>
      </c>
      <c r="W652" s="64">
        <f t="shared" ref="W652:W653" si="1364">+S652-M652</f>
        <v>3200</v>
      </c>
      <c r="X652" s="64" t="s">
        <v>963</v>
      </c>
      <c r="Y652" s="64" t="s">
        <v>29</v>
      </c>
      <c r="Z652" s="71">
        <f t="shared" ref="Z652:Z653" si="1365">+W652*100/M652</f>
        <v>17.486338797814209</v>
      </c>
      <c r="AA652" s="93"/>
    </row>
    <row r="653" spans="1:27" hidden="1">
      <c r="A653" s="64">
        <f>SUBTOTAL(3,C$2:C653)</f>
        <v>467</v>
      </c>
      <c r="B653" s="64" t="s">
        <v>1086</v>
      </c>
      <c r="C653" s="64" t="s">
        <v>80</v>
      </c>
      <c r="D653" s="64" t="s">
        <v>32</v>
      </c>
      <c r="E653" s="64" t="s">
        <v>33</v>
      </c>
      <c r="F653" s="52" t="s">
        <v>251</v>
      </c>
      <c r="G653" s="91" t="s">
        <v>59</v>
      </c>
      <c r="H653" s="70" t="s">
        <v>1392</v>
      </c>
      <c r="I653" s="65">
        <v>46151</v>
      </c>
      <c r="J653" s="64">
        <f t="shared" ca="1" si="1361"/>
        <v>33</v>
      </c>
      <c r="K653" s="64" t="str">
        <f t="shared" si="1362"/>
        <v>Pending</v>
      </c>
      <c r="L653" s="52" t="s">
        <v>155</v>
      </c>
      <c r="M653" s="64">
        <v>36000</v>
      </c>
      <c r="N653" s="64">
        <v>33000</v>
      </c>
      <c r="O653" s="65">
        <v>46151</v>
      </c>
      <c r="P653" s="64">
        <f t="shared" si="1363"/>
        <v>3000</v>
      </c>
      <c r="Q653" s="64" t="s">
        <v>33</v>
      </c>
      <c r="R653" s="64" t="s">
        <v>112</v>
      </c>
      <c r="S653" s="64">
        <v>39000</v>
      </c>
      <c r="T653" s="64" t="s">
        <v>33</v>
      </c>
      <c r="U653" s="65" t="s">
        <v>33</v>
      </c>
      <c r="V653" s="64" t="s">
        <v>28</v>
      </c>
      <c r="W653" s="64">
        <f t="shared" si="1364"/>
        <v>3000</v>
      </c>
      <c r="X653" s="64" t="s">
        <v>36</v>
      </c>
      <c r="Y653" s="64" t="s">
        <v>29</v>
      </c>
      <c r="Z653" s="71">
        <f t="shared" si="1365"/>
        <v>8.3333333333333339</v>
      </c>
      <c r="AA653" s="93"/>
    </row>
    <row r="654" spans="1:27" hidden="1">
      <c r="A654" s="64">
        <f>SUBTOTAL(3,C$2:C654)</f>
        <v>467</v>
      </c>
      <c r="B654" s="64" t="s">
        <v>1086</v>
      </c>
      <c r="C654" s="64" t="s">
        <v>31</v>
      </c>
      <c r="D654" s="64" t="s">
        <v>32</v>
      </c>
      <c r="E654" s="64" t="s">
        <v>33</v>
      </c>
      <c r="F654" s="52" t="s">
        <v>327</v>
      </c>
      <c r="G654" s="91" t="s">
        <v>34</v>
      </c>
      <c r="H654" s="98" t="s">
        <v>1393</v>
      </c>
      <c r="I654" s="65">
        <v>46151</v>
      </c>
      <c r="J654" s="64">
        <f t="shared" ref="J654:J657" ca="1" si="1366">+TODAY()-I654</f>
        <v>33</v>
      </c>
      <c r="K654" s="64" t="str">
        <f t="shared" ref="K654:K657" si="1367">+U654</f>
        <v>Pending</v>
      </c>
      <c r="L654" s="52" t="s">
        <v>355</v>
      </c>
      <c r="M654" s="64">
        <v>19000</v>
      </c>
      <c r="N654" s="64">
        <v>17000</v>
      </c>
      <c r="O654" s="65">
        <v>46151</v>
      </c>
      <c r="P654" s="64">
        <f t="shared" ref="P654:P657" si="1368">+M654-N654</f>
        <v>2000</v>
      </c>
      <c r="Q654" s="64" t="s">
        <v>33</v>
      </c>
      <c r="R654" s="64" t="s">
        <v>39</v>
      </c>
      <c r="S654" s="64">
        <v>21800</v>
      </c>
      <c r="T654" s="64" t="s">
        <v>33</v>
      </c>
      <c r="U654" s="65" t="s">
        <v>33</v>
      </c>
      <c r="V654" s="64" t="s">
        <v>28</v>
      </c>
      <c r="W654" s="64">
        <f t="shared" ref="W654:W657" si="1369">+S654-M654</f>
        <v>2800</v>
      </c>
      <c r="X654" s="64" t="s">
        <v>963</v>
      </c>
      <c r="Y654" s="64" t="s">
        <v>29</v>
      </c>
      <c r="Z654" s="71">
        <f t="shared" ref="Z654:Z657" si="1370">+W654*100/M654</f>
        <v>14.736842105263158</v>
      </c>
      <c r="AA654" s="93"/>
    </row>
    <row r="655" spans="1:27" hidden="1">
      <c r="A655" s="64">
        <f>SUBTOTAL(3,C$2:C655)</f>
        <v>467</v>
      </c>
      <c r="B655" s="64" t="s">
        <v>1086</v>
      </c>
      <c r="C655" s="64" t="s">
        <v>44</v>
      </c>
      <c r="D655" s="64" t="s">
        <v>32</v>
      </c>
      <c r="E655" s="64" t="s">
        <v>33</v>
      </c>
      <c r="F655" s="52" t="s">
        <v>407</v>
      </c>
      <c r="G655" s="91" t="s">
        <v>46</v>
      </c>
      <c r="H655" s="70" t="s">
        <v>1394</v>
      </c>
      <c r="I655" s="65">
        <v>46151</v>
      </c>
      <c r="J655" s="64">
        <f t="shared" ca="1" si="1366"/>
        <v>33</v>
      </c>
      <c r="K655" s="64" t="str">
        <f t="shared" si="1367"/>
        <v>Pending</v>
      </c>
      <c r="L655" s="52" t="s">
        <v>1366</v>
      </c>
      <c r="M655" s="64">
        <v>12000</v>
      </c>
      <c r="N655" s="64">
        <v>12000</v>
      </c>
      <c r="O655" s="65">
        <v>46151</v>
      </c>
      <c r="P655" s="64">
        <f t="shared" si="1368"/>
        <v>0</v>
      </c>
      <c r="Q655" s="64" t="s">
        <v>33</v>
      </c>
      <c r="R655" s="64" t="s">
        <v>112</v>
      </c>
      <c r="S655" s="64">
        <v>14000</v>
      </c>
      <c r="T655" s="64" t="s">
        <v>33</v>
      </c>
      <c r="U655" s="65" t="s">
        <v>33</v>
      </c>
      <c r="V655" s="64" t="s">
        <v>28</v>
      </c>
      <c r="W655" s="64">
        <f t="shared" si="1369"/>
        <v>2000</v>
      </c>
      <c r="X655" s="64" t="s">
        <v>36</v>
      </c>
      <c r="Y655" s="64" t="s">
        <v>29</v>
      </c>
      <c r="Z655" s="71">
        <f t="shared" si="1370"/>
        <v>16.666666666666668</v>
      </c>
      <c r="AA655" s="93"/>
    </row>
    <row r="656" spans="1:27" hidden="1">
      <c r="A656" s="64">
        <f>SUBTOTAL(3,C$2:C656)</f>
        <v>467</v>
      </c>
      <c r="B656" s="64" t="s">
        <v>1086</v>
      </c>
      <c r="C656" s="64" t="s">
        <v>1031</v>
      </c>
      <c r="D656" s="64" t="s">
        <v>32</v>
      </c>
      <c r="E656" s="64" t="s">
        <v>33</v>
      </c>
      <c r="F656" s="52" t="s">
        <v>1367</v>
      </c>
      <c r="G656" s="91" t="s">
        <v>34</v>
      </c>
      <c r="H656" s="98" t="s">
        <v>1395</v>
      </c>
      <c r="I656" s="65">
        <v>46150</v>
      </c>
      <c r="J656" s="64">
        <f t="shared" ca="1" si="1366"/>
        <v>34</v>
      </c>
      <c r="K656" s="64" t="str">
        <f t="shared" si="1367"/>
        <v>Pending</v>
      </c>
      <c r="L656" s="52" t="s">
        <v>519</v>
      </c>
      <c r="M656" s="64">
        <v>18300</v>
      </c>
      <c r="N656" s="64">
        <v>16500</v>
      </c>
      <c r="O656" s="65">
        <v>46151</v>
      </c>
      <c r="P656" s="64">
        <f t="shared" si="1368"/>
        <v>1800</v>
      </c>
      <c r="Q656" s="64" t="s">
        <v>33</v>
      </c>
      <c r="R656" s="64" t="s">
        <v>37</v>
      </c>
      <c r="S656" s="64">
        <v>21500</v>
      </c>
      <c r="T656" s="64" t="s">
        <v>33</v>
      </c>
      <c r="U656" s="65" t="s">
        <v>33</v>
      </c>
      <c r="V656" s="64" t="s">
        <v>28</v>
      </c>
      <c r="W656" s="64">
        <f t="shared" si="1369"/>
        <v>3200</v>
      </c>
      <c r="X656" s="64" t="s">
        <v>963</v>
      </c>
      <c r="Y656" s="64" t="s">
        <v>29</v>
      </c>
      <c r="Z656" s="71">
        <f t="shared" si="1370"/>
        <v>17.486338797814209</v>
      </c>
      <c r="AA656" s="93"/>
    </row>
    <row r="657" spans="1:27" hidden="1">
      <c r="A657" s="64">
        <f>SUBTOTAL(3,C$2:C657)</f>
        <v>467</v>
      </c>
      <c r="B657" s="64" t="s">
        <v>1086</v>
      </c>
      <c r="C657" s="64" t="s">
        <v>80</v>
      </c>
      <c r="D657" s="64" t="s">
        <v>32</v>
      </c>
      <c r="E657" s="64" t="s">
        <v>33</v>
      </c>
      <c r="F657" s="52" t="s">
        <v>1410</v>
      </c>
      <c r="G657" s="91" t="s">
        <v>1215</v>
      </c>
      <c r="H657" s="98" t="s">
        <v>1438</v>
      </c>
      <c r="I657" s="65">
        <v>46151</v>
      </c>
      <c r="J657" s="64">
        <f t="shared" ca="1" si="1366"/>
        <v>33</v>
      </c>
      <c r="K657" s="64">
        <f t="shared" si="1367"/>
        <v>46169</v>
      </c>
      <c r="L657" s="52" t="s">
        <v>995</v>
      </c>
      <c r="M657" s="64">
        <v>28000</v>
      </c>
      <c r="N657" s="64">
        <v>26000</v>
      </c>
      <c r="O657" s="65">
        <v>45787</v>
      </c>
      <c r="P657" s="64">
        <f t="shared" si="1368"/>
        <v>2000</v>
      </c>
      <c r="Q657" s="64" t="s">
        <v>33</v>
      </c>
      <c r="R657" s="64" t="s">
        <v>39</v>
      </c>
      <c r="S657" s="64">
        <v>31500</v>
      </c>
      <c r="T657" s="64" t="s">
        <v>2689</v>
      </c>
      <c r="U657" s="65">
        <v>46169</v>
      </c>
      <c r="V657" s="64" t="s">
        <v>28</v>
      </c>
      <c r="W657" s="64">
        <f t="shared" si="1369"/>
        <v>3500</v>
      </c>
      <c r="X657" s="64" t="s">
        <v>36</v>
      </c>
      <c r="Y657" s="64" t="s">
        <v>29</v>
      </c>
      <c r="Z657" s="71">
        <f t="shared" si="1370"/>
        <v>12.5</v>
      </c>
      <c r="AA657" s="93"/>
    </row>
    <row r="658" spans="1:27" hidden="1">
      <c r="A658" s="64">
        <f>SUBTOTAL(3,C$2:C658)</f>
        <v>467</v>
      </c>
      <c r="B658" s="64" t="s">
        <v>1086</v>
      </c>
      <c r="C658" s="64" t="s">
        <v>1031</v>
      </c>
      <c r="D658" s="64" t="s">
        <v>32</v>
      </c>
      <c r="E658" s="64" t="s">
        <v>33</v>
      </c>
      <c r="F658" s="52" t="s">
        <v>743</v>
      </c>
      <c r="G658" s="91" t="s">
        <v>34</v>
      </c>
      <c r="H658" s="98" t="s">
        <v>1439</v>
      </c>
      <c r="I658" s="65">
        <v>46151</v>
      </c>
      <c r="J658" s="64">
        <f t="shared" ref="J658:J660" ca="1" si="1371">+TODAY()-I658</f>
        <v>33</v>
      </c>
      <c r="K658" s="64">
        <f t="shared" ref="K658:K660" si="1372">+U658</f>
        <v>46163</v>
      </c>
      <c r="L658" s="52" t="s">
        <v>1411</v>
      </c>
      <c r="M658" s="64">
        <v>19000</v>
      </c>
      <c r="N658" s="64">
        <v>17000</v>
      </c>
      <c r="O658" s="65">
        <v>45787</v>
      </c>
      <c r="P658" s="64">
        <f t="shared" ref="P658:P660" si="1373">+M658-N658</f>
        <v>2000</v>
      </c>
      <c r="Q658" s="64" t="s">
        <v>33</v>
      </c>
      <c r="R658" s="64" t="s">
        <v>39</v>
      </c>
      <c r="S658" s="64">
        <v>21800</v>
      </c>
      <c r="T658" s="64" t="s">
        <v>2189</v>
      </c>
      <c r="U658" s="65">
        <v>46163</v>
      </c>
      <c r="V658" s="64" t="s">
        <v>28</v>
      </c>
      <c r="W658" s="64">
        <f t="shared" ref="W658:W660" si="1374">+S658-M658</f>
        <v>2800</v>
      </c>
      <c r="X658" s="64" t="s">
        <v>963</v>
      </c>
      <c r="Y658" s="64" t="s">
        <v>29</v>
      </c>
      <c r="Z658" s="71">
        <f t="shared" ref="Z658:Z660" si="1375">+W658*100/M658</f>
        <v>14.736842105263158</v>
      </c>
      <c r="AA658" s="93"/>
    </row>
    <row r="659" spans="1:27" hidden="1">
      <c r="A659" s="64">
        <f>SUBTOTAL(3,C$2:C659)</f>
        <v>467</v>
      </c>
      <c r="B659" s="64" t="s">
        <v>1086</v>
      </c>
      <c r="C659" s="64" t="s">
        <v>31</v>
      </c>
      <c r="D659" s="64" t="s">
        <v>32</v>
      </c>
      <c r="E659" s="64" t="s">
        <v>33</v>
      </c>
      <c r="F659" s="52" t="s">
        <v>953</v>
      </c>
      <c r="G659" s="91" t="s">
        <v>34</v>
      </c>
      <c r="H659" s="98" t="s">
        <v>1440</v>
      </c>
      <c r="I659" s="65">
        <v>46151</v>
      </c>
      <c r="J659" s="64">
        <f t="shared" ca="1" si="1371"/>
        <v>33</v>
      </c>
      <c r="K659" s="64">
        <f t="shared" si="1372"/>
        <v>46170</v>
      </c>
      <c r="L659" s="52" t="s">
        <v>1024</v>
      </c>
      <c r="M659" s="64">
        <v>19000</v>
      </c>
      <c r="N659" s="64">
        <v>17000</v>
      </c>
      <c r="O659" s="65">
        <v>45787</v>
      </c>
      <c r="P659" s="64">
        <f t="shared" si="1373"/>
        <v>2000</v>
      </c>
      <c r="Q659" s="64" t="s">
        <v>33</v>
      </c>
      <c r="R659" s="64" t="s">
        <v>196</v>
      </c>
      <c r="S659" s="64">
        <v>21800</v>
      </c>
      <c r="T659" s="64" t="s">
        <v>2673</v>
      </c>
      <c r="U659" s="65">
        <v>46170</v>
      </c>
      <c r="V659" s="64" t="s">
        <v>28</v>
      </c>
      <c r="W659" s="64">
        <f t="shared" si="1374"/>
        <v>2800</v>
      </c>
      <c r="X659" s="64" t="s">
        <v>963</v>
      </c>
      <c r="Y659" s="64" t="s">
        <v>29</v>
      </c>
      <c r="Z659" s="71">
        <f t="shared" si="1375"/>
        <v>14.736842105263158</v>
      </c>
      <c r="AA659" s="93"/>
    </row>
    <row r="660" spans="1:27" hidden="1">
      <c r="A660" s="64">
        <f>SUBTOTAL(3,C$2:C660)</f>
        <v>467</v>
      </c>
      <c r="B660" s="64" t="s">
        <v>1086</v>
      </c>
      <c r="C660" s="64" t="s">
        <v>80</v>
      </c>
      <c r="D660" s="64" t="s">
        <v>32</v>
      </c>
      <c r="E660" s="64" t="s">
        <v>33</v>
      </c>
      <c r="F660" s="52" t="s">
        <v>1412</v>
      </c>
      <c r="G660" s="91" t="s">
        <v>1215</v>
      </c>
      <c r="H660" s="98" t="s">
        <v>1441</v>
      </c>
      <c r="I660" s="65">
        <v>46151</v>
      </c>
      <c r="J660" s="64">
        <f t="shared" ca="1" si="1371"/>
        <v>33</v>
      </c>
      <c r="K660" s="64" t="str">
        <f t="shared" si="1372"/>
        <v>Pending</v>
      </c>
      <c r="L660" s="52" t="s">
        <v>995</v>
      </c>
      <c r="M660" s="64">
        <v>28000</v>
      </c>
      <c r="N660" s="64">
        <v>26000</v>
      </c>
      <c r="O660" s="65">
        <v>45787</v>
      </c>
      <c r="P660" s="64">
        <f t="shared" si="1373"/>
        <v>2000</v>
      </c>
      <c r="Q660" s="64" t="s">
        <v>33</v>
      </c>
      <c r="R660" s="64" t="s">
        <v>37</v>
      </c>
      <c r="S660" s="64">
        <v>31500</v>
      </c>
      <c r="T660" s="64" t="s">
        <v>33</v>
      </c>
      <c r="U660" s="65" t="s">
        <v>33</v>
      </c>
      <c r="V660" s="64" t="s">
        <v>28</v>
      </c>
      <c r="W660" s="64">
        <f t="shared" si="1374"/>
        <v>3500</v>
      </c>
      <c r="X660" s="64" t="s">
        <v>36</v>
      </c>
      <c r="Y660" s="64" t="s">
        <v>29</v>
      </c>
      <c r="Z660" s="71">
        <f t="shared" si="1375"/>
        <v>12.5</v>
      </c>
      <c r="AA660" s="93"/>
    </row>
    <row r="661" spans="1:27" hidden="1">
      <c r="A661" s="64">
        <f>SUBTOTAL(3,C$2:C661)</f>
        <v>467</v>
      </c>
      <c r="B661" s="64" t="s">
        <v>1086</v>
      </c>
      <c r="C661" s="64" t="s">
        <v>1031</v>
      </c>
      <c r="D661" s="64" t="s">
        <v>32</v>
      </c>
      <c r="E661" s="64" t="s">
        <v>33</v>
      </c>
      <c r="F661" s="52" t="s">
        <v>1413</v>
      </c>
      <c r="G661" s="91" t="s">
        <v>34</v>
      </c>
      <c r="H661" s="98" t="s">
        <v>1442</v>
      </c>
      <c r="I661" s="65">
        <v>46151</v>
      </c>
      <c r="J661" s="64">
        <f t="shared" ref="J661:J662" ca="1" si="1376">+TODAY()-I661</f>
        <v>33</v>
      </c>
      <c r="K661" s="64" t="str">
        <f t="shared" ref="K661:K662" si="1377">+U661</f>
        <v>Pending</v>
      </c>
      <c r="L661" s="52" t="s">
        <v>1411</v>
      </c>
      <c r="M661" s="64">
        <v>18000</v>
      </c>
      <c r="N661" s="64">
        <v>16000</v>
      </c>
      <c r="O661" s="65">
        <v>45787</v>
      </c>
      <c r="P661" s="64">
        <f t="shared" ref="P661:P662" si="1378">+M661-N661</f>
        <v>2000</v>
      </c>
      <c r="Q661" s="64" t="s">
        <v>33</v>
      </c>
      <c r="R661" s="64" t="s">
        <v>37</v>
      </c>
      <c r="S661" s="64">
        <v>21500</v>
      </c>
      <c r="T661" s="64" t="s">
        <v>33</v>
      </c>
      <c r="U661" s="65" t="s">
        <v>33</v>
      </c>
      <c r="V661" s="64" t="s">
        <v>28</v>
      </c>
      <c r="W661" s="64">
        <f t="shared" ref="W661:W662" si="1379">+S661-M661</f>
        <v>3500</v>
      </c>
      <c r="X661" s="64" t="s">
        <v>963</v>
      </c>
      <c r="Y661" s="64" t="s">
        <v>29</v>
      </c>
      <c r="Z661" s="71">
        <f t="shared" ref="Z661:Z662" si="1380">+W661*100/M661</f>
        <v>19.444444444444443</v>
      </c>
      <c r="AA661" s="93"/>
    </row>
    <row r="662" spans="1:27" hidden="1">
      <c r="A662" s="64">
        <f>SUBTOTAL(3,C$2:C662)</f>
        <v>467</v>
      </c>
      <c r="B662" s="64" t="s">
        <v>1086</v>
      </c>
      <c r="C662" s="64" t="s">
        <v>31</v>
      </c>
      <c r="D662" s="64" t="s">
        <v>32</v>
      </c>
      <c r="E662" s="64" t="s">
        <v>33</v>
      </c>
      <c r="F662" s="52" t="s">
        <v>249</v>
      </c>
      <c r="G662" s="91" t="s">
        <v>34</v>
      </c>
      <c r="H662" s="98" t="s">
        <v>1443</v>
      </c>
      <c r="I662" s="65">
        <v>46151</v>
      </c>
      <c r="J662" s="64">
        <f t="shared" ca="1" si="1376"/>
        <v>33</v>
      </c>
      <c r="K662" s="64">
        <f t="shared" si="1377"/>
        <v>46169</v>
      </c>
      <c r="L662" s="52" t="s">
        <v>1024</v>
      </c>
      <c r="M662" s="64">
        <v>19000</v>
      </c>
      <c r="N662" s="64">
        <v>17000</v>
      </c>
      <c r="O662" s="65">
        <v>45787</v>
      </c>
      <c r="P662" s="64">
        <f t="shared" si="1378"/>
        <v>2000</v>
      </c>
      <c r="Q662" s="64" t="s">
        <v>33</v>
      </c>
      <c r="R662" s="64" t="s">
        <v>39</v>
      </c>
      <c r="S662" s="64">
        <v>21800</v>
      </c>
      <c r="T662" s="64" t="s">
        <v>2674</v>
      </c>
      <c r="U662" s="65">
        <v>46169</v>
      </c>
      <c r="V662" s="64" t="s">
        <v>28</v>
      </c>
      <c r="W662" s="64">
        <f t="shared" si="1379"/>
        <v>2800</v>
      </c>
      <c r="X662" s="64" t="s">
        <v>963</v>
      </c>
      <c r="Y662" s="64" t="s">
        <v>29</v>
      </c>
      <c r="Z662" s="71">
        <f t="shared" si="1380"/>
        <v>14.736842105263158</v>
      </c>
      <c r="AA662" s="93"/>
    </row>
    <row r="663" spans="1:27" hidden="1">
      <c r="A663" s="64">
        <f>SUBTOTAL(3,C$2:C663)</f>
        <v>467</v>
      </c>
      <c r="B663" s="64" t="s">
        <v>1086</v>
      </c>
      <c r="C663" s="64" t="s">
        <v>31</v>
      </c>
      <c r="D663" s="64" t="s">
        <v>32</v>
      </c>
      <c r="E663" s="64" t="s">
        <v>33</v>
      </c>
      <c r="F663" s="52" t="s">
        <v>201</v>
      </c>
      <c r="G663" s="91" t="s">
        <v>34</v>
      </c>
      <c r="H663" s="98" t="s">
        <v>1444</v>
      </c>
      <c r="I663" s="65">
        <v>46151</v>
      </c>
      <c r="J663" s="64">
        <f t="shared" ref="J663" ca="1" si="1381">+TODAY()-I663</f>
        <v>33</v>
      </c>
      <c r="K663" s="64" t="str">
        <f t="shared" ref="K663" si="1382">+U663</f>
        <v>Pending</v>
      </c>
      <c r="L663" s="52" t="s">
        <v>483</v>
      </c>
      <c r="M663" s="64">
        <v>23300</v>
      </c>
      <c r="N663" s="64">
        <v>21500</v>
      </c>
      <c r="O663" s="65">
        <v>45787</v>
      </c>
      <c r="P663" s="64">
        <f t="shared" ref="P663" si="1383">+M663-N663</f>
        <v>1800</v>
      </c>
      <c r="Q663" s="64" t="s">
        <v>33</v>
      </c>
      <c r="R663" s="64" t="s">
        <v>37</v>
      </c>
      <c r="S663" s="64">
        <v>26000</v>
      </c>
      <c r="T663" s="64" t="s">
        <v>33</v>
      </c>
      <c r="U663" s="65" t="s">
        <v>33</v>
      </c>
      <c r="V663" s="64" t="s">
        <v>28</v>
      </c>
      <c r="W663" s="64">
        <f t="shared" ref="W663" si="1384">+S663-M663</f>
        <v>2700</v>
      </c>
      <c r="X663" s="64" t="s">
        <v>963</v>
      </c>
      <c r="Y663" s="64" t="s">
        <v>29</v>
      </c>
      <c r="Z663" s="71">
        <f t="shared" ref="Z663" si="1385">+W663*100/M663</f>
        <v>11.587982832618026</v>
      </c>
      <c r="AA663" s="93"/>
    </row>
    <row r="664" spans="1:27" hidden="1">
      <c r="A664" s="64">
        <f>SUBTOTAL(3,C$2:C664)</f>
        <v>467</v>
      </c>
      <c r="B664" s="64" t="s">
        <v>1086</v>
      </c>
      <c r="C664" s="64" t="s">
        <v>44</v>
      </c>
      <c r="D664" s="64" t="s">
        <v>32</v>
      </c>
      <c r="E664" s="64" t="s">
        <v>33</v>
      </c>
      <c r="F664" s="52" t="s">
        <v>541</v>
      </c>
      <c r="G664" s="91">
        <v>407</v>
      </c>
      <c r="H664" s="98" t="s">
        <v>1445</v>
      </c>
      <c r="I664" s="65">
        <v>46151</v>
      </c>
      <c r="J664" s="64">
        <f t="shared" ref="J664" ca="1" si="1386">+TODAY()-I664</f>
        <v>33</v>
      </c>
      <c r="K664" s="64">
        <f t="shared" ref="K664" si="1387">+U664</f>
        <v>46169</v>
      </c>
      <c r="L664" s="52" t="s">
        <v>381</v>
      </c>
      <c r="M664" s="64">
        <v>28000</v>
      </c>
      <c r="N664" s="64">
        <v>25000</v>
      </c>
      <c r="O664" s="65">
        <v>45787</v>
      </c>
      <c r="P664" s="64">
        <f t="shared" ref="P664" si="1388">+M664-N664</f>
        <v>3000</v>
      </c>
      <c r="Q664" s="64" t="s">
        <v>33</v>
      </c>
      <c r="R664" s="64" t="s">
        <v>56</v>
      </c>
      <c r="S664" s="64">
        <v>30800</v>
      </c>
      <c r="T664" s="64" t="s">
        <v>2695</v>
      </c>
      <c r="U664" s="65">
        <v>46169</v>
      </c>
      <c r="V664" s="64" t="s">
        <v>28</v>
      </c>
      <c r="W664" s="64">
        <f t="shared" ref="W664" si="1389">+S664-M664</f>
        <v>2800</v>
      </c>
      <c r="X664" s="64" t="s">
        <v>36</v>
      </c>
      <c r="Y664" s="64" t="s">
        <v>29</v>
      </c>
      <c r="Z664" s="71">
        <f t="shared" ref="Z664" si="1390">+W664*100/M664</f>
        <v>10</v>
      </c>
      <c r="AA664" s="93"/>
    </row>
    <row r="665" spans="1:27" hidden="1">
      <c r="A665" s="64">
        <f>SUBTOTAL(3,C$2:C665)</f>
        <v>467</v>
      </c>
      <c r="B665" s="64" t="s">
        <v>1086</v>
      </c>
      <c r="C665" s="64" t="s">
        <v>44</v>
      </c>
      <c r="D665" s="64" t="s">
        <v>32</v>
      </c>
      <c r="E665" s="64" t="s">
        <v>33</v>
      </c>
      <c r="F665" s="52" t="s">
        <v>1414</v>
      </c>
      <c r="G665" s="91">
        <v>407</v>
      </c>
      <c r="H665" s="98" t="s">
        <v>1446</v>
      </c>
      <c r="I665" s="65">
        <v>46152</v>
      </c>
      <c r="J665" s="64">
        <f t="shared" ref="J665:J667" ca="1" si="1391">+TODAY()-I665</f>
        <v>32</v>
      </c>
      <c r="K665" s="64">
        <f t="shared" ref="K665:K667" si="1392">+U665</f>
        <v>46170</v>
      </c>
      <c r="L665" s="52" t="s">
        <v>687</v>
      </c>
      <c r="M665" s="64">
        <v>29500</v>
      </c>
      <c r="N665" s="64">
        <v>27500</v>
      </c>
      <c r="O665" s="65">
        <v>45787</v>
      </c>
      <c r="P665" s="64">
        <f t="shared" ref="P665:P667" si="1393">+M665-N665</f>
        <v>2000</v>
      </c>
      <c r="Q665" s="64" t="s">
        <v>33</v>
      </c>
      <c r="R665" s="64" t="s">
        <v>52</v>
      </c>
      <c r="S665" s="64">
        <v>32500</v>
      </c>
      <c r="T665" s="64" t="s">
        <v>2686</v>
      </c>
      <c r="U665" s="65">
        <v>46170</v>
      </c>
      <c r="V665" s="64" t="s">
        <v>28</v>
      </c>
      <c r="W665" s="64">
        <f t="shared" ref="W665:W667" si="1394">+S665-M665</f>
        <v>3000</v>
      </c>
      <c r="X665" s="64" t="s">
        <v>36</v>
      </c>
      <c r="Y665" s="64" t="s">
        <v>29</v>
      </c>
      <c r="Z665" s="71">
        <f t="shared" ref="Z665:Z667" si="1395">+W665*100/M665</f>
        <v>10.169491525423728</v>
      </c>
      <c r="AA665" s="93"/>
    </row>
    <row r="666" spans="1:27" hidden="1">
      <c r="A666" s="64">
        <f>SUBTOTAL(3,C$2:C666)</f>
        <v>467</v>
      </c>
      <c r="B666" s="64" t="s">
        <v>1086</v>
      </c>
      <c r="C666" s="64" t="s">
        <v>80</v>
      </c>
      <c r="D666" s="64" t="s">
        <v>32</v>
      </c>
      <c r="E666" s="64" t="s">
        <v>33</v>
      </c>
      <c r="F666" s="52" t="s">
        <v>1415</v>
      </c>
      <c r="G666" s="91" t="s">
        <v>1215</v>
      </c>
      <c r="H666" s="98" t="s">
        <v>1447</v>
      </c>
      <c r="I666" s="65">
        <v>46152</v>
      </c>
      <c r="J666" s="64">
        <f t="shared" ca="1" si="1391"/>
        <v>32</v>
      </c>
      <c r="K666" s="64">
        <f t="shared" si="1392"/>
        <v>46169</v>
      </c>
      <c r="L666" s="52" t="s">
        <v>995</v>
      </c>
      <c r="M666" s="64">
        <v>28000</v>
      </c>
      <c r="N666" s="64">
        <v>26000</v>
      </c>
      <c r="O666" s="65">
        <v>45787</v>
      </c>
      <c r="P666" s="64">
        <f t="shared" si="1393"/>
        <v>2000</v>
      </c>
      <c r="Q666" s="64" t="s">
        <v>33</v>
      </c>
      <c r="R666" s="64" t="s">
        <v>37</v>
      </c>
      <c r="S666" s="64">
        <v>31500</v>
      </c>
      <c r="T666" s="64" t="s">
        <v>2689</v>
      </c>
      <c r="U666" s="65">
        <v>46169</v>
      </c>
      <c r="V666" s="64" t="s">
        <v>28</v>
      </c>
      <c r="W666" s="64">
        <f t="shared" si="1394"/>
        <v>3500</v>
      </c>
      <c r="X666" s="64" t="s">
        <v>36</v>
      </c>
      <c r="Y666" s="64" t="s">
        <v>29</v>
      </c>
      <c r="Z666" s="71">
        <f t="shared" si="1395"/>
        <v>12.5</v>
      </c>
      <c r="AA666" s="93"/>
    </row>
    <row r="667" spans="1:27" hidden="1">
      <c r="A667" s="64">
        <f>SUBTOTAL(3,C$2:C667)</f>
        <v>467</v>
      </c>
      <c r="B667" s="64" t="s">
        <v>1086</v>
      </c>
      <c r="C667" s="64" t="s">
        <v>31</v>
      </c>
      <c r="D667" s="64" t="s">
        <v>32</v>
      </c>
      <c r="E667" s="64" t="s">
        <v>33</v>
      </c>
      <c r="F667" s="52" t="s">
        <v>745</v>
      </c>
      <c r="G667" s="91" t="s">
        <v>34</v>
      </c>
      <c r="H667" s="98" t="s">
        <v>1448</v>
      </c>
      <c r="I667" s="65">
        <v>46152</v>
      </c>
      <c r="J667" s="64">
        <f t="shared" ca="1" si="1391"/>
        <v>32</v>
      </c>
      <c r="K667" s="64">
        <f t="shared" si="1392"/>
        <v>46169</v>
      </c>
      <c r="L667" s="52" t="s">
        <v>1411</v>
      </c>
      <c r="M667" s="64">
        <v>19000</v>
      </c>
      <c r="N667" s="64">
        <v>17000</v>
      </c>
      <c r="O667" s="65">
        <v>45787</v>
      </c>
      <c r="P667" s="64">
        <f t="shared" si="1393"/>
        <v>2000</v>
      </c>
      <c r="Q667" s="64" t="s">
        <v>33</v>
      </c>
      <c r="R667" s="64" t="s">
        <v>37</v>
      </c>
      <c r="S667" s="64">
        <v>21800</v>
      </c>
      <c r="T667" s="64" t="s">
        <v>2674</v>
      </c>
      <c r="U667" s="65">
        <v>46169</v>
      </c>
      <c r="V667" s="64" t="s">
        <v>28</v>
      </c>
      <c r="W667" s="64">
        <f t="shared" si="1394"/>
        <v>2800</v>
      </c>
      <c r="X667" s="64" t="s">
        <v>963</v>
      </c>
      <c r="Y667" s="64" t="s">
        <v>29</v>
      </c>
      <c r="Z667" s="71">
        <f t="shared" si="1395"/>
        <v>14.736842105263158</v>
      </c>
      <c r="AA667" s="93"/>
    </row>
    <row r="668" spans="1:27" hidden="1">
      <c r="A668" s="64">
        <f>SUBTOTAL(3,C$2:C668)</f>
        <v>467</v>
      </c>
      <c r="B668" s="64" t="s">
        <v>1086</v>
      </c>
      <c r="C668" s="64" t="s">
        <v>31</v>
      </c>
      <c r="D668" s="64" t="s">
        <v>32</v>
      </c>
      <c r="E668" s="64" t="s">
        <v>33</v>
      </c>
      <c r="F668" s="52" t="s">
        <v>1416</v>
      </c>
      <c r="G668" s="91" t="s">
        <v>34</v>
      </c>
      <c r="H668" s="98" t="s">
        <v>1449</v>
      </c>
      <c r="I668" s="65">
        <v>46152</v>
      </c>
      <c r="J668" s="64">
        <f t="shared" ref="J668" ca="1" si="1396">+TODAY()-I668</f>
        <v>32</v>
      </c>
      <c r="K668" s="64">
        <f t="shared" ref="K668" si="1397">+U668</f>
        <v>46169</v>
      </c>
      <c r="L668" s="52" t="s">
        <v>1411</v>
      </c>
      <c r="M668" s="64">
        <v>19000</v>
      </c>
      <c r="N668" s="64">
        <v>17000</v>
      </c>
      <c r="O668" s="65">
        <v>45787</v>
      </c>
      <c r="P668" s="64">
        <f t="shared" ref="P668" si="1398">+M668-N668</f>
        <v>2000</v>
      </c>
      <c r="Q668" s="64" t="s">
        <v>33</v>
      </c>
      <c r="R668" s="64" t="s">
        <v>39</v>
      </c>
      <c r="S668" s="64">
        <v>21800</v>
      </c>
      <c r="T668" s="64" t="s">
        <v>2674</v>
      </c>
      <c r="U668" s="65">
        <v>46169</v>
      </c>
      <c r="V668" s="64" t="s">
        <v>28</v>
      </c>
      <c r="W668" s="64">
        <f t="shared" ref="W668" si="1399">+S668-M668</f>
        <v>2800</v>
      </c>
      <c r="X668" s="64" t="s">
        <v>963</v>
      </c>
      <c r="Y668" s="64" t="s">
        <v>29</v>
      </c>
      <c r="Z668" s="71">
        <f t="shared" ref="Z668" si="1400">+W668*100/M668</f>
        <v>14.736842105263158</v>
      </c>
      <c r="AA668" s="93"/>
    </row>
    <row r="669" spans="1:27" hidden="1">
      <c r="A669" s="64">
        <f>SUBTOTAL(3,C$2:C669)</f>
        <v>467</v>
      </c>
      <c r="B669" s="64" t="s">
        <v>1086</v>
      </c>
      <c r="C669" s="64" t="s">
        <v>31</v>
      </c>
      <c r="D669" s="64" t="s">
        <v>32</v>
      </c>
      <c r="E669" s="64" t="s">
        <v>33</v>
      </c>
      <c r="F669" s="52" t="s">
        <v>1417</v>
      </c>
      <c r="G669" s="91" t="s">
        <v>34</v>
      </c>
      <c r="H669" s="70" t="s">
        <v>1450</v>
      </c>
      <c r="I669" s="65">
        <v>46152</v>
      </c>
      <c r="J669" s="64">
        <f t="shared" ref="J669:J671" ca="1" si="1401">+TODAY()-I669</f>
        <v>32</v>
      </c>
      <c r="K669" s="64" t="str">
        <f t="shared" ref="K669:K671" si="1402">+U669</f>
        <v>Pending</v>
      </c>
      <c r="L669" s="52" t="s">
        <v>111</v>
      </c>
      <c r="M669" s="64">
        <v>11700</v>
      </c>
      <c r="N669" s="64">
        <v>10700</v>
      </c>
      <c r="O669" s="65">
        <v>45787</v>
      </c>
      <c r="P669" s="64">
        <f t="shared" ref="P669:P671" si="1403">+M669-N669</f>
        <v>1000</v>
      </c>
      <c r="Q669" s="64" t="s">
        <v>33</v>
      </c>
      <c r="R669" s="64" t="s">
        <v>112</v>
      </c>
      <c r="S669" s="64">
        <v>13500</v>
      </c>
      <c r="T669" s="64" t="s">
        <v>33</v>
      </c>
      <c r="U669" s="65" t="s">
        <v>33</v>
      </c>
      <c r="V669" s="64" t="s">
        <v>28</v>
      </c>
      <c r="W669" s="64">
        <f t="shared" ref="W669:W671" si="1404">+S669-M669</f>
        <v>1800</v>
      </c>
      <c r="X669" s="64" t="s">
        <v>963</v>
      </c>
      <c r="Y669" s="64" t="s">
        <v>29</v>
      </c>
      <c r="Z669" s="71">
        <f t="shared" ref="Z669:Z671" si="1405">+W669*100/M669</f>
        <v>15.384615384615385</v>
      </c>
      <c r="AA669" s="93"/>
    </row>
    <row r="670" spans="1:27" hidden="1">
      <c r="A670" s="64">
        <f>SUBTOTAL(3,C$2:C670)</f>
        <v>467</v>
      </c>
      <c r="B670" s="64" t="s">
        <v>1086</v>
      </c>
      <c r="C670" s="64" t="s">
        <v>1031</v>
      </c>
      <c r="D670" s="64" t="s">
        <v>32</v>
      </c>
      <c r="E670" s="64" t="s">
        <v>33</v>
      </c>
      <c r="F670" s="52" t="s">
        <v>234</v>
      </c>
      <c r="G670" s="91" t="s">
        <v>34</v>
      </c>
      <c r="H670" s="98" t="s">
        <v>1451</v>
      </c>
      <c r="I670" s="65">
        <v>46152</v>
      </c>
      <c r="J670" s="64">
        <f t="shared" ca="1" si="1401"/>
        <v>32</v>
      </c>
      <c r="K670" s="64">
        <f t="shared" si="1402"/>
        <v>46169</v>
      </c>
      <c r="L670" s="52" t="s">
        <v>1024</v>
      </c>
      <c r="M670" s="64">
        <v>19000</v>
      </c>
      <c r="N670" s="64">
        <v>17000</v>
      </c>
      <c r="O670" s="65">
        <v>45787</v>
      </c>
      <c r="P670" s="64">
        <f t="shared" si="1403"/>
        <v>2000</v>
      </c>
      <c r="Q670" s="64" t="s">
        <v>33</v>
      </c>
      <c r="R670" s="64" t="s">
        <v>39</v>
      </c>
      <c r="S670" s="64">
        <v>21800</v>
      </c>
      <c r="T670" s="64" t="s">
        <v>2674</v>
      </c>
      <c r="U670" s="65">
        <v>46169</v>
      </c>
      <c r="V670" s="64" t="s">
        <v>28</v>
      </c>
      <c r="W670" s="64">
        <f t="shared" si="1404"/>
        <v>2800</v>
      </c>
      <c r="X670" s="64" t="s">
        <v>963</v>
      </c>
      <c r="Y670" s="64" t="s">
        <v>29</v>
      </c>
      <c r="Z670" s="71">
        <f t="shared" si="1405"/>
        <v>14.736842105263158</v>
      </c>
      <c r="AA670" s="93"/>
    </row>
    <row r="671" spans="1:27" hidden="1">
      <c r="A671" s="64">
        <f>SUBTOTAL(3,C$2:C671)</f>
        <v>467</v>
      </c>
      <c r="B671" s="64" t="s">
        <v>1086</v>
      </c>
      <c r="C671" s="64" t="s">
        <v>31</v>
      </c>
      <c r="D671" s="64" t="s">
        <v>32</v>
      </c>
      <c r="E671" s="64" t="s">
        <v>33</v>
      </c>
      <c r="F671" s="52" t="s">
        <v>253</v>
      </c>
      <c r="G671" s="91" t="s">
        <v>34</v>
      </c>
      <c r="H671" s="98" t="s">
        <v>1452</v>
      </c>
      <c r="I671" s="65">
        <v>46152</v>
      </c>
      <c r="J671" s="64">
        <f t="shared" ca="1" si="1401"/>
        <v>32</v>
      </c>
      <c r="K671" s="64" t="str">
        <f t="shared" si="1402"/>
        <v>Pending</v>
      </c>
      <c r="L671" s="52" t="s">
        <v>483</v>
      </c>
      <c r="M671" s="64">
        <v>23300</v>
      </c>
      <c r="N671" s="64">
        <v>21500</v>
      </c>
      <c r="O671" s="65">
        <v>45787</v>
      </c>
      <c r="P671" s="64">
        <f t="shared" si="1403"/>
        <v>1800</v>
      </c>
      <c r="Q671" s="64" t="s">
        <v>33</v>
      </c>
      <c r="R671" s="64" t="s">
        <v>37</v>
      </c>
      <c r="S671" s="64">
        <v>26000</v>
      </c>
      <c r="T671" s="64" t="s">
        <v>33</v>
      </c>
      <c r="U671" s="65" t="s">
        <v>33</v>
      </c>
      <c r="V671" s="64" t="s">
        <v>28</v>
      </c>
      <c r="W671" s="64">
        <f t="shared" si="1404"/>
        <v>2700</v>
      </c>
      <c r="X671" s="64" t="s">
        <v>963</v>
      </c>
      <c r="Y671" s="64" t="s">
        <v>29</v>
      </c>
      <c r="Z671" s="71">
        <f t="shared" si="1405"/>
        <v>11.587982832618026</v>
      </c>
      <c r="AA671" s="93"/>
    </row>
    <row r="672" spans="1:27" hidden="1">
      <c r="A672" s="64">
        <f>SUBTOTAL(3,C$2:C672)</f>
        <v>467</v>
      </c>
      <c r="B672" s="64" t="s">
        <v>1086</v>
      </c>
      <c r="C672" s="64" t="s">
        <v>31</v>
      </c>
      <c r="D672" s="64" t="s">
        <v>32</v>
      </c>
      <c r="E672" s="64" t="s">
        <v>33</v>
      </c>
      <c r="F672" s="52" t="s">
        <v>1418</v>
      </c>
      <c r="G672" s="91" t="s">
        <v>34</v>
      </c>
      <c r="H672" s="98" t="s">
        <v>1453</v>
      </c>
      <c r="I672" s="65">
        <v>46152</v>
      </c>
      <c r="J672" s="64">
        <f t="shared" ref="J672:J683" ca="1" si="1406">+TODAY()-I672</f>
        <v>32</v>
      </c>
      <c r="K672" s="64">
        <f t="shared" ref="K672:K683" si="1407">+U672</f>
        <v>46163</v>
      </c>
      <c r="L672" s="52" t="s">
        <v>783</v>
      </c>
      <c r="M672" s="64">
        <v>18000</v>
      </c>
      <c r="N672" s="64">
        <v>16000</v>
      </c>
      <c r="O672" s="65">
        <v>45787</v>
      </c>
      <c r="P672" s="64">
        <f t="shared" ref="P672:P683" si="1408">+M672-N672</f>
        <v>2000</v>
      </c>
      <c r="Q672" s="64" t="s">
        <v>33</v>
      </c>
      <c r="R672" s="64" t="s">
        <v>56</v>
      </c>
      <c r="S672" s="64">
        <v>20500</v>
      </c>
      <c r="T672" s="64" t="s">
        <v>2186</v>
      </c>
      <c r="U672" s="65">
        <v>46163</v>
      </c>
      <c r="V672" s="64" t="s">
        <v>28</v>
      </c>
      <c r="W672" s="64">
        <f t="shared" ref="W672:W683" si="1409">+S672-M672</f>
        <v>2500</v>
      </c>
      <c r="X672" s="64" t="s">
        <v>963</v>
      </c>
      <c r="Y672" s="64" t="s">
        <v>29</v>
      </c>
      <c r="Z672" s="71">
        <f t="shared" ref="Z672:Z683" si="1410">+W672*100/M672</f>
        <v>13.888888888888889</v>
      </c>
      <c r="AA672" s="93"/>
    </row>
    <row r="673" spans="1:27" hidden="1">
      <c r="A673" s="64">
        <f>SUBTOTAL(3,C$2:C673)</f>
        <v>467</v>
      </c>
      <c r="B673" s="64" t="s">
        <v>1086</v>
      </c>
      <c r="C673" s="64" t="s">
        <v>1031</v>
      </c>
      <c r="D673" s="64" t="s">
        <v>32</v>
      </c>
      <c r="E673" s="64" t="s">
        <v>33</v>
      </c>
      <c r="F673" s="52" t="s">
        <v>1419</v>
      </c>
      <c r="G673" s="91" t="s">
        <v>34</v>
      </c>
      <c r="H673" s="98" t="s">
        <v>1454</v>
      </c>
      <c r="I673" s="65">
        <v>46152</v>
      </c>
      <c r="J673" s="64">
        <f t="shared" ca="1" si="1406"/>
        <v>32</v>
      </c>
      <c r="K673" s="64" t="str">
        <f t="shared" si="1407"/>
        <v>Pending</v>
      </c>
      <c r="L673" s="52" t="s">
        <v>1024</v>
      </c>
      <c r="M673" s="64">
        <v>19000</v>
      </c>
      <c r="N673" s="64">
        <v>17000</v>
      </c>
      <c r="O673" s="65">
        <v>45787</v>
      </c>
      <c r="P673" s="64">
        <f t="shared" si="1408"/>
        <v>2000</v>
      </c>
      <c r="Q673" s="64" t="s">
        <v>33</v>
      </c>
      <c r="R673" s="64" t="s">
        <v>37</v>
      </c>
      <c r="S673" s="64">
        <v>21800</v>
      </c>
      <c r="T673" s="64" t="s">
        <v>33</v>
      </c>
      <c r="U673" s="65" t="s">
        <v>33</v>
      </c>
      <c r="V673" s="64" t="s">
        <v>28</v>
      </c>
      <c r="W673" s="64">
        <f t="shared" si="1409"/>
        <v>2800</v>
      </c>
      <c r="X673" s="64" t="s">
        <v>963</v>
      </c>
      <c r="Y673" s="64" t="s">
        <v>29</v>
      </c>
      <c r="Z673" s="71">
        <f t="shared" si="1410"/>
        <v>14.736842105263158</v>
      </c>
      <c r="AA673" s="93"/>
    </row>
    <row r="674" spans="1:27" hidden="1">
      <c r="A674" s="64">
        <f>SUBTOTAL(3,C$2:C674)</f>
        <v>467</v>
      </c>
      <c r="B674" s="64" t="s">
        <v>1086</v>
      </c>
      <c r="C674" s="64" t="s">
        <v>80</v>
      </c>
      <c r="D674" s="64" t="s">
        <v>32</v>
      </c>
      <c r="E674" s="64" t="s">
        <v>33</v>
      </c>
      <c r="F674" s="52" t="s">
        <v>1426</v>
      </c>
      <c r="G674" s="91" t="s">
        <v>1215</v>
      </c>
      <c r="H674" s="98" t="s">
        <v>1455</v>
      </c>
      <c r="I674" s="65">
        <v>46152</v>
      </c>
      <c r="J674" s="64">
        <f t="shared" ca="1" si="1406"/>
        <v>32</v>
      </c>
      <c r="K674" s="64">
        <f t="shared" si="1407"/>
        <v>46169</v>
      </c>
      <c r="L674" s="52" t="s">
        <v>995</v>
      </c>
      <c r="M674" s="64">
        <v>28000</v>
      </c>
      <c r="N674" s="64">
        <v>26000</v>
      </c>
      <c r="O674" s="65">
        <v>46153</v>
      </c>
      <c r="P674" s="64">
        <f t="shared" si="1408"/>
        <v>2000</v>
      </c>
      <c r="Q674" s="64" t="s">
        <v>33</v>
      </c>
      <c r="R674" s="64" t="s">
        <v>39</v>
      </c>
      <c r="S674" s="64">
        <v>31500</v>
      </c>
      <c r="T674" s="64" t="s">
        <v>2680</v>
      </c>
      <c r="U674" s="65">
        <v>46169</v>
      </c>
      <c r="V674" s="64" t="s">
        <v>28</v>
      </c>
      <c r="W674" s="64">
        <f t="shared" si="1409"/>
        <v>3500</v>
      </c>
      <c r="X674" s="64" t="s">
        <v>36</v>
      </c>
      <c r="Y674" s="64" t="s">
        <v>29</v>
      </c>
      <c r="Z674" s="71">
        <f t="shared" si="1410"/>
        <v>12.5</v>
      </c>
      <c r="AA674" s="93"/>
    </row>
    <row r="675" spans="1:27" hidden="1">
      <c r="A675" s="64">
        <f>SUBTOTAL(3,C$2:C675)</f>
        <v>467</v>
      </c>
      <c r="B675" s="64" t="s">
        <v>1086</v>
      </c>
      <c r="C675" s="64" t="s">
        <v>1031</v>
      </c>
      <c r="D675" s="64" t="s">
        <v>32</v>
      </c>
      <c r="E675" s="64" t="s">
        <v>33</v>
      </c>
      <c r="F675" s="52" t="s">
        <v>1431</v>
      </c>
      <c r="G675" s="91" t="s">
        <v>34</v>
      </c>
      <c r="H675" s="98" t="s">
        <v>1460</v>
      </c>
      <c r="I675" s="65">
        <v>46152</v>
      </c>
      <c r="J675" s="64">
        <f t="shared" ca="1" si="1406"/>
        <v>32</v>
      </c>
      <c r="K675" s="64">
        <f t="shared" si="1407"/>
        <v>46169</v>
      </c>
      <c r="L675" s="52" t="s">
        <v>1024</v>
      </c>
      <c r="M675" s="64">
        <v>19000</v>
      </c>
      <c r="N675" s="64">
        <v>17000</v>
      </c>
      <c r="O675" s="65">
        <v>46153</v>
      </c>
      <c r="P675" s="64">
        <f t="shared" si="1408"/>
        <v>2000</v>
      </c>
      <c r="Q675" s="64" t="s">
        <v>33</v>
      </c>
      <c r="R675" s="64" t="s">
        <v>37</v>
      </c>
      <c r="S675" s="64">
        <v>21800</v>
      </c>
      <c r="T675" s="64" t="s">
        <v>2672</v>
      </c>
      <c r="U675" s="65">
        <v>46169</v>
      </c>
      <c r="V675" s="64" t="s">
        <v>28</v>
      </c>
      <c r="W675" s="64">
        <f t="shared" si="1409"/>
        <v>2800</v>
      </c>
      <c r="X675" s="64" t="s">
        <v>963</v>
      </c>
      <c r="Y675" s="64" t="s">
        <v>29</v>
      </c>
      <c r="Z675" s="71">
        <f t="shared" si="1410"/>
        <v>14.736842105263158</v>
      </c>
      <c r="AA675" s="93"/>
    </row>
    <row r="676" spans="1:27" hidden="1">
      <c r="A676" s="64">
        <f>SUBTOTAL(3,C$2:C676)</f>
        <v>467</v>
      </c>
      <c r="B676" s="64" t="s">
        <v>1086</v>
      </c>
      <c r="C676" s="64" t="s">
        <v>31</v>
      </c>
      <c r="D676" s="64" t="s">
        <v>32</v>
      </c>
      <c r="E676" s="64" t="s">
        <v>33</v>
      </c>
      <c r="F676" s="52" t="s">
        <v>1436</v>
      </c>
      <c r="G676" s="91" t="s">
        <v>34</v>
      </c>
      <c r="H676" s="98" t="s">
        <v>1470</v>
      </c>
      <c r="I676" s="65">
        <v>46152</v>
      </c>
      <c r="J676" s="64">
        <f t="shared" ca="1" si="1406"/>
        <v>32</v>
      </c>
      <c r="K676" s="64">
        <f t="shared" si="1407"/>
        <v>46169</v>
      </c>
      <c r="L676" s="52" t="s">
        <v>1411</v>
      </c>
      <c r="M676" s="64">
        <v>19000</v>
      </c>
      <c r="N676" s="64">
        <v>17000</v>
      </c>
      <c r="O676" s="65">
        <v>46153</v>
      </c>
      <c r="P676" s="64">
        <f t="shared" si="1408"/>
        <v>2000</v>
      </c>
      <c r="Q676" s="64" t="s">
        <v>33</v>
      </c>
      <c r="R676" s="64" t="s">
        <v>39</v>
      </c>
      <c r="S676" s="64">
        <v>21800</v>
      </c>
      <c r="T676" s="64" t="s">
        <v>2674</v>
      </c>
      <c r="U676" s="65">
        <v>46169</v>
      </c>
      <c r="V676" s="64" t="s">
        <v>28</v>
      </c>
      <c r="W676" s="64">
        <f t="shared" si="1409"/>
        <v>2800</v>
      </c>
      <c r="X676" s="64" t="s">
        <v>963</v>
      </c>
      <c r="Y676" s="64" t="s">
        <v>29</v>
      </c>
      <c r="Z676" s="71">
        <f t="shared" si="1410"/>
        <v>14.736842105263158</v>
      </c>
      <c r="AA676" s="93"/>
    </row>
    <row r="677" spans="1:27" hidden="1">
      <c r="A677" s="64">
        <f>SUBTOTAL(3,C$2:C677)</f>
        <v>467</v>
      </c>
      <c r="B677" s="64" t="s">
        <v>1086</v>
      </c>
      <c r="C677" s="64" t="s">
        <v>44</v>
      </c>
      <c r="D677" s="64" t="s">
        <v>32</v>
      </c>
      <c r="E677" s="64" t="s">
        <v>33</v>
      </c>
      <c r="F677" s="52" t="s">
        <v>211</v>
      </c>
      <c r="G677" s="91">
        <v>407</v>
      </c>
      <c r="H677" s="98" t="s">
        <v>1461</v>
      </c>
      <c r="I677" s="65">
        <v>46152</v>
      </c>
      <c r="J677" s="64">
        <f t="shared" ca="1" si="1406"/>
        <v>32</v>
      </c>
      <c r="K677" s="64">
        <f t="shared" si="1407"/>
        <v>46170</v>
      </c>
      <c r="L677" s="52" t="s">
        <v>381</v>
      </c>
      <c r="M677" s="64">
        <v>28000</v>
      </c>
      <c r="N677" s="64">
        <v>25000</v>
      </c>
      <c r="O677" s="65">
        <v>46153</v>
      </c>
      <c r="P677" s="64">
        <f t="shared" si="1408"/>
        <v>3000</v>
      </c>
      <c r="Q677" s="64" t="s">
        <v>33</v>
      </c>
      <c r="R677" s="64" t="s">
        <v>56</v>
      </c>
      <c r="S677" s="64">
        <v>30800</v>
      </c>
      <c r="T677" s="64" t="s">
        <v>2683</v>
      </c>
      <c r="U677" s="65">
        <v>46170</v>
      </c>
      <c r="V677" s="64" t="s">
        <v>28</v>
      </c>
      <c r="W677" s="64">
        <f t="shared" si="1409"/>
        <v>2800</v>
      </c>
      <c r="X677" s="64" t="s">
        <v>36</v>
      </c>
      <c r="Y677" s="64" t="s">
        <v>29</v>
      </c>
      <c r="Z677" s="71">
        <f t="shared" si="1410"/>
        <v>10</v>
      </c>
      <c r="AA677" s="93"/>
    </row>
    <row r="678" spans="1:27" hidden="1">
      <c r="A678" s="64">
        <f>SUBTOTAL(3,C$2:C678)</f>
        <v>467</v>
      </c>
      <c r="B678" s="64" t="s">
        <v>1086</v>
      </c>
      <c r="C678" s="64" t="s">
        <v>1031</v>
      </c>
      <c r="D678" s="64" t="s">
        <v>32</v>
      </c>
      <c r="E678" s="64" t="s">
        <v>33</v>
      </c>
      <c r="F678" s="52" t="s">
        <v>1432</v>
      </c>
      <c r="G678" s="91" t="s">
        <v>34</v>
      </c>
      <c r="H678" s="98" t="s">
        <v>1462</v>
      </c>
      <c r="I678" s="65">
        <v>46152</v>
      </c>
      <c r="J678" s="64">
        <f t="shared" ca="1" si="1406"/>
        <v>32</v>
      </c>
      <c r="K678" s="64" t="str">
        <f t="shared" si="1407"/>
        <v>Pending</v>
      </c>
      <c r="L678" s="52" t="s">
        <v>1034</v>
      </c>
      <c r="M678" s="64">
        <v>18300</v>
      </c>
      <c r="N678" s="64">
        <v>16500</v>
      </c>
      <c r="O678" s="65">
        <v>46153</v>
      </c>
      <c r="P678" s="64">
        <f t="shared" si="1408"/>
        <v>1800</v>
      </c>
      <c r="Q678" s="64" t="s">
        <v>33</v>
      </c>
      <c r="R678" s="64" t="s">
        <v>37</v>
      </c>
      <c r="S678" s="64">
        <v>21500</v>
      </c>
      <c r="T678" s="64" t="s">
        <v>33</v>
      </c>
      <c r="U678" s="65" t="s">
        <v>33</v>
      </c>
      <c r="V678" s="64" t="s">
        <v>28</v>
      </c>
      <c r="W678" s="64">
        <f t="shared" si="1409"/>
        <v>3200</v>
      </c>
      <c r="X678" s="64" t="s">
        <v>963</v>
      </c>
      <c r="Y678" s="64" t="s">
        <v>29</v>
      </c>
      <c r="Z678" s="71">
        <f t="shared" si="1410"/>
        <v>17.486338797814209</v>
      </c>
      <c r="AA678" s="93"/>
    </row>
    <row r="679" spans="1:27" hidden="1">
      <c r="A679" s="64">
        <f>SUBTOTAL(3,C$2:C679)</f>
        <v>467</v>
      </c>
      <c r="B679" s="64" t="s">
        <v>1086</v>
      </c>
      <c r="C679" s="64" t="s">
        <v>31</v>
      </c>
      <c r="D679" s="64" t="s">
        <v>32</v>
      </c>
      <c r="E679" s="64" t="s">
        <v>33</v>
      </c>
      <c r="F679" s="52" t="s">
        <v>231</v>
      </c>
      <c r="G679" s="91" t="s">
        <v>34</v>
      </c>
      <c r="H679" s="98" t="s">
        <v>1471</v>
      </c>
      <c r="I679" s="65">
        <v>46152</v>
      </c>
      <c r="J679" s="64">
        <f t="shared" ca="1" si="1406"/>
        <v>32</v>
      </c>
      <c r="K679" s="64">
        <f t="shared" si="1407"/>
        <v>46169</v>
      </c>
      <c r="L679" s="52" t="s">
        <v>1411</v>
      </c>
      <c r="M679" s="64">
        <v>19000</v>
      </c>
      <c r="N679" s="64">
        <v>17000</v>
      </c>
      <c r="O679" s="65">
        <v>46153</v>
      </c>
      <c r="P679" s="64">
        <f t="shared" si="1408"/>
        <v>2000</v>
      </c>
      <c r="Q679" s="64" t="s">
        <v>33</v>
      </c>
      <c r="R679" s="64" t="s">
        <v>39</v>
      </c>
      <c r="S679" s="64">
        <v>21800</v>
      </c>
      <c r="T679" s="64" t="s">
        <v>2674</v>
      </c>
      <c r="U679" s="65">
        <v>46169</v>
      </c>
      <c r="V679" s="64" t="s">
        <v>28</v>
      </c>
      <c r="W679" s="64">
        <f t="shared" si="1409"/>
        <v>2800</v>
      </c>
      <c r="X679" s="64" t="s">
        <v>963</v>
      </c>
      <c r="Y679" s="64" t="s">
        <v>29</v>
      </c>
      <c r="Z679" s="71">
        <f t="shared" si="1410"/>
        <v>14.736842105263158</v>
      </c>
      <c r="AA679" s="93"/>
    </row>
    <row r="680" spans="1:27" hidden="1">
      <c r="A680" s="64">
        <f>SUBTOTAL(3,C$2:C680)</f>
        <v>467</v>
      </c>
      <c r="B680" s="64" t="s">
        <v>1086</v>
      </c>
      <c r="C680" s="64" t="s">
        <v>44</v>
      </c>
      <c r="D680" s="64" t="s">
        <v>32</v>
      </c>
      <c r="E680" s="64" t="s">
        <v>33</v>
      </c>
      <c r="F680" s="52" t="s">
        <v>1433</v>
      </c>
      <c r="G680" s="91" t="s">
        <v>607</v>
      </c>
      <c r="H680" s="98" t="s">
        <v>1464</v>
      </c>
      <c r="I680" s="65">
        <v>46152</v>
      </c>
      <c r="J680" s="64">
        <f t="shared" ca="1" si="1406"/>
        <v>32</v>
      </c>
      <c r="K680" s="64">
        <f t="shared" si="1407"/>
        <v>46170</v>
      </c>
      <c r="L680" s="52" t="s">
        <v>609</v>
      </c>
      <c r="M680" s="64">
        <v>38500</v>
      </c>
      <c r="N680" s="64">
        <v>35500</v>
      </c>
      <c r="O680" s="65">
        <v>46153</v>
      </c>
      <c r="P680" s="64">
        <f t="shared" si="1408"/>
        <v>3000</v>
      </c>
      <c r="Q680" s="64" t="s">
        <v>33</v>
      </c>
      <c r="R680" s="64" t="s">
        <v>52</v>
      </c>
      <c r="S680" s="64">
        <v>41500</v>
      </c>
      <c r="T680" s="64" t="s">
        <v>2682</v>
      </c>
      <c r="U680" s="65">
        <v>46170</v>
      </c>
      <c r="V680" s="64" t="s">
        <v>28</v>
      </c>
      <c r="W680" s="64">
        <f t="shared" si="1409"/>
        <v>3000</v>
      </c>
      <c r="X680" s="64" t="s">
        <v>36</v>
      </c>
      <c r="Y680" s="64" t="s">
        <v>29</v>
      </c>
      <c r="Z680" s="71">
        <f t="shared" si="1410"/>
        <v>7.7922077922077921</v>
      </c>
      <c r="AA680" s="93"/>
    </row>
    <row r="681" spans="1:27" hidden="1">
      <c r="A681" s="64">
        <f>SUBTOTAL(3,C$2:C681)</f>
        <v>467</v>
      </c>
      <c r="B681" s="64" t="s">
        <v>1086</v>
      </c>
      <c r="C681" s="64" t="s">
        <v>44</v>
      </c>
      <c r="D681" s="64" t="s">
        <v>32</v>
      </c>
      <c r="E681" s="64" t="s">
        <v>33</v>
      </c>
      <c r="F681" s="52" t="s">
        <v>409</v>
      </c>
      <c r="G681" s="91" t="s">
        <v>46</v>
      </c>
      <c r="H681" s="98" t="s">
        <v>1465</v>
      </c>
      <c r="I681" s="65">
        <v>46152</v>
      </c>
      <c r="J681" s="64">
        <f t="shared" ca="1" si="1406"/>
        <v>32</v>
      </c>
      <c r="K681" s="64" t="str">
        <f t="shared" si="1407"/>
        <v>Pending</v>
      </c>
      <c r="L681" s="52" t="s">
        <v>397</v>
      </c>
      <c r="M681" s="64">
        <v>19000</v>
      </c>
      <c r="N681" s="64">
        <v>17000</v>
      </c>
      <c r="O681" s="65">
        <v>46153</v>
      </c>
      <c r="P681" s="64">
        <f t="shared" si="1408"/>
        <v>2000</v>
      </c>
      <c r="Q681" s="64" t="s">
        <v>33</v>
      </c>
      <c r="R681" s="64" t="s">
        <v>37</v>
      </c>
      <c r="S681" s="64">
        <v>21800</v>
      </c>
      <c r="T681" s="64" t="s">
        <v>33</v>
      </c>
      <c r="U681" s="65" t="s">
        <v>33</v>
      </c>
      <c r="V681" s="64" t="s">
        <v>28</v>
      </c>
      <c r="W681" s="64">
        <f t="shared" si="1409"/>
        <v>2800</v>
      </c>
      <c r="X681" s="64" t="s">
        <v>36</v>
      </c>
      <c r="Y681" s="64" t="s">
        <v>29</v>
      </c>
      <c r="Z681" s="71">
        <f t="shared" si="1410"/>
        <v>14.736842105263158</v>
      </c>
      <c r="AA681" s="93"/>
    </row>
    <row r="682" spans="1:27" hidden="1">
      <c r="A682" s="64">
        <f>SUBTOTAL(3,C$2:C682)</f>
        <v>467</v>
      </c>
      <c r="B682" s="64" t="s">
        <v>1086</v>
      </c>
      <c r="C682" s="64" t="s">
        <v>44</v>
      </c>
      <c r="D682" s="64" t="s">
        <v>32</v>
      </c>
      <c r="E682" s="64" t="s">
        <v>33</v>
      </c>
      <c r="F682" s="52" t="s">
        <v>1434</v>
      </c>
      <c r="G682" s="91" t="s">
        <v>46</v>
      </c>
      <c r="H682" s="98" t="s">
        <v>1466</v>
      </c>
      <c r="I682" s="65">
        <v>46152</v>
      </c>
      <c r="J682" s="64">
        <f t="shared" ca="1" si="1406"/>
        <v>32</v>
      </c>
      <c r="K682" s="64">
        <f t="shared" si="1407"/>
        <v>46169</v>
      </c>
      <c r="L682" s="52" t="s">
        <v>397</v>
      </c>
      <c r="M682" s="64">
        <v>19000</v>
      </c>
      <c r="N682" s="64">
        <v>17000</v>
      </c>
      <c r="O682" s="65">
        <v>46153</v>
      </c>
      <c r="P682" s="64">
        <f t="shared" si="1408"/>
        <v>2000</v>
      </c>
      <c r="Q682" s="64" t="s">
        <v>33</v>
      </c>
      <c r="R682" s="64" t="s">
        <v>39</v>
      </c>
      <c r="S682" s="64">
        <v>21800</v>
      </c>
      <c r="T682" s="64" t="s">
        <v>2674</v>
      </c>
      <c r="U682" s="65">
        <v>46169</v>
      </c>
      <c r="V682" s="64" t="s">
        <v>28</v>
      </c>
      <c r="W682" s="64">
        <f t="shared" si="1409"/>
        <v>2800</v>
      </c>
      <c r="X682" s="64" t="s">
        <v>36</v>
      </c>
      <c r="Y682" s="64" t="s">
        <v>29</v>
      </c>
      <c r="Z682" s="71">
        <f t="shared" si="1410"/>
        <v>14.736842105263158</v>
      </c>
      <c r="AA682" s="93"/>
    </row>
    <row r="683" spans="1:27" hidden="1">
      <c r="A683" s="64">
        <f>SUBTOTAL(3,C$2:C683)</f>
        <v>467</v>
      </c>
      <c r="B683" s="64" t="s">
        <v>1086</v>
      </c>
      <c r="C683" s="64" t="s">
        <v>31</v>
      </c>
      <c r="D683" s="64" t="s">
        <v>32</v>
      </c>
      <c r="E683" s="64" t="s">
        <v>33</v>
      </c>
      <c r="F683" s="52" t="s">
        <v>1435</v>
      </c>
      <c r="G683" s="91" t="s">
        <v>34</v>
      </c>
      <c r="H683" s="98" t="s">
        <v>1467</v>
      </c>
      <c r="I683" s="65">
        <v>46152</v>
      </c>
      <c r="J683" s="64">
        <f t="shared" ca="1" si="1406"/>
        <v>32</v>
      </c>
      <c r="K683" s="64" t="str">
        <f t="shared" si="1407"/>
        <v>Pending</v>
      </c>
      <c r="L683" s="52" t="s">
        <v>483</v>
      </c>
      <c r="M683" s="64">
        <v>23300</v>
      </c>
      <c r="N683" s="64">
        <v>21500</v>
      </c>
      <c r="O683" s="65">
        <v>46153</v>
      </c>
      <c r="P683" s="64">
        <f t="shared" si="1408"/>
        <v>1800</v>
      </c>
      <c r="Q683" s="64" t="s">
        <v>33</v>
      </c>
      <c r="R683" s="64" t="s">
        <v>37</v>
      </c>
      <c r="S683" s="64">
        <v>26000</v>
      </c>
      <c r="T683" s="64" t="s">
        <v>33</v>
      </c>
      <c r="U683" s="65" t="s">
        <v>33</v>
      </c>
      <c r="V683" s="64" t="s">
        <v>28</v>
      </c>
      <c r="W683" s="64">
        <f t="shared" si="1409"/>
        <v>2700</v>
      </c>
      <c r="X683" s="64" t="s">
        <v>963</v>
      </c>
      <c r="Y683" s="64" t="s">
        <v>29</v>
      </c>
      <c r="Z683" s="71">
        <f t="shared" si="1410"/>
        <v>11.587982832618026</v>
      </c>
      <c r="AA683" s="93"/>
    </row>
    <row r="684" spans="1:27" hidden="1">
      <c r="A684" s="64">
        <f>SUBTOTAL(3,C$2:C684)</f>
        <v>467</v>
      </c>
      <c r="B684" s="64" t="s">
        <v>1086</v>
      </c>
      <c r="C684" s="64" t="s">
        <v>80</v>
      </c>
      <c r="D684" s="64" t="s">
        <v>32</v>
      </c>
      <c r="E684" s="64" t="s">
        <v>33</v>
      </c>
      <c r="F684" s="52" t="s">
        <v>1427</v>
      </c>
      <c r="G684" s="91" t="s">
        <v>1215</v>
      </c>
      <c r="H684" s="98" t="s">
        <v>1456</v>
      </c>
      <c r="I684" s="65">
        <v>46153</v>
      </c>
      <c r="J684" s="64">
        <f t="shared" ref="J684:J685" ca="1" si="1411">+TODAY()-I684</f>
        <v>31</v>
      </c>
      <c r="K684" s="64" t="str">
        <f t="shared" ref="K684:K685" si="1412">+U684</f>
        <v>Pending</v>
      </c>
      <c r="L684" s="52" t="s">
        <v>995</v>
      </c>
      <c r="M684" s="64">
        <v>28000</v>
      </c>
      <c r="N684" s="64">
        <v>26000</v>
      </c>
      <c r="O684" s="65">
        <v>46153</v>
      </c>
      <c r="P684" s="64">
        <f t="shared" ref="P684:P685" si="1413">+M684-N684</f>
        <v>2000</v>
      </c>
      <c r="Q684" s="64" t="s">
        <v>33</v>
      </c>
      <c r="R684" s="64" t="s">
        <v>37</v>
      </c>
      <c r="S684" s="64">
        <v>31500</v>
      </c>
      <c r="T684" s="64" t="s">
        <v>33</v>
      </c>
      <c r="U684" s="65" t="s">
        <v>33</v>
      </c>
      <c r="V684" s="64" t="s">
        <v>28</v>
      </c>
      <c r="W684" s="64">
        <f t="shared" ref="W684:W685" si="1414">+S684-M684</f>
        <v>3500</v>
      </c>
      <c r="X684" s="64" t="s">
        <v>36</v>
      </c>
      <c r="Y684" s="64" t="s">
        <v>29</v>
      </c>
      <c r="Z684" s="71">
        <f t="shared" ref="Z684:Z685" si="1415">+W684*100/M684</f>
        <v>12.5</v>
      </c>
      <c r="AA684" s="93"/>
    </row>
    <row r="685" spans="1:27" hidden="1">
      <c r="A685" s="64">
        <f>SUBTOTAL(3,C$2:C685)</f>
        <v>467</v>
      </c>
      <c r="B685" s="64" t="s">
        <v>1086</v>
      </c>
      <c r="C685" s="64" t="s">
        <v>48</v>
      </c>
      <c r="D685" s="64" t="s">
        <v>32</v>
      </c>
      <c r="E685" s="64" t="s">
        <v>33</v>
      </c>
      <c r="F685" s="52" t="s">
        <v>49</v>
      </c>
      <c r="G685" s="91" t="s">
        <v>50</v>
      </c>
      <c r="H685" s="98" t="s">
        <v>1469</v>
      </c>
      <c r="I685" s="65">
        <v>46153</v>
      </c>
      <c r="J685" s="64">
        <f t="shared" ca="1" si="1411"/>
        <v>31</v>
      </c>
      <c r="K685" s="64">
        <f t="shared" si="1412"/>
        <v>46170</v>
      </c>
      <c r="L685" s="52" t="s">
        <v>51</v>
      </c>
      <c r="M685" s="64">
        <v>44000</v>
      </c>
      <c r="N685" s="64">
        <v>40000</v>
      </c>
      <c r="O685" s="65">
        <v>46153</v>
      </c>
      <c r="P685" s="64">
        <f t="shared" si="1413"/>
        <v>4000</v>
      </c>
      <c r="Q685" s="64" t="s">
        <v>33</v>
      </c>
      <c r="R685" s="64" t="s">
        <v>52</v>
      </c>
      <c r="S685" s="64">
        <v>48000</v>
      </c>
      <c r="T685" s="64" t="s">
        <v>2692</v>
      </c>
      <c r="U685" s="65">
        <v>46170</v>
      </c>
      <c r="V685" s="64" t="s">
        <v>28</v>
      </c>
      <c r="W685" s="64">
        <f t="shared" si="1414"/>
        <v>4000</v>
      </c>
      <c r="X685" s="64" t="s">
        <v>36</v>
      </c>
      <c r="Y685" s="64" t="s">
        <v>29</v>
      </c>
      <c r="Z685" s="71">
        <f t="shared" si="1415"/>
        <v>9.0909090909090917</v>
      </c>
      <c r="AA685" s="93"/>
    </row>
    <row r="686" spans="1:27" hidden="1">
      <c r="A686" s="64">
        <f>SUBTOTAL(3,C$2:C686)</f>
        <v>467</v>
      </c>
      <c r="B686" s="64" t="s">
        <v>1086</v>
      </c>
      <c r="C686" s="64" t="s">
        <v>80</v>
      </c>
      <c r="D686" s="64" t="s">
        <v>32</v>
      </c>
      <c r="E686" s="64" t="s">
        <v>33</v>
      </c>
      <c r="F686" s="52" t="s">
        <v>1428</v>
      </c>
      <c r="G686" s="91" t="s">
        <v>1215</v>
      </c>
      <c r="H686" s="98" t="s">
        <v>1457</v>
      </c>
      <c r="I686" s="65">
        <v>46153</v>
      </c>
      <c r="J686" s="64">
        <f t="shared" ref="J686:J688" ca="1" si="1416">+TODAY()-I686</f>
        <v>31</v>
      </c>
      <c r="K686" s="64">
        <f t="shared" ref="K686:K688" si="1417">+U686</f>
        <v>46169</v>
      </c>
      <c r="L686" s="52" t="s">
        <v>995</v>
      </c>
      <c r="M686" s="64">
        <v>28000</v>
      </c>
      <c r="N686" s="64">
        <v>26000</v>
      </c>
      <c r="O686" s="65">
        <v>46153</v>
      </c>
      <c r="P686" s="64">
        <f t="shared" ref="P686:P688" si="1418">+M686-N686</f>
        <v>2000</v>
      </c>
      <c r="Q686" s="64" t="s">
        <v>33</v>
      </c>
      <c r="R686" s="64" t="s">
        <v>39</v>
      </c>
      <c r="S686" s="64">
        <v>31500</v>
      </c>
      <c r="T686" s="64" t="s">
        <v>2689</v>
      </c>
      <c r="U686" s="65">
        <v>46169</v>
      </c>
      <c r="V686" s="64" t="s">
        <v>28</v>
      </c>
      <c r="W686" s="64">
        <f t="shared" ref="W686:W688" si="1419">+S686-M686</f>
        <v>3500</v>
      </c>
      <c r="X686" s="64" t="s">
        <v>36</v>
      </c>
      <c r="Y686" s="64" t="s">
        <v>29</v>
      </c>
      <c r="Z686" s="71">
        <f t="shared" ref="Z686:Z688" si="1420">+W686*100/M686</f>
        <v>12.5</v>
      </c>
      <c r="AA686" s="93"/>
    </row>
    <row r="687" spans="1:27" hidden="1">
      <c r="A687" s="64">
        <f>SUBTOTAL(3,C$2:C687)</f>
        <v>467</v>
      </c>
      <c r="B687" s="64" t="s">
        <v>1086</v>
      </c>
      <c r="C687" s="64" t="s">
        <v>31</v>
      </c>
      <c r="D687" s="64" t="s">
        <v>32</v>
      </c>
      <c r="E687" s="64" t="s">
        <v>33</v>
      </c>
      <c r="F687" s="52" t="s">
        <v>1437</v>
      </c>
      <c r="G687" s="91" t="s">
        <v>34</v>
      </c>
      <c r="H687" s="98" t="s">
        <v>1472</v>
      </c>
      <c r="I687" s="65">
        <v>46153</v>
      </c>
      <c r="J687" s="64">
        <f t="shared" ca="1" si="1416"/>
        <v>31</v>
      </c>
      <c r="K687" s="64">
        <f t="shared" si="1417"/>
        <v>46169</v>
      </c>
      <c r="L687" s="52" t="s">
        <v>1411</v>
      </c>
      <c r="M687" s="64">
        <v>19000</v>
      </c>
      <c r="N687" s="64">
        <v>17000</v>
      </c>
      <c r="O687" s="65">
        <v>46153</v>
      </c>
      <c r="P687" s="64">
        <f t="shared" si="1418"/>
        <v>2000</v>
      </c>
      <c r="Q687" s="64" t="s">
        <v>33</v>
      </c>
      <c r="R687" s="64" t="s">
        <v>39</v>
      </c>
      <c r="S687" s="64">
        <v>21800</v>
      </c>
      <c r="T687" s="64" t="s">
        <v>2674</v>
      </c>
      <c r="U687" s="65">
        <v>46169</v>
      </c>
      <c r="V687" s="64" t="s">
        <v>28</v>
      </c>
      <c r="W687" s="64">
        <f t="shared" si="1419"/>
        <v>2800</v>
      </c>
      <c r="X687" s="64" t="s">
        <v>963</v>
      </c>
      <c r="Y687" s="64" t="s">
        <v>29</v>
      </c>
      <c r="Z687" s="71">
        <f t="shared" si="1420"/>
        <v>14.736842105263158</v>
      </c>
      <c r="AA687" s="93"/>
    </row>
    <row r="688" spans="1:27" hidden="1">
      <c r="A688" s="64">
        <f>SUBTOTAL(3,C$2:C688)</f>
        <v>467</v>
      </c>
      <c r="B688" s="64" t="s">
        <v>1086</v>
      </c>
      <c r="C688" s="64" t="s">
        <v>1031</v>
      </c>
      <c r="D688" s="64" t="s">
        <v>32</v>
      </c>
      <c r="E688" s="64" t="s">
        <v>33</v>
      </c>
      <c r="F688" s="52" t="s">
        <v>299</v>
      </c>
      <c r="G688" s="91" t="s">
        <v>34</v>
      </c>
      <c r="H688" s="70" t="s">
        <v>1463</v>
      </c>
      <c r="I688" s="65">
        <v>46153</v>
      </c>
      <c r="J688" s="64">
        <f t="shared" ca="1" si="1416"/>
        <v>31</v>
      </c>
      <c r="K688" s="64" t="str">
        <f t="shared" si="1417"/>
        <v>Pending</v>
      </c>
      <c r="L688" s="52" t="s">
        <v>1034</v>
      </c>
      <c r="M688" s="64">
        <v>18300</v>
      </c>
      <c r="N688" s="64">
        <v>16500</v>
      </c>
      <c r="O688" s="65">
        <v>46153</v>
      </c>
      <c r="P688" s="64">
        <f t="shared" si="1418"/>
        <v>1800</v>
      </c>
      <c r="Q688" s="64" t="s">
        <v>33</v>
      </c>
      <c r="R688" s="64" t="s">
        <v>37</v>
      </c>
      <c r="S688" s="64">
        <v>21500</v>
      </c>
      <c r="T688" s="64" t="s">
        <v>33</v>
      </c>
      <c r="U688" s="65" t="s">
        <v>33</v>
      </c>
      <c r="V688" s="64" t="s">
        <v>28</v>
      </c>
      <c r="W688" s="64">
        <f t="shared" si="1419"/>
        <v>3200</v>
      </c>
      <c r="X688" s="64" t="s">
        <v>963</v>
      </c>
      <c r="Y688" s="64" t="s">
        <v>29</v>
      </c>
      <c r="Z688" s="71">
        <f t="shared" si="1420"/>
        <v>17.486338797814209</v>
      </c>
      <c r="AA688" s="93"/>
    </row>
    <row r="689" spans="1:27" hidden="1">
      <c r="A689" s="64">
        <f>SUBTOTAL(3,C$2:C689)</f>
        <v>467</v>
      </c>
      <c r="B689" s="64" t="s">
        <v>1086</v>
      </c>
      <c r="C689" s="64" t="s">
        <v>80</v>
      </c>
      <c r="D689" s="64" t="s">
        <v>32</v>
      </c>
      <c r="E689" s="64" t="s">
        <v>33</v>
      </c>
      <c r="F689" s="52" t="s">
        <v>1429</v>
      </c>
      <c r="G689" s="91" t="s">
        <v>1215</v>
      </c>
      <c r="H689" s="70" t="s">
        <v>1458</v>
      </c>
      <c r="I689" s="65">
        <v>46153</v>
      </c>
      <c r="J689" s="64">
        <f t="shared" ref="J689:J690" ca="1" si="1421">+TODAY()-I689</f>
        <v>31</v>
      </c>
      <c r="K689" s="64" t="str">
        <f t="shared" ref="K689:K690" si="1422">+U689</f>
        <v>Pending</v>
      </c>
      <c r="L689" s="52" t="s">
        <v>995</v>
      </c>
      <c r="M689" s="64">
        <v>28000</v>
      </c>
      <c r="N689" s="64">
        <v>26000</v>
      </c>
      <c r="O689" s="65">
        <v>46153</v>
      </c>
      <c r="P689" s="64">
        <f t="shared" ref="P689:P690" si="1423">+M689-N689</f>
        <v>2000</v>
      </c>
      <c r="Q689" s="64" t="s">
        <v>33</v>
      </c>
      <c r="R689" s="64" t="s">
        <v>39</v>
      </c>
      <c r="S689" s="64">
        <v>31000</v>
      </c>
      <c r="T689" s="64" t="s">
        <v>33</v>
      </c>
      <c r="U689" s="65" t="s">
        <v>33</v>
      </c>
      <c r="V689" s="64" t="s">
        <v>28</v>
      </c>
      <c r="W689" s="64">
        <f t="shared" ref="W689:W690" si="1424">+S689-M689</f>
        <v>3000</v>
      </c>
      <c r="X689" s="64" t="s">
        <v>36</v>
      </c>
      <c r="Y689" s="64" t="s">
        <v>29</v>
      </c>
      <c r="Z689" s="71">
        <f t="shared" ref="Z689:Z690" si="1425">+W689*100/M689</f>
        <v>10.714285714285714</v>
      </c>
      <c r="AA689" s="93"/>
    </row>
    <row r="690" spans="1:27" hidden="1">
      <c r="A690" s="64">
        <f>SUBTOTAL(3,C$2:C690)</f>
        <v>467</v>
      </c>
      <c r="B690" s="64" t="s">
        <v>1086</v>
      </c>
      <c r="C690" s="64" t="s">
        <v>1031</v>
      </c>
      <c r="D690" s="64" t="s">
        <v>32</v>
      </c>
      <c r="E690" s="64" t="s">
        <v>33</v>
      </c>
      <c r="F690" s="52" t="s">
        <v>306</v>
      </c>
      <c r="G690" s="91" t="s">
        <v>34</v>
      </c>
      <c r="H690" s="98" t="s">
        <v>1474</v>
      </c>
      <c r="I690" s="65">
        <v>46153</v>
      </c>
      <c r="J690" s="64">
        <f t="shared" ca="1" si="1421"/>
        <v>31</v>
      </c>
      <c r="K690" s="64">
        <f t="shared" si="1422"/>
        <v>46169</v>
      </c>
      <c r="L690" s="52" t="s">
        <v>1024</v>
      </c>
      <c r="M690" s="64">
        <v>19000</v>
      </c>
      <c r="N690" s="64">
        <v>17000</v>
      </c>
      <c r="O690" s="65">
        <v>46153</v>
      </c>
      <c r="P690" s="64">
        <f t="shared" si="1423"/>
        <v>2000</v>
      </c>
      <c r="Q690" s="64" t="s">
        <v>33</v>
      </c>
      <c r="R690" s="64" t="s">
        <v>39</v>
      </c>
      <c r="S690" s="64">
        <v>21800</v>
      </c>
      <c r="T690" s="64" t="s">
        <v>2674</v>
      </c>
      <c r="U690" s="65">
        <v>46169</v>
      </c>
      <c r="V690" s="64" t="s">
        <v>28</v>
      </c>
      <c r="W690" s="64">
        <f t="shared" si="1424"/>
        <v>2800</v>
      </c>
      <c r="X690" s="64" t="s">
        <v>963</v>
      </c>
      <c r="Y690" s="64" t="s">
        <v>29</v>
      </c>
      <c r="Z690" s="71">
        <f t="shared" si="1425"/>
        <v>14.736842105263158</v>
      </c>
      <c r="AA690" s="93"/>
    </row>
    <row r="691" spans="1:27" hidden="1">
      <c r="A691" s="64">
        <f>SUBTOTAL(3,C$2:C691)</f>
        <v>467</v>
      </c>
      <c r="B691" s="64" t="s">
        <v>1086</v>
      </c>
      <c r="C691" s="64" t="s">
        <v>31</v>
      </c>
      <c r="D691" s="64" t="s">
        <v>32</v>
      </c>
      <c r="E691" s="64" t="s">
        <v>33</v>
      </c>
      <c r="F691" s="52" t="s">
        <v>201</v>
      </c>
      <c r="G691" s="91" t="s">
        <v>34</v>
      </c>
      <c r="H691" s="98" t="s">
        <v>1468</v>
      </c>
      <c r="I691" s="65">
        <v>46153</v>
      </c>
      <c r="J691" s="64">
        <f t="shared" ref="J691" ca="1" si="1426">+TODAY()-I691</f>
        <v>31</v>
      </c>
      <c r="K691" s="64" t="str">
        <f t="shared" ref="K691" si="1427">+U691</f>
        <v>Pending</v>
      </c>
      <c r="L691" s="52" t="s">
        <v>483</v>
      </c>
      <c r="M691" s="64">
        <v>23300</v>
      </c>
      <c r="N691" s="64">
        <v>21500</v>
      </c>
      <c r="O691" s="65">
        <v>46153</v>
      </c>
      <c r="P691" s="64">
        <f t="shared" ref="P691" si="1428">+M691-N691</f>
        <v>1800</v>
      </c>
      <c r="Q691" s="64" t="s">
        <v>33</v>
      </c>
      <c r="R691" s="64" t="s">
        <v>37</v>
      </c>
      <c r="S691" s="64">
        <v>26000</v>
      </c>
      <c r="T691" s="64" t="s">
        <v>33</v>
      </c>
      <c r="U691" s="65" t="s">
        <v>33</v>
      </c>
      <c r="V691" s="64" t="s">
        <v>28</v>
      </c>
      <c r="W691" s="64">
        <f t="shared" ref="W691" si="1429">+S691-M691</f>
        <v>2700</v>
      </c>
      <c r="X691" s="64" t="s">
        <v>963</v>
      </c>
      <c r="Y691" s="64" t="s">
        <v>29</v>
      </c>
      <c r="Z691" s="71">
        <f t="shared" ref="Z691" si="1430">+W691*100/M691</f>
        <v>11.587982832618026</v>
      </c>
      <c r="AA691" s="93"/>
    </row>
    <row r="692" spans="1:27" hidden="1">
      <c r="A692" s="64">
        <f>SUBTOTAL(3,C$2:C692)</f>
        <v>467</v>
      </c>
      <c r="B692" s="64" t="s">
        <v>1086</v>
      </c>
      <c r="C692" s="64" t="s">
        <v>31</v>
      </c>
      <c r="D692" s="64" t="s">
        <v>32</v>
      </c>
      <c r="E692" s="64" t="s">
        <v>33</v>
      </c>
      <c r="F692" s="52" t="s">
        <v>465</v>
      </c>
      <c r="G692" s="91" t="s">
        <v>34</v>
      </c>
      <c r="H692" s="98" t="s">
        <v>1473</v>
      </c>
      <c r="I692" s="65">
        <v>46153</v>
      </c>
      <c r="J692" s="64">
        <f t="shared" ref="J692:J695" ca="1" si="1431">+TODAY()-I692</f>
        <v>31</v>
      </c>
      <c r="K692" s="64">
        <f t="shared" ref="K692:K695" si="1432">+U692</f>
        <v>46169</v>
      </c>
      <c r="L692" s="52" t="s">
        <v>1411</v>
      </c>
      <c r="M692" s="64">
        <v>19000</v>
      </c>
      <c r="N692" s="64">
        <v>17000</v>
      </c>
      <c r="O692" s="65">
        <v>46153</v>
      </c>
      <c r="P692" s="64">
        <f t="shared" ref="P692:P695" si="1433">+M692-N692</f>
        <v>2000</v>
      </c>
      <c r="Q692" s="64" t="s">
        <v>33</v>
      </c>
      <c r="R692" s="64" t="s">
        <v>39</v>
      </c>
      <c r="S692" s="64">
        <v>21800</v>
      </c>
      <c r="T692" s="64" t="s">
        <v>2674</v>
      </c>
      <c r="U692" s="65">
        <v>46169</v>
      </c>
      <c r="V692" s="64" t="s">
        <v>28</v>
      </c>
      <c r="W692" s="64">
        <f t="shared" ref="W692:W695" si="1434">+S692-M692</f>
        <v>2800</v>
      </c>
      <c r="X692" s="64" t="s">
        <v>963</v>
      </c>
      <c r="Y692" s="64" t="s">
        <v>29</v>
      </c>
      <c r="Z692" s="71">
        <f t="shared" ref="Z692:Z695" si="1435">+W692*100/M692</f>
        <v>14.736842105263158</v>
      </c>
      <c r="AA692" s="93"/>
    </row>
    <row r="693" spans="1:27" hidden="1">
      <c r="A693" s="64">
        <f>SUBTOTAL(3,C$2:C693)</f>
        <v>467</v>
      </c>
      <c r="B693" s="64" t="s">
        <v>1086</v>
      </c>
      <c r="C693" s="64" t="s">
        <v>80</v>
      </c>
      <c r="D693" s="64" t="s">
        <v>32</v>
      </c>
      <c r="E693" s="64" t="s">
        <v>33</v>
      </c>
      <c r="F693" s="52" t="s">
        <v>1430</v>
      </c>
      <c r="G693" s="91" t="s">
        <v>1215</v>
      </c>
      <c r="H693" s="98" t="s">
        <v>1459</v>
      </c>
      <c r="I693" s="65">
        <v>46153</v>
      </c>
      <c r="J693" s="64">
        <f t="shared" ca="1" si="1431"/>
        <v>31</v>
      </c>
      <c r="K693" s="64" t="str">
        <f t="shared" si="1432"/>
        <v>Pending</v>
      </c>
      <c r="L693" s="52" t="s">
        <v>995</v>
      </c>
      <c r="M693" s="64">
        <v>28000</v>
      </c>
      <c r="N693" s="64">
        <v>26000</v>
      </c>
      <c r="O693" s="65">
        <v>46153</v>
      </c>
      <c r="P693" s="64">
        <f t="shared" si="1433"/>
        <v>2000</v>
      </c>
      <c r="Q693" s="64" t="s">
        <v>33</v>
      </c>
      <c r="R693" s="64" t="s">
        <v>39</v>
      </c>
      <c r="S693" s="64">
        <v>31000</v>
      </c>
      <c r="T693" s="64" t="s">
        <v>33</v>
      </c>
      <c r="U693" s="65" t="s">
        <v>33</v>
      </c>
      <c r="V693" s="64" t="s">
        <v>28</v>
      </c>
      <c r="W693" s="64">
        <f t="shared" si="1434"/>
        <v>3000</v>
      </c>
      <c r="X693" s="64" t="s">
        <v>36</v>
      </c>
      <c r="Y693" s="64" t="s">
        <v>29</v>
      </c>
      <c r="Z693" s="71">
        <f t="shared" si="1435"/>
        <v>10.714285714285714</v>
      </c>
      <c r="AA693" s="93"/>
    </row>
    <row r="694" spans="1:27" hidden="1">
      <c r="A694" s="64">
        <f>SUBTOTAL(3,C$2:C694)</f>
        <v>467</v>
      </c>
      <c r="B694" s="64" t="s">
        <v>1086</v>
      </c>
      <c r="C694" s="64" t="s">
        <v>216</v>
      </c>
      <c r="D694" s="64" t="s">
        <v>32</v>
      </c>
      <c r="E694" s="64" t="s">
        <v>33</v>
      </c>
      <c r="F694" s="52" t="s">
        <v>215</v>
      </c>
      <c r="G694" s="91" t="s">
        <v>67</v>
      </c>
      <c r="H694" s="98" t="s">
        <v>1475</v>
      </c>
      <c r="I694" s="65">
        <v>46153</v>
      </c>
      <c r="J694" s="64">
        <f t="shared" ca="1" si="1431"/>
        <v>31</v>
      </c>
      <c r="K694" s="64" t="str">
        <f t="shared" si="1432"/>
        <v>Pending</v>
      </c>
      <c r="L694" s="52" t="s">
        <v>217</v>
      </c>
      <c r="M694" s="64">
        <v>21500</v>
      </c>
      <c r="N694" s="64">
        <v>21500</v>
      </c>
      <c r="O694" s="65">
        <v>46153</v>
      </c>
      <c r="P694" s="64">
        <f t="shared" si="1433"/>
        <v>0</v>
      </c>
      <c r="Q694" s="64" t="s">
        <v>33</v>
      </c>
      <c r="R694" s="64" t="s">
        <v>78</v>
      </c>
      <c r="S694" s="64">
        <v>25500</v>
      </c>
      <c r="T694" s="64" t="s">
        <v>33</v>
      </c>
      <c r="U694" s="65" t="s">
        <v>33</v>
      </c>
      <c r="V694" s="64" t="s">
        <v>28</v>
      </c>
      <c r="W694" s="64">
        <f t="shared" si="1434"/>
        <v>4000</v>
      </c>
      <c r="X694" s="64" t="s">
        <v>36</v>
      </c>
      <c r="Y694" s="64" t="s">
        <v>29</v>
      </c>
      <c r="Z694" s="71">
        <f t="shared" si="1435"/>
        <v>18.604651162790699</v>
      </c>
      <c r="AA694" s="93"/>
    </row>
    <row r="695" spans="1:27" hidden="1">
      <c r="A695" s="64">
        <f>SUBTOTAL(3,C$2:C695)</f>
        <v>467</v>
      </c>
      <c r="B695" s="64" t="s">
        <v>1086</v>
      </c>
      <c r="C695" s="64" t="s">
        <v>328</v>
      </c>
      <c r="D695" s="64" t="s">
        <v>32</v>
      </c>
      <c r="E695" s="64" t="s">
        <v>33</v>
      </c>
      <c r="F695" s="52" t="s">
        <v>329</v>
      </c>
      <c r="G695" s="91" t="s">
        <v>50</v>
      </c>
      <c r="H695" s="70" t="s">
        <v>1476</v>
      </c>
      <c r="I695" s="65">
        <v>46153</v>
      </c>
      <c r="J695" s="64">
        <f t="shared" ca="1" si="1431"/>
        <v>31</v>
      </c>
      <c r="K695" s="64" t="str">
        <f t="shared" si="1432"/>
        <v>Pending</v>
      </c>
      <c r="L695" s="52" t="s">
        <v>239</v>
      </c>
      <c r="M695" s="64">
        <v>44000</v>
      </c>
      <c r="N695" s="64">
        <v>40000</v>
      </c>
      <c r="O695" s="65">
        <v>46153</v>
      </c>
      <c r="P695" s="64">
        <f t="shared" si="1433"/>
        <v>4000</v>
      </c>
      <c r="Q695" s="64" t="s">
        <v>33</v>
      </c>
      <c r="R695" s="64" t="s">
        <v>52</v>
      </c>
      <c r="S695" s="64">
        <v>48000</v>
      </c>
      <c r="T695" s="64" t="s">
        <v>33</v>
      </c>
      <c r="U695" s="65" t="s">
        <v>33</v>
      </c>
      <c r="V695" s="64" t="s">
        <v>28</v>
      </c>
      <c r="W695" s="64">
        <f t="shared" si="1434"/>
        <v>4000</v>
      </c>
      <c r="X695" s="64" t="s">
        <v>36</v>
      </c>
      <c r="Y695" s="64" t="s">
        <v>29</v>
      </c>
      <c r="Z695" s="71">
        <f t="shared" si="1435"/>
        <v>9.0909090909090917</v>
      </c>
      <c r="AA695" s="93"/>
    </row>
    <row r="696" spans="1:27" hidden="1">
      <c r="A696" s="64">
        <f>SUBTOTAL(3,C$2:C696)</f>
        <v>467</v>
      </c>
      <c r="B696" s="64" t="s">
        <v>1086</v>
      </c>
      <c r="C696" s="64" t="s">
        <v>31</v>
      </c>
      <c r="D696" s="64" t="s">
        <v>32</v>
      </c>
      <c r="E696" s="64" t="s">
        <v>33</v>
      </c>
      <c r="F696" s="52" t="s">
        <v>1483</v>
      </c>
      <c r="G696" s="91" t="s">
        <v>34</v>
      </c>
      <c r="H696" s="98" t="s">
        <v>1496</v>
      </c>
      <c r="I696" s="65">
        <v>46153</v>
      </c>
      <c r="J696" s="64">
        <f t="shared" ref="J696:J698" ca="1" si="1436">+TODAY()-I696</f>
        <v>31</v>
      </c>
      <c r="K696" s="64">
        <f t="shared" ref="K696:K698" si="1437">+U696</f>
        <v>46169</v>
      </c>
      <c r="L696" s="52" t="s">
        <v>783</v>
      </c>
      <c r="M696" s="64">
        <v>18000</v>
      </c>
      <c r="N696" s="64">
        <v>16000</v>
      </c>
      <c r="O696" s="65">
        <v>46154</v>
      </c>
      <c r="P696" s="64">
        <f t="shared" ref="P696:P698" si="1438">+M696-N696</f>
        <v>2000</v>
      </c>
      <c r="Q696" s="64" t="s">
        <v>33</v>
      </c>
      <c r="R696" s="64" t="s">
        <v>56</v>
      </c>
      <c r="S696" s="64">
        <v>20500</v>
      </c>
      <c r="T696" s="64" t="s">
        <v>2669</v>
      </c>
      <c r="U696" s="65">
        <v>46169</v>
      </c>
      <c r="V696" s="64" t="s">
        <v>28</v>
      </c>
      <c r="W696" s="64">
        <f t="shared" ref="W696:W698" si="1439">+S696-M696</f>
        <v>2500</v>
      </c>
      <c r="X696" s="64" t="s">
        <v>963</v>
      </c>
      <c r="Y696" s="64" t="s">
        <v>29</v>
      </c>
      <c r="Z696" s="71">
        <f t="shared" ref="Z696:Z698" si="1440">+W696*100/M696</f>
        <v>13.888888888888889</v>
      </c>
      <c r="AA696" s="93"/>
    </row>
    <row r="697" spans="1:27" hidden="1">
      <c r="A697" s="64">
        <f>SUBTOTAL(3,C$2:C697)</f>
        <v>467</v>
      </c>
      <c r="B697" s="64" t="s">
        <v>1086</v>
      </c>
      <c r="C697" s="64" t="s">
        <v>44</v>
      </c>
      <c r="D697" s="64" t="s">
        <v>32</v>
      </c>
      <c r="E697" s="64" t="s">
        <v>33</v>
      </c>
      <c r="F697" s="52" t="s">
        <v>414</v>
      </c>
      <c r="G697" s="91">
        <v>407</v>
      </c>
      <c r="H697" s="98" t="s">
        <v>1497</v>
      </c>
      <c r="I697" s="65">
        <v>46153</v>
      </c>
      <c r="J697" s="64">
        <f t="shared" ca="1" si="1436"/>
        <v>31</v>
      </c>
      <c r="K697" s="64">
        <f t="shared" si="1437"/>
        <v>46170</v>
      </c>
      <c r="L697" s="52" t="s">
        <v>1038</v>
      </c>
      <c r="M697" s="64">
        <v>27000</v>
      </c>
      <c r="N697" s="64">
        <v>25000</v>
      </c>
      <c r="O697" s="65">
        <v>46154</v>
      </c>
      <c r="P697" s="64">
        <f t="shared" si="1438"/>
        <v>2000</v>
      </c>
      <c r="Q697" s="64" t="s">
        <v>33</v>
      </c>
      <c r="R697" s="64" t="s">
        <v>56</v>
      </c>
      <c r="S697" s="64">
        <v>29800</v>
      </c>
      <c r="T697" s="64" t="s">
        <v>2693</v>
      </c>
      <c r="U697" s="65">
        <v>46170</v>
      </c>
      <c r="V697" s="64" t="s">
        <v>28</v>
      </c>
      <c r="W697" s="64">
        <f t="shared" si="1439"/>
        <v>2800</v>
      </c>
      <c r="X697" s="64" t="s">
        <v>36</v>
      </c>
      <c r="Y697" s="64" t="s">
        <v>29</v>
      </c>
      <c r="Z697" s="71">
        <f t="shared" si="1440"/>
        <v>10.37037037037037</v>
      </c>
      <c r="AA697" s="93"/>
    </row>
    <row r="698" spans="1:27" hidden="1">
      <c r="A698" s="64">
        <f>SUBTOTAL(3,C$2:C698)</f>
        <v>467</v>
      </c>
      <c r="B698" s="64" t="s">
        <v>1086</v>
      </c>
      <c r="C698" s="64" t="s">
        <v>227</v>
      </c>
      <c r="D698" s="64" t="s">
        <v>32</v>
      </c>
      <c r="E698" s="64" t="s">
        <v>33</v>
      </c>
      <c r="F698" s="52" t="s">
        <v>228</v>
      </c>
      <c r="G698" s="91" t="s">
        <v>34</v>
      </c>
      <c r="H698" s="70" t="s">
        <v>1498</v>
      </c>
      <c r="I698" s="65">
        <v>46153</v>
      </c>
      <c r="J698" s="64">
        <f t="shared" ca="1" si="1436"/>
        <v>31</v>
      </c>
      <c r="K698" s="64" t="str">
        <f t="shared" si="1437"/>
        <v>Pending</v>
      </c>
      <c r="L698" s="52" t="s">
        <v>1484</v>
      </c>
      <c r="M698" s="64">
        <v>17800</v>
      </c>
      <c r="N698" s="64">
        <v>15800</v>
      </c>
      <c r="O698" s="65">
        <v>46154</v>
      </c>
      <c r="P698" s="64">
        <f t="shared" si="1438"/>
        <v>2000</v>
      </c>
      <c r="Q698" s="64" t="s">
        <v>33</v>
      </c>
      <c r="R698" s="64" t="s">
        <v>112</v>
      </c>
      <c r="S698" s="64">
        <v>20050</v>
      </c>
      <c r="T698" s="64" t="s">
        <v>33</v>
      </c>
      <c r="U698" s="65" t="s">
        <v>33</v>
      </c>
      <c r="V698" s="64" t="s">
        <v>28</v>
      </c>
      <c r="W698" s="64">
        <f t="shared" si="1439"/>
        <v>2250</v>
      </c>
      <c r="X698" s="64" t="s">
        <v>36</v>
      </c>
      <c r="Y698" s="64" t="s">
        <v>29</v>
      </c>
      <c r="Z698" s="71">
        <f t="shared" si="1440"/>
        <v>12.640449438202246</v>
      </c>
      <c r="AA698" s="93"/>
    </row>
    <row r="699" spans="1:27" hidden="1">
      <c r="A699" s="64">
        <f>SUBTOTAL(3,C$2:C699)</f>
        <v>467</v>
      </c>
      <c r="B699" s="64" t="s">
        <v>1086</v>
      </c>
      <c r="C699" s="64" t="s">
        <v>31</v>
      </c>
      <c r="D699" s="64" t="s">
        <v>32</v>
      </c>
      <c r="E699" s="64" t="s">
        <v>33</v>
      </c>
      <c r="F699" s="52" t="s">
        <v>125</v>
      </c>
      <c r="G699" s="91" t="s">
        <v>34</v>
      </c>
      <c r="H699" s="98" t="s">
        <v>1499</v>
      </c>
      <c r="I699" s="65">
        <v>46153</v>
      </c>
      <c r="J699" s="64">
        <f t="shared" ref="J699:J704" ca="1" si="1441">+TODAY()-I699</f>
        <v>31</v>
      </c>
      <c r="K699" s="64">
        <f t="shared" ref="K699:K704" si="1442">+U699</f>
        <v>46169</v>
      </c>
      <c r="L699" s="52" t="s">
        <v>1411</v>
      </c>
      <c r="M699" s="64">
        <v>19000</v>
      </c>
      <c r="N699" s="64">
        <v>17000</v>
      </c>
      <c r="O699" s="65">
        <v>46154</v>
      </c>
      <c r="P699" s="64">
        <f t="shared" ref="P699:P704" si="1443">+M699-N699</f>
        <v>2000</v>
      </c>
      <c r="Q699" s="64" t="s">
        <v>33</v>
      </c>
      <c r="R699" s="64" t="s">
        <v>39</v>
      </c>
      <c r="S699" s="64">
        <v>21800</v>
      </c>
      <c r="T699" s="64" t="s">
        <v>2674</v>
      </c>
      <c r="U699" s="65">
        <v>46169</v>
      </c>
      <c r="V699" s="64" t="s">
        <v>28</v>
      </c>
      <c r="W699" s="64">
        <f t="shared" ref="W699:W704" si="1444">+S699-M699</f>
        <v>2800</v>
      </c>
      <c r="X699" s="64" t="s">
        <v>963</v>
      </c>
      <c r="Y699" s="64" t="s">
        <v>29</v>
      </c>
      <c r="Z699" s="71">
        <f t="shared" ref="Z699:Z704" si="1445">+W699*100/M699</f>
        <v>14.736842105263158</v>
      </c>
      <c r="AA699" s="93"/>
    </row>
    <row r="700" spans="1:27" hidden="1">
      <c r="A700" s="64">
        <f>SUBTOTAL(3,C$2:C700)</f>
        <v>467</v>
      </c>
      <c r="B700" s="64" t="s">
        <v>1086</v>
      </c>
      <c r="C700" s="64" t="s">
        <v>80</v>
      </c>
      <c r="D700" s="64" t="s">
        <v>32</v>
      </c>
      <c r="E700" s="64" t="s">
        <v>33</v>
      </c>
      <c r="F700" s="52" t="s">
        <v>1485</v>
      </c>
      <c r="G700" s="91" t="s">
        <v>1215</v>
      </c>
      <c r="H700" s="98" t="s">
        <v>1500</v>
      </c>
      <c r="I700" s="65">
        <v>46153</v>
      </c>
      <c r="J700" s="64">
        <f t="shared" ca="1" si="1441"/>
        <v>31</v>
      </c>
      <c r="K700" s="64" t="str">
        <f t="shared" si="1442"/>
        <v>Pending</v>
      </c>
      <c r="L700" s="52" t="s">
        <v>1486</v>
      </c>
      <c r="M700" s="64">
        <v>18000</v>
      </c>
      <c r="N700" s="64">
        <v>16000</v>
      </c>
      <c r="O700" s="65">
        <v>46154</v>
      </c>
      <c r="P700" s="64">
        <f t="shared" si="1443"/>
        <v>2000</v>
      </c>
      <c r="Q700" s="64" t="s">
        <v>33</v>
      </c>
      <c r="R700" s="64" t="s">
        <v>37</v>
      </c>
      <c r="S700" s="64">
        <v>21500</v>
      </c>
      <c r="T700" s="64" t="s">
        <v>33</v>
      </c>
      <c r="U700" s="65" t="s">
        <v>33</v>
      </c>
      <c r="V700" s="64" t="s">
        <v>28</v>
      </c>
      <c r="W700" s="64">
        <f t="shared" si="1444"/>
        <v>3500</v>
      </c>
      <c r="X700" s="64" t="s">
        <v>36</v>
      </c>
      <c r="Y700" s="64" t="s">
        <v>29</v>
      </c>
      <c r="Z700" s="71">
        <f t="shared" si="1445"/>
        <v>19.444444444444443</v>
      </c>
      <c r="AA700" s="93"/>
    </row>
    <row r="701" spans="1:27" hidden="1">
      <c r="A701" s="64">
        <f>SUBTOTAL(3,C$2:C701)</f>
        <v>467</v>
      </c>
      <c r="B701" s="64" t="s">
        <v>1086</v>
      </c>
      <c r="C701" s="64" t="s">
        <v>80</v>
      </c>
      <c r="D701" s="64" t="s">
        <v>32</v>
      </c>
      <c r="E701" s="64" t="s">
        <v>33</v>
      </c>
      <c r="F701" s="52" t="s">
        <v>1489</v>
      </c>
      <c r="G701" s="91" t="s">
        <v>1215</v>
      </c>
      <c r="H701" s="98" t="s">
        <v>1501</v>
      </c>
      <c r="I701" s="65">
        <v>46153</v>
      </c>
      <c r="J701" s="64">
        <f t="shared" ca="1" si="1441"/>
        <v>31</v>
      </c>
      <c r="K701" s="64">
        <f t="shared" si="1442"/>
        <v>46169</v>
      </c>
      <c r="L701" s="52" t="s">
        <v>995</v>
      </c>
      <c r="M701" s="64">
        <v>28000</v>
      </c>
      <c r="N701" s="64">
        <v>26000</v>
      </c>
      <c r="O701" s="65">
        <v>46154</v>
      </c>
      <c r="P701" s="64">
        <f t="shared" si="1443"/>
        <v>2000</v>
      </c>
      <c r="Q701" s="64" t="s">
        <v>33</v>
      </c>
      <c r="R701" s="64" t="s">
        <v>39</v>
      </c>
      <c r="S701" s="64">
        <v>31500</v>
      </c>
      <c r="T701" s="64" t="s">
        <v>2680</v>
      </c>
      <c r="U701" s="65">
        <v>46169</v>
      </c>
      <c r="V701" s="64" t="s">
        <v>28</v>
      </c>
      <c r="W701" s="64">
        <f t="shared" si="1444"/>
        <v>3500</v>
      </c>
      <c r="X701" s="64" t="s">
        <v>36</v>
      </c>
      <c r="Y701" s="64" t="s">
        <v>29</v>
      </c>
      <c r="Z701" s="71">
        <f t="shared" si="1445"/>
        <v>12.5</v>
      </c>
      <c r="AA701" s="93"/>
    </row>
    <row r="702" spans="1:27" hidden="1">
      <c r="A702" s="64">
        <f>SUBTOTAL(3,C$2:C702)</f>
        <v>467</v>
      </c>
      <c r="B702" s="64" t="s">
        <v>1086</v>
      </c>
      <c r="C702" s="64" t="s">
        <v>44</v>
      </c>
      <c r="D702" s="64" t="s">
        <v>32</v>
      </c>
      <c r="E702" s="64" t="s">
        <v>33</v>
      </c>
      <c r="F702" s="52" t="s">
        <v>1030</v>
      </c>
      <c r="G702" s="91">
        <v>407</v>
      </c>
      <c r="H702" s="98" t="s">
        <v>1502</v>
      </c>
      <c r="I702" s="65">
        <v>46153</v>
      </c>
      <c r="J702" s="64">
        <f t="shared" ca="1" si="1441"/>
        <v>31</v>
      </c>
      <c r="K702" s="64">
        <f t="shared" si="1442"/>
        <v>46169</v>
      </c>
      <c r="L702" s="52" t="s">
        <v>381</v>
      </c>
      <c r="M702" s="64">
        <v>28000</v>
      </c>
      <c r="N702" s="64">
        <v>25000</v>
      </c>
      <c r="O702" s="65">
        <v>46154</v>
      </c>
      <c r="P702" s="64">
        <f t="shared" si="1443"/>
        <v>3000</v>
      </c>
      <c r="Q702" s="64" t="s">
        <v>33</v>
      </c>
      <c r="R702" s="64" t="s">
        <v>56</v>
      </c>
      <c r="S702" s="64">
        <v>30800</v>
      </c>
      <c r="T702" s="64" t="s">
        <v>2695</v>
      </c>
      <c r="U702" s="65">
        <v>46169</v>
      </c>
      <c r="V702" s="64" t="s">
        <v>28</v>
      </c>
      <c r="W702" s="64">
        <f t="shared" si="1444"/>
        <v>2800</v>
      </c>
      <c r="X702" s="64" t="s">
        <v>36</v>
      </c>
      <c r="Y702" s="64" t="s">
        <v>29</v>
      </c>
      <c r="Z702" s="71">
        <f t="shared" si="1445"/>
        <v>10</v>
      </c>
      <c r="AA702" s="93"/>
    </row>
    <row r="703" spans="1:27" hidden="1">
      <c r="A703" s="64">
        <f>SUBTOTAL(3,C$2:C703)</f>
        <v>467</v>
      </c>
      <c r="B703" s="64" t="s">
        <v>1086</v>
      </c>
      <c r="C703" s="64" t="s">
        <v>1031</v>
      </c>
      <c r="D703" s="64" t="s">
        <v>32</v>
      </c>
      <c r="E703" s="64" t="s">
        <v>33</v>
      </c>
      <c r="F703" s="52" t="s">
        <v>1487</v>
      </c>
      <c r="G703" s="91" t="s">
        <v>34</v>
      </c>
      <c r="H703" s="98" t="s">
        <v>1503</v>
      </c>
      <c r="I703" s="65">
        <v>46153</v>
      </c>
      <c r="J703" s="64">
        <f t="shared" ca="1" si="1441"/>
        <v>31</v>
      </c>
      <c r="K703" s="64">
        <f t="shared" si="1442"/>
        <v>46169</v>
      </c>
      <c r="L703" s="52" t="s">
        <v>1024</v>
      </c>
      <c r="M703" s="64">
        <v>19000</v>
      </c>
      <c r="N703" s="64">
        <v>17000</v>
      </c>
      <c r="O703" s="65">
        <v>46154</v>
      </c>
      <c r="P703" s="64">
        <f t="shared" si="1443"/>
        <v>2000</v>
      </c>
      <c r="Q703" s="64" t="s">
        <v>33</v>
      </c>
      <c r="R703" s="64" t="s">
        <v>39</v>
      </c>
      <c r="S703" s="64">
        <v>21800</v>
      </c>
      <c r="T703" s="64" t="s">
        <v>2674</v>
      </c>
      <c r="U703" s="65">
        <v>46169</v>
      </c>
      <c r="V703" s="64" t="s">
        <v>28</v>
      </c>
      <c r="W703" s="64">
        <f t="shared" si="1444"/>
        <v>2800</v>
      </c>
      <c r="X703" s="64" t="s">
        <v>963</v>
      </c>
      <c r="Y703" s="64" t="s">
        <v>29</v>
      </c>
      <c r="Z703" s="71">
        <f t="shared" si="1445"/>
        <v>14.736842105263158</v>
      </c>
      <c r="AA703" s="93"/>
    </row>
    <row r="704" spans="1:27" hidden="1">
      <c r="A704" s="64">
        <f>SUBTOTAL(3,C$2:C704)</f>
        <v>467</v>
      </c>
      <c r="B704" s="64" t="s">
        <v>1086</v>
      </c>
      <c r="C704" s="64" t="s">
        <v>31</v>
      </c>
      <c r="D704" s="64" t="s">
        <v>32</v>
      </c>
      <c r="E704" s="64" t="s">
        <v>33</v>
      </c>
      <c r="F704" s="52" t="s">
        <v>202</v>
      </c>
      <c r="G704" s="91" t="s">
        <v>34</v>
      </c>
      <c r="H704" s="98" t="s">
        <v>1504</v>
      </c>
      <c r="I704" s="65">
        <v>46154</v>
      </c>
      <c r="J704" s="64">
        <f t="shared" ca="1" si="1441"/>
        <v>30</v>
      </c>
      <c r="K704" s="64" t="str">
        <f t="shared" si="1442"/>
        <v>Pending</v>
      </c>
      <c r="L704" s="52" t="s">
        <v>400</v>
      </c>
      <c r="M704" s="64">
        <v>23300</v>
      </c>
      <c r="N704" s="64">
        <v>21500</v>
      </c>
      <c r="O704" s="65">
        <v>46154</v>
      </c>
      <c r="P704" s="64">
        <f t="shared" si="1443"/>
        <v>1800</v>
      </c>
      <c r="Q704" s="64" t="s">
        <v>33</v>
      </c>
      <c r="R704" s="64" t="s">
        <v>37</v>
      </c>
      <c r="S704" s="64">
        <v>26000</v>
      </c>
      <c r="T704" s="64" t="s">
        <v>33</v>
      </c>
      <c r="U704" s="65" t="s">
        <v>33</v>
      </c>
      <c r="V704" s="64" t="s">
        <v>28</v>
      </c>
      <c r="W704" s="64">
        <f t="shared" si="1444"/>
        <v>2700</v>
      </c>
      <c r="X704" s="64" t="s">
        <v>963</v>
      </c>
      <c r="Y704" s="64" t="s">
        <v>29</v>
      </c>
      <c r="Z704" s="71">
        <f t="shared" si="1445"/>
        <v>11.587982832618026</v>
      </c>
      <c r="AA704" s="93"/>
    </row>
    <row r="705" spans="1:27" hidden="1">
      <c r="A705" s="64">
        <f>SUBTOTAL(3,C$2:C705)</f>
        <v>467</v>
      </c>
      <c r="B705" s="64" t="s">
        <v>1086</v>
      </c>
      <c r="C705" s="64" t="s">
        <v>31</v>
      </c>
      <c r="D705" s="64" t="s">
        <v>32</v>
      </c>
      <c r="E705" s="64" t="s">
        <v>33</v>
      </c>
      <c r="F705" s="52" t="s">
        <v>298</v>
      </c>
      <c r="G705" s="91" t="s">
        <v>34</v>
      </c>
      <c r="H705" s="98" t="s">
        <v>1505</v>
      </c>
      <c r="I705" s="65">
        <v>46154</v>
      </c>
      <c r="J705" s="64">
        <f t="shared" ref="J705:J706" ca="1" si="1446">+TODAY()-I705</f>
        <v>30</v>
      </c>
      <c r="K705" s="64">
        <f t="shared" ref="K705:K706" si="1447">+U705</f>
        <v>46169</v>
      </c>
      <c r="L705" s="52" t="s">
        <v>1411</v>
      </c>
      <c r="M705" s="64">
        <v>19000</v>
      </c>
      <c r="N705" s="64">
        <v>17000</v>
      </c>
      <c r="O705" s="65">
        <v>46154</v>
      </c>
      <c r="P705" s="64">
        <f t="shared" ref="P705:P706" si="1448">+M705-N705</f>
        <v>2000</v>
      </c>
      <c r="Q705" s="64" t="s">
        <v>33</v>
      </c>
      <c r="R705" s="64" t="s">
        <v>39</v>
      </c>
      <c r="S705" s="64">
        <v>21800</v>
      </c>
      <c r="T705" s="64" t="s">
        <v>2674</v>
      </c>
      <c r="U705" s="65">
        <v>46169</v>
      </c>
      <c r="V705" s="64" t="s">
        <v>28</v>
      </c>
      <c r="W705" s="64">
        <f t="shared" ref="W705:W706" si="1449">+S705-M705</f>
        <v>2800</v>
      </c>
      <c r="X705" s="64" t="s">
        <v>963</v>
      </c>
      <c r="Y705" s="64" t="s">
        <v>29</v>
      </c>
      <c r="Z705" s="71">
        <f t="shared" ref="Z705:Z706" si="1450">+W705*100/M705</f>
        <v>14.736842105263158</v>
      </c>
      <c r="AA705" s="93"/>
    </row>
    <row r="706" spans="1:27" hidden="1">
      <c r="A706" s="64">
        <f>SUBTOTAL(3,C$2:C706)</f>
        <v>467</v>
      </c>
      <c r="B706" s="64" t="s">
        <v>1086</v>
      </c>
      <c r="C706" s="64" t="s">
        <v>1031</v>
      </c>
      <c r="D706" s="64" t="s">
        <v>32</v>
      </c>
      <c r="E706" s="64" t="s">
        <v>33</v>
      </c>
      <c r="F706" s="52" t="s">
        <v>1044</v>
      </c>
      <c r="G706" s="91" t="s">
        <v>34</v>
      </c>
      <c r="H706" s="98" t="s">
        <v>1506</v>
      </c>
      <c r="I706" s="65">
        <v>46154</v>
      </c>
      <c r="J706" s="64">
        <f t="shared" ca="1" si="1446"/>
        <v>30</v>
      </c>
      <c r="K706" s="64">
        <f t="shared" si="1447"/>
        <v>46163</v>
      </c>
      <c r="L706" s="52" t="s">
        <v>1024</v>
      </c>
      <c r="M706" s="64">
        <v>19000</v>
      </c>
      <c r="N706" s="64">
        <v>17000</v>
      </c>
      <c r="O706" s="65">
        <v>46154</v>
      </c>
      <c r="P706" s="64">
        <f t="shared" si="1448"/>
        <v>2000</v>
      </c>
      <c r="Q706" s="64" t="s">
        <v>33</v>
      </c>
      <c r="R706" s="64" t="s">
        <v>39</v>
      </c>
      <c r="S706" s="64">
        <v>21800</v>
      </c>
      <c r="T706" s="64" t="s">
        <v>2189</v>
      </c>
      <c r="U706" s="65">
        <v>46163</v>
      </c>
      <c r="V706" s="64" t="s">
        <v>28</v>
      </c>
      <c r="W706" s="64">
        <f t="shared" si="1449"/>
        <v>2800</v>
      </c>
      <c r="X706" s="64" t="s">
        <v>963</v>
      </c>
      <c r="Y706" s="64" t="s">
        <v>29</v>
      </c>
      <c r="Z706" s="71">
        <f t="shared" si="1450"/>
        <v>14.736842105263158</v>
      </c>
      <c r="AA706" s="93"/>
    </row>
    <row r="707" spans="1:27" hidden="1">
      <c r="A707" s="64">
        <f>SUBTOTAL(3,C$2:C707)</f>
        <v>467</v>
      </c>
      <c r="B707" s="64" t="s">
        <v>1086</v>
      </c>
      <c r="C707" s="64" t="s">
        <v>31</v>
      </c>
      <c r="D707" s="64" t="s">
        <v>32</v>
      </c>
      <c r="E707" s="64" t="s">
        <v>33</v>
      </c>
      <c r="F707" s="52" t="s">
        <v>85</v>
      </c>
      <c r="G707" s="91" t="s">
        <v>34</v>
      </c>
      <c r="H707" s="70" t="s">
        <v>1507</v>
      </c>
      <c r="I707" s="65">
        <v>46153</v>
      </c>
      <c r="J707" s="64">
        <f t="shared" ref="J707:J709" ca="1" si="1451">+TODAY()-I707</f>
        <v>31</v>
      </c>
      <c r="K707" s="64" t="str">
        <f t="shared" ref="K707:K709" si="1452">+U707</f>
        <v>Pending</v>
      </c>
      <c r="L707" s="52" t="s">
        <v>783</v>
      </c>
      <c r="M707" s="64">
        <v>18000</v>
      </c>
      <c r="N707" s="64">
        <v>16000</v>
      </c>
      <c r="O707" s="65">
        <v>46154</v>
      </c>
      <c r="P707" s="64">
        <f t="shared" ref="P707:P709" si="1453">+M707-N707</f>
        <v>2000</v>
      </c>
      <c r="Q707" s="64" t="s">
        <v>33</v>
      </c>
      <c r="R707" s="64" t="s">
        <v>56</v>
      </c>
      <c r="S707" s="64">
        <v>20500</v>
      </c>
      <c r="T707" s="64" t="s">
        <v>33</v>
      </c>
      <c r="U707" s="65" t="s">
        <v>33</v>
      </c>
      <c r="V707" s="64" t="s">
        <v>28</v>
      </c>
      <c r="W707" s="64">
        <f t="shared" ref="W707:W709" si="1454">+S707-M707</f>
        <v>2500</v>
      </c>
      <c r="X707" s="64" t="s">
        <v>963</v>
      </c>
      <c r="Y707" s="64" t="s">
        <v>29</v>
      </c>
      <c r="Z707" s="71">
        <f t="shared" ref="Z707:Z709" si="1455">+W707*100/M707</f>
        <v>13.888888888888889</v>
      </c>
      <c r="AA707" s="93"/>
    </row>
    <row r="708" spans="1:27" hidden="1">
      <c r="A708" s="64">
        <f>SUBTOTAL(3,C$2:C708)</f>
        <v>467</v>
      </c>
      <c r="B708" s="64" t="s">
        <v>1086</v>
      </c>
      <c r="C708" s="64" t="s">
        <v>80</v>
      </c>
      <c r="D708" s="64" t="s">
        <v>32</v>
      </c>
      <c r="E708" s="64" t="s">
        <v>33</v>
      </c>
      <c r="F708" s="52" t="s">
        <v>1090</v>
      </c>
      <c r="G708" s="91" t="s">
        <v>1215</v>
      </c>
      <c r="H708" s="98" t="s">
        <v>1508</v>
      </c>
      <c r="I708" s="65">
        <v>46154</v>
      </c>
      <c r="J708" s="64">
        <f t="shared" ca="1" si="1451"/>
        <v>30</v>
      </c>
      <c r="K708" s="64" t="str">
        <f t="shared" si="1452"/>
        <v>Pending</v>
      </c>
      <c r="L708" s="52" t="s">
        <v>995</v>
      </c>
      <c r="M708" s="64">
        <v>28000</v>
      </c>
      <c r="N708" s="64">
        <v>26000</v>
      </c>
      <c r="O708" s="65">
        <v>46154</v>
      </c>
      <c r="P708" s="64">
        <f t="shared" si="1453"/>
        <v>2000</v>
      </c>
      <c r="Q708" s="64" t="s">
        <v>33</v>
      </c>
      <c r="R708" s="64" t="s">
        <v>39</v>
      </c>
      <c r="S708" s="64">
        <v>31000</v>
      </c>
      <c r="T708" s="64" t="s">
        <v>33</v>
      </c>
      <c r="U708" s="65" t="s">
        <v>33</v>
      </c>
      <c r="V708" s="64" t="s">
        <v>28</v>
      </c>
      <c r="W708" s="64">
        <f t="shared" si="1454"/>
        <v>3000</v>
      </c>
      <c r="X708" s="64" t="s">
        <v>36</v>
      </c>
      <c r="Y708" s="64" t="s">
        <v>29</v>
      </c>
      <c r="Z708" s="71">
        <f t="shared" si="1455"/>
        <v>10.714285714285714</v>
      </c>
      <c r="AA708" s="93"/>
    </row>
    <row r="709" spans="1:27" hidden="1">
      <c r="A709" s="64">
        <f>SUBTOTAL(3,C$2:C709)</f>
        <v>467</v>
      </c>
      <c r="B709" s="64" t="s">
        <v>1086</v>
      </c>
      <c r="C709" s="64" t="s">
        <v>44</v>
      </c>
      <c r="D709" s="64" t="s">
        <v>32</v>
      </c>
      <c r="E709" s="64" t="s">
        <v>33</v>
      </c>
      <c r="F709" s="52" t="s">
        <v>1488</v>
      </c>
      <c r="G709" s="91" t="s">
        <v>994</v>
      </c>
      <c r="H709" s="98" t="s">
        <v>1509</v>
      </c>
      <c r="I709" s="65">
        <v>46154</v>
      </c>
      <c r="J709" s="64">
        <f t="shared" ca="1" si="1451"/>
        <v>30</v>
      </c>
      <c r="K709" s="64" t="str">
        <f t="shared" si="1452"/>
        <v>Pending</v>
      </c>
      <c r="L709" s="52" t="s">
        <v>995</v>
      </c>
      <c r="M709" s="64">
        <v>39000</v>
      </c>
      <c r="N709" s="64">
        <v>36000</v>
      </c>
      <c r="O709" s="65">
        <v>46154</v>
      </c>
      <c r="P709" s="64">
        <f t="shared" si="1453"/>
        <v>3000</v>
      </c>
      <c r="Q709" s="64" t="s">
        <v>33</v>
      </c>
      <c r="R709" s="64" t="s">
        <v>2749</v>
      </c>
      <c r="S709" s="64">
        <v>46500</v>
      </c>
      <c r="T709" s="64" t="s">
        <v>33</v>
      </c>
      <c r="U709" s="65" t="s">
        <v>33</v>
      </c>
      <c r="V709" s="64" t="s">
        <v>28</v>
      </c>
      <c r="W709" s="64">
        <f t="shared" si="1454"/>
        <v>7500</v>
      </c>
      <c r="X709" s="64" t="s">
        <v>36</v>
      </c>
      <c r="Y709" s="64" t="s">
        <v>29</v>
      </c>
      <c r="Z709" s="71">
        <f t="shared" si="1455"/>
        <v>19.23076923076923</v>
      </c>
      <c r="AA709" s="93"/>
    </row>
    <row r="710" spans="1:27" hidden="1">
      <c r="A710" s="64">
        <f>SUBTOTAL(3,C$2:C710)</f>
        <v>467</v>
      </c>
      <c r="B710" s="64" t="s">
        <v>1086</v>
      </c>
      <c r="C710" s="64" t="s">
        <v>80</v>
      </c>
      <c r="D710" s="64" t="s">
        <v>32</v>
      </c>
      <c r="E710" s="64" t="s">
        <v>33</v>
      </c>
      <c r="F710" s="52" t="s">
        <v>1490</v>
      </c>
      <c r="G710" s="91" t="s">
        <v>1215</v>
      </c>
      <c r="H710" s="70" t="s">
        <v>1510</v>
      </c>
      <c r="I710" s="65">
        <v>46154</v>
      </c>
      <c r="J710" s="64">
        <f t="shared" ref="J710" ca="1" si="1456">+TODAY()-I710</f>
        <v>30</v>
      </c>
      <c r="K710" s="64" t="str">
        <f t="shared" ref="K710" si="1457">+U710</f>
        <v>Pending</v>
      </c>
      <c r="L710" s="52" t="s">
        <v>995</v>
      </c>
      <c r="M710" s="64">
        <v>28000</v>
      </c>
      <c r="N710" s="64">
        <v>26000</v>
      </c>
      <c r="O710" s="65">
        <v>46154</v>
      </c>
      <c r="P710" s="64">
        <f t="shared" ref="P710" si="1458">+M710-N710</f>
        <v>2000</v>
      </c>
      <c r="Q710" s="64" t="s">
        <v>33</v>
      </c>
      <c r="R710" s="64" t="s">
        <v>39</v>
      </c>
      <c r="S710" s="64">
        <v>31000</v>
      </c>
      <c r="T710" s="64" t="s">
        <v>33</v>
      </c>
      <c r="U710" s="65" t="s">
        <v>33</v>
      </c>
      <c r="V710" s="64" t="s">
        <v>28</v>
      </c>
      <c r="W710" s="64">
        <f t="shared" ref="W710" si="1459">+S710-M710</f>
        <v>3000</v>
      </c>
      <c r="X710" s="64" t="s">
        <v>36</v>
      </c>
      <c r="Y710" s="64" t="s">
        <v>29</v>
      </c>
      <c r="Z710" s="71">
        <f t="shared" ref="Z710" si="1460">+W710*100/M710</f>
        <v>10.714285714285714</v>
      </c>
      <c r="AA710" s="93"/>
    </row>
    <row r="711" spans="1:27" hidden="1">
      <c r="A711" s="64">
        <f>SUBTOTAL(3,C$2:C711)</f>
        <v>467</v>
      </c>
      <c r="B711" s="64" t="s">
        <v>1086</v>
      </c>
      <c r="C711" s="64" t="s">
        <v>80</v>
      </c>
      <c r="D711" s="64" t="s">
        <v>32</v>
      </c>
      <c r="E711" s="64" t="s">
        <v>33</v>
      </c>
      <c r="F711" s="52" t="s">
        <v>1491</v>
      </c>
      <c r="G711" s="91" t="s">
        <v>1215</v>
      </c>
      <c r="H711" s="70" t="s">
        <v>1511</v>
      </c>
      <c r="I711" s="65">
        <v>46154</v>
      </c>
      <c r="J711" s="64">
        <f t="shared" ref="J711:J714" ca="1" si="1461">+TODAY()-I711</f>
        <v>30</v>
      </c>
      <c r="K711" s="64" t="str">
        <f t="shared" ref="K711:K714" si="1462">+U711</f>
        <v>Pending</v>
      </c>
      <c r="L711" s="52" t="s">
        <v>995</v>
      </c>
      <c r="M711" s="64">
        <v>28000</v>
      </c>
      <c r="N711" s="64">
        <v>26000</v>
      </c>
      <c r="O711" s="65">
        <v>46154</v>
      </c>
      <c r="P711" s="64">
        <f t="shared" ref="P711:P714" si="1463">+M711-N711</f>
        <v>2000</v>
      </c>
      <c r="Q711" s="64" t="s">
        <v>33</v>
      </c>
      <c r="R711" s="64" t="s">
        <v>39</v>
      </c>
      <c r="S711" s="64">
        <v>31000</v>
      </c>
      <c r="T711" s="64" t="s">
        <v>33</v>
      </c>
      <c r="U711" s="65" t="s">
        <v>33</v>
      </c>
      <c r="V711" s="64" t="s">
        <v>28</v>
      </c>
      <c r="W711" s="64">
        <f t="shared" ref="W711:W714" si="1464">+S711-M711</f>
        <v>3000</v>
      </c>
      <c r="X711" s="64" t="s">
        <v>36</v>
      </c>
      <c r="Y711" s="64" t="s">
        <v>29</v>
      </c>
      <c r="Z711" s="71">
        <f t="shared" ref="Z711:Z714" si="1465">+W711*100/M711</f>
        <v>10.714285714285714</v>
      </c>
      <c r="AA711" s="93"/>
    </row>
    <row r="712" spans="1:27" hidden="1">
      <c r="A712" s="64">
        <f>SUBTOTAL(3,C$2:C712)</f>
        <v>467</v>
      </c>
      <c r="B712" s="64" t="s">
        <v>1086</v>
      </c>
      <c r="C712" s="64" t="s">
        <v>1031</v>
      </c>
      <c r="D712" s="64" t="s">
        <v>32</v>
      </c>
      <c r="E712" s="64" t="s">
        <v>33</v>
      </c>
      <c r="F712" s="52" t="s">
        <v>325</v>
      </c>
      <c r="G712" s="91" t="s">
        <v>34</v>
      </c>
      <c r="H712" s="98" t="s">
        <v>1528</v>
      </c>
      <c r="I712" s="65">
        <v>46154</v>
      </c>
      <c r="J712" s="64">
        <f t="shared" ca="1" si="1461"/>
        <v>30</v>
      </c>
      <c r="K712" s="64" t="str">
        <f t="shared" si="1462"/>
        <v>Pending</v>
      </c>
      <c r="L712" s="52" t="s">
        <v>483</v>
      </c>
      <c r="M712" s="64">
        <v>23300</v>
      </c>
      <c r="N712" s="64">
        <v>21500</v>
      </c>
      <c r="O712" s="65">
        <v>45790</v>
      </c>
      <c r="P712" s="64">
        <f t="shared" si="1463"/>
        <v>1800</v>
      </c>
      <c r="Q712" s="64" t="s">
        <v>33</v>
      </c>
      <c r="R712" s="64" t="s">
        <v>37</v>
      </c>
      <c r="S712" s="64">
        <v>26000</v>
      </c>
      <c r="T712" s="64" t="s">
        <v>33</v>
      </c>
      <c r="U712" s="65" t="s">
        <v>33</v>
      </c>
      <c r="V712" s="64" t="s">
        <v>28</v>
      </c>
      <c r="W712" s="64">
        <f t="shared" si="1464"/>
        <v>2700</v>
      </c>
      <c r="X712" s="64" t="s">
        <v>963</v>
      </c>
      <c r="Y712" s="64" t="s">
        <v>29</v>
      </c>
      <c r="Z712" s="71">
        <f t="shared" si="1465"/>
        <v>11.587982832618026</v>
      </c>
      <c r="AA712" s="93"/>
    </row>
    <row r="713" spans="1:27" hidden="1">
      <c r="A713" s="64">
        <f>SUBTOTAL(3,C$2:C713)</f>
        <v>467</v>
      </c>
      <c r="B713" s="64" t="s">
        <v>1086</v>
      </c>
      <c r="C713" s="64" t="s">
        <v>31</v>
      </c>
      <c r="D713" s="64" t="s">
        <v>32</v>
      </c>
      <c r="E713" s="64" t="s">
        <v>33</v>
      </c>
      <c r="F713" s="52" t="s">
        <v>199</v>
      </c>
      <c r="G713" s="91" t="s">
        <v>34</v>
      </c>
      <c r="H713" s="98" t="s">
        <v>1529</v>
      </c>
      <c r="I713" s="65">
        <v>46154</v>
      </c>
      <c r="J713" s="64">
        <f t="shared" ca="1" si="1461"/>
        <v>30</v>
      </c>
      <c r="K713" s="64">
        <f t="shared" si="1462"/>
        <v>46169</v>
      </c>
      <c r="L713" s="52" t="s">
        <v>1411</v>
      </c>
      <c r="M713" s="64">
        <v>19000</v>
      </c>
      <c r="N713" s="64">
        <v>17000</v>
      </c>
      <c r="O713" s="65">
        <v>45790</v>
      </c>
      <c r="P713" s="64">
        <f t="shared" si="1463"/>
        <v>2000</v>
      </c>
      <c r="Q713" s="64" t="s">
        <v>33</v>
      </c>
      <c r="R713" s="64" t="s">
        <v>39</v>
      </c>
      <c r="S713" s="64">
        <v>21800</v>
      </c>
      <c r="T713" s="64" t="s">
        <v>2674</v>
      </c>
      <c r="U713" s="65">
        <v>46169</v>
      </c>
      <c r="V713" s="64" t="s">
        <v>28</v>
      </c>
      <c r="W713" s="64">
        <f t="shared" si="1464"/>
        <v>2800</v>
      </c>
      <c r="X713" s="64" t="s">
        <v>963</v>
      </c>
      <c r="Y713" s="64" t="s">
        <v>29</v>
      </c>
      <c r="Z713" s="71">
        <f t="shared" si="1465"/>
        <v>14.736842105263158</v>
      </c>
      <c r="AA713" s="93"/>
    </row>
    <row r="714" spans="1:27" hidden="1">
      <c r="A714" s="64">
        <f>SUBTOTAL(3,C$2:C714)</f>
        <v>467</v>
      </c>
      <c r="B714" s="64" t="s">
        <v>1086</v>
      </c>
      <c r="C714" s="64" t="s">
        <v>31</v>
      </c>
      <c r="D714" s="64" t="s">
        <v>32</v>
      </c>
      <c r="E714" s="64" t="s">
        <v>33</v>
      </c>
      <c r="F714" s="52" t="s">
        <v>1512</v>
      </c>
      <c r="G714" s="91" t="s">
        <v>34</v>
      </c>
      <c r="H714" s="70" t="s">
        <v>1530</v>
      </c>
      <c r="I714" s="65">
        <v>46154</v>
      </c>
      <c r="J714" s="64">
        <f t="shared" ca="1" si="1461"/>
        <v>30</v>
      </c>
      <c r="K714" s="64" t="str">
        <f t="shared" si="1462"/>
        <v>Pending</v>
      </c>
      <c r="L714" s="52" t="s">
        <v>111</v>
      </c>
      <c r="M714" s="64">
        <v>11700</v>
      </c>
      <c r="N714" s="64">
        <v>10700</v>
      </c>
      <c r="O714" s="65">
        <v>45790</v>
      </c>
      <c r="P714" s="64">
        <f t="shared" si="1463"/>
        <v>1000</v>
      </c>
      <c r="Q714" s="64" t="s">
        <v>33</v>
      </c>
      <c r="R714" s="64" t="s">
        <v>112</v>
      </c>
      <c r="S714" s="64">
        <v>13500</v>
      </c>
      <c r="T714" s="64" t="s">
        <v>33</v>
      </c>
      <c r="U714" s="65" t="s">
        <v>33</v>
      </c>
      <c r="V714" s="64" t="s">
        <v>28</v>
      </c>
      <c r="W714" s="64">
        <f t="shared" si="1464"/>
        <v>1800</v>
      </c>
      <c r="X714" s="64" t="s">
        <v>963</v>
      </c>
      <c r="Y714" s="64" t="s">
        <v>29</v>
      </c>
      <c r="Z714" s="71">
        <f t="shared" si="1465"/>
        <v>15.384615384615385</v>
      </c>
      <c r="AA714" s="93"/>
    </row>
    <row r="715" spans="1:27" hidden="1">
      <c r="A715" s="64">
        <f>SUBTOTAL(3,C$2:C715)</f>
        <v>467</v>
      </c>
      <c r="B715" s="64" t="s">
        <v>1086</v>
      </c>
      <c r="C715" s="64" t="s">
        <v>1031</v>
      </c>
      <c r="D715" s="64" t="s">
        <v>32</v>
      </c>
      <c r="E715" s="64" t="s">
        <v>33</v>
      </c>
      <c r="F715" s="52" t="s">
        <v>1513</v>
      </c>
      <c r="G715" s="91" t="s">
        <v>34</v>
      </c>
      <c r="H715" s="70" t="s">
        <v>1531</v>
      </c>
      <c r="I715" s="65">
        <v>46154</v>
      </c>
      <c r="J715" s="64">
        <f t="shared" ref="J715:J720" ca="1" si="1466">+TODAY()-I715</f>
        <v>30</v>
      </c>
      <c r="K715" s="64" t="str">
        <f t="shared" ref="K715:K720" si="1467">+U715</f>
        <v>Pending</v>
      </c>
      <c r="L715" s="52" t="s">
        <v>1034</v>
      </c>
      <c r="M715" s="64">
        <v>18300</v>
      </c>
      <c r="N715" s="64">
        <v>16500</v>
      </c>
      <c r="O715" s="65">
        <v>45790</v>
      </c>
      <c r="P715" s="64">
        <f t="shared" ref="P715:P720" si="1468">+M715-N715</f>
        <v>1800</v>
      </c>
      <c r="Q715" s="64" t="s">
        <v>33</v>
      </c>
      <c r="R715" s="64" t="s">
        <v>37</v>
      </c>
      <c r="S715" s="64">
        <v>21500</v>
      </c>
      <c r="T715" s="64" t="s">
        <v>33</v>
      </c>
      <c r="U715" s="65" t="s">
        <v>33</v>
      </c>
      <c r="V715" s="64" t="s">
        <v>28</v>
      </c>
      <c r="W715" s="64">
        <f t="shared" ref="W715:W720" si="1469">+S715-M715</f>
        <v>3200</v>
      </c>
      <c r="X715" s="64" t="s">
        <v>963</v>
      </c>
      <c r="Y715" s="64" t="s">
        <v>29</v>
      </c>
      <c r="Z715" s="71">
        <f t="shared" ref="Z715:Z720" si="1470">+W715*100/M715</f>
        <v>17.486338797814209</v>
      </c>
      <c r="AA715" s="93"/>
    </row>
    <row r="716" spans="1:27" hidden="1">
      <c r="A716" s="64">
        <f>SUBTOTAL(3,C$2:C716)</f>
        <v>467</v>
      </c>
      <c r="B716" s="64" t="s">
        <v>1086</v>
      </c>
      <c r="C716" s="64" t="s">
        <v>44</v>
      </c>
      <c r="D716" s="64" t="s">
        <v>32</v>
      </c>
      <c r="E716" s="64" t="s">
        <v>33</v>
      </c>
      <c r="F716" s="52" t="s">
        <v>203</v>
      </c>
      <c r="G716" s="91" t="s">
        <v>46</v>
      </c>
      <c r="H716" s="70" t="s">
        <v>1532</v>
      </c>
      <c r="I716" s="65">
        <v>46153</v>
      </c>
      <c r="J716" s="64">
        <f t="shared" ca="1" si="1466"/>
        <v>31</v>
      </c>
      <c r="K716" s="64" t="str">
        <f t="shared" si="1467"/>
        <v>Pending</v>
      </c>
      <c r="L716" s="52" t="s">
        <v>1514</v>
      </c>
      <c r="M716" s="64">
        <v>14500</v>
      </c>
      <c r="N716" s="64">
        <v>13000</v>
      </c>
      <c r="O716" s="65">
        <v>45790</v>
      </c>
      <c r="P716" s="64">
        <f t="shared" si="1468"/>
        <v>1500</v>
      </c>
      <c r="Q716" s="64" t="s">
        <v>33</v>
      </c>
      <c r="R716" s="64" t="s">
        <v>56</v>
      </c>
      <c r="S716" s="64">
        <v>17500</v>
      </c>
      <c r="T716" s="64" t="s">
        <v>33</v>
      </c>
      <c r="U716" s="65" t="s">
        <v>33</v>
      </c>
      <c r="V716" s="64" t="s">
        <v>28</v>
      </c>
      <c r="W716" s="64">
        <f t="shared" si="1469"/>
        <v>3000</v>
      </c>
      <c r="X716" s="64" t="s">
        <v>36</v>
      </c>
      <c r="Y716" s="64" t="s">
        <v>29</v>
      </c>
      <c r="Z716" s="71">
        <f t="shared" si="1470"/>
        <v>20.689655172413794</v>
      </c>
      <c r="AA716" s="93"/>
    </row>
    <row r="717" spans="1:27" hidden="1">
      <c r="A717" s="64">
        <f>SUBTOTAL(3,C$2:C717)</f>
        <v>467</v>
      </c>
      <c r="B717" s="64" t="s">
        <v>1086</v>
      </c>
      <c r="C717" s="64" t="s">
        <v>31</v>
      </c>
      <c r="D717" s="64" t="s">
        <v>32</v>
      </c>
      <c r="E717" s="64" t="s">
        <v>33</v>
      </c>
      <c r="F717" s="52" t="s">
        <v>161</v>
      </c>
      <c r="G717" s="91" t="s">
        <v>34</v>
      </c>
      <c r="H717" s="98" t="s">
        <v>1533</v>
      </c>
      <c r="I717" s="65">
        <v>46154</v>
      </c>
      <c r="J717" s="64">
        <f t="shared" ca="1" si="1466"/>
        <v>30</v>
      </c>
      <c r="K717" s="64">
        <f t="shared" si="1467"/>
        <v>46169</v>
      </c>
      <c r="L717" s="52" t="s">
        <v>1411</v>
      </c>
      <c r="M717" s="64">
        <v>19000</v>
      </c>
      <c r="N717" s="64">
        <v>17000</v>
      </c>
      <c r="O717" s="65">
        <v>45790</v>
      </c>
      <c r="P717" s="64">
        <f t="shared" si="1468"/>
        <v>2000</v>
      </c>
      <c r="Q717" s="64" t="s">
        <v>33</v>
      </c>
      <c r="R717" s="64" t="s">
        <v>39</v>
      </c>
      <c r="S717" s="64">
        <v>21800</v>
      </c>
      <c r="T717" s="64" t="s">
        <v>2672</v>
      </c>
      <c r="U717" s="65">
        <v>46169</v>
      </c>
      <c r="V717" s="64" t="s">
        <v>28</v>
      </c>
      <c r="W717" s="64">
        <f t="shared" si="1469"/>
        <v>2800</v>
      </c>
      <c r="X717" s="64" t="s">
        <v>963</v>
      </c>
      <c r="Y717" s="64" t="s">
        <v>29</v>
      </c>
      <c r="Z717" s="71">
        <f t="shared" si="1470"/>
        <v>14.736842105263158</v>
      </c>
      <c r="AA717" s="93"/>
    </row>
    <row r="718" spans="1:27" hidden="1">
      <c r="A718" s="64">
        <f>SUBTOTAL(3,C$2:C718)</f>
        <v>467</v>
      </c>
      <c r="B718" s="64" t="s">
        <v>1086</v>
      </c>
      <c r="C718" s="64" t="s">
        <v>80</v>
      </c>
      <c r="D718" s="64" t="s">
        <v>32</v>
      </c>
      <c r="E718" s="64" t="s">
        <v>33</v>
      </c>
      <c r="F718" s="52" t="s">
        <v>1522</v>
      </c>
      <c r="G718" s="91" t="s">
        <v>1215</v>
      </c>
      <c r="H718" s="98" t="s">
        <v>1534</v>
      </c>
      <c r="I718" s="65">
        <v>46154</v>
      </c>
      <c r="J718" s="64">
        <f t="shared" ca="1" si="1466"/>
        <v>30</v>
      </c>
      <c r="K718" s="64">
        <f t="shared" si="1467"/>
        <v>46169</v>
      </c>
      <c r="L718" s="52" t="s">
        <v>995</v>
      </c>
      <c r="M718" s="64">
        <v>28000</v>
      </c>
      <c r="N718" s="64">
        <v>26000</v>
      </c>
      <c r="O718" s="65">
        <v>45790</v>
      </c>
      <c r="P718" s="64">
        <f t="shared" si="1468"/>
        <v>2000</v>
      </c>
      <c r="Q718" s="64" t="s">
        <v>33</v>
      </c>
      <c r="R718" s="64" t="s">
        <v>39</v>
      </c>
      <c r="S718" s="64">
        <v>31500</v>
      </c>
      <c r="T718" s="64" t="s">
        <v>2689</v>
      </c>
      <c r="U718" s="65">
        <v>46169</v>
      </c>
      <c r="V718" s="64" t="s">
        <v>28</v>
      </c>
      <c r="W718" s="64">
        <f t="shared" si="1469"/>
        <v>3500</v>
      </c>
      <c r="X718" s="64" t="s">
        <v>36</v>
      </c>
      <c r="Y718" s="64" t="s">
        <v>29</v>
      </c>
      <c r="Z718" s="71">
        <f t="shared" si="1470"/>
        <v>12.5</v>
      </c>
      <c r="AA718" s="93"/>
    </row>
    <row r="719" spans="1:27" hidden="1">
      <c r="A719" s="64">
        <f>SUBTOTAL(3,C$2:C719)</f>
        <v>467</v>
      </c>
      <c r="B719" s="64" t="s">
        <v>1086</v>
      </c>
      <c r="C719" s="64" t="s">
        <v>80</v>
      </c>
      <c r="D719" s="64" t="s">
        <v>32</v>
      </c>
      <c r="E719" s="64" t="s">
        <v>33</v>
      </c>
      <c r="F719" s="52" t="s">
        <v>81</v>
      </c>
      <c r="G719" s="91" t="s">
        <v>59</v>
      </c>
      <c r="H719" s="98" t="s">
        <v>1535</v>
      </c>
      <c r="I719" s="65">
        <v>46154</v>
      </c>
      <c r="J719" s="64">
        <f t="shared" ca="1" si="1466"/>
        <v>30</v>
      </c>
      <c r="K719" s="64">
        <f t="shared" si="1467"/>
        <v>46169</v>
      </c>
      <c r="L719" s="52" t="s">
        <v>1024</v>
      </c>
      <c r="M719" s="64">
        <v>35000</v>
      </c>
      <c r="N719" s="64">
        <v>32000</v>
      </c>
      <c r="O719" s="65">
        <v>45790</v>
      </c>
      <c r="P719" s="64">
        <f t="shared" si="1468"/>
        <v>3000</v>
      </c>
      <c r="Q719" s="64" t="s">
        <v>33</v>
      </c>
      <c r="R719" s="64" t="s">
        <v>39</v>
      </c>
      <c r="S719" s="64">
        <v>38500</v>
      </c>
      <c r="T719" s="64" t="s">
        <v>2688</v>
      </c>
      <c r="U719" s="65">
        <v>46169</v>
      </c>
      <c r="V719" s="64" t="s">
        <v>28</v>
      </c>
      <c r="W719" s="64">
        <f t="shared" si="1469"/>
        <v>3500</v>
      </c>
      <c r="X719" s="64" t="s">
        <v>36</v>
      </c>
      <c r="Y719" s="64" t="s">
        <v>29</v>
      </c>
      <c r="Z719" s="71">
        <f t="shared" si="1470"/>
        <v>10</v>
      </c>
      <c r="AA719" s="93"/>
    </row>
    <row r="720" spans="1:27" hidden="1">
      <c r="A720" s="64">
        <f>SUBTOTAL(3,C$2:C720)</f>
        <v>467</v>
      </c>
      <c r="B720" s="64" t="s">
        <v>1086</v>
      </c>
      <c r="C720" s="64" t="s">
        <v>1031</v>
      </c>
      <c r="D720" s="64" t="s">
        <v>32</v>
      </c>
      <c r="E720" s="64" t="s">
        <v>33</v>
      </c>
      <c r="F720" s="52" t="s">
        <v>785</v>
      </c>
      <c r="G720" s="91" t="s">
        <v>34</v>
      </c>
      <c r="H720" s="98" t="s">
        <v>1536</v>
      </c>
      <c r="I720" s="65">
        <v>46154</v>
      </c>
      <c r="J720" s="64">
        <f t="shared" ca="1" si="1466"/>
        <v>30</v>
      </c>
      <c r="K720" s="64">
        <f t="shared" si="1467"/>
        <v>46170</v>
      </c>
      <c r="L720" s="52" t="s">
        <v>783</v>
      </c>
      <c r="M720" s="64">
        <v>18000</v>
      </c>
      <c r="N720" s="64">
        <v>16000</v>
      </c>
      <c r="O720" s="65">
        <v>45790</v>
      </c>
      <c r="P720" s="64">
        <f t="shared" si="1468"/>
        <v>2000</v>
      </c>
      <c r="Q720" s="64" t="s">
        <v>33</v>
      </c>
      <c r="R720" s="64" t="s">
        <v>56</v>
      </c>
      <c r="S720" s="64">
        <v>20500</v>
      </c>
      <c r="T720" s="64" t="s">
        <v>2696</v>
      </c>
      <c r="U720" s="65">
        <v>46170</v>
      </c>
      <c r="V720" s="64" t="s">
        <v>28</v>
      </c>
      <c r="W720" s="64">
        <f t="shared" si="1469"/>
        <v>2500</v>
      </c>
      <c r="X720" s="64" t="s">
        <v>963</v>
      </c>
      <c r="Y720" s="64" t="s">
        <v>29</v>
      </c>
      <c r="Z720" s="71">
        <f t="shared" si="1470"/>
        <v>13.888888888888889</v>
      </c>
      <c r="AA720" s="93"/>
    </row>
    <row r="721" spans="1:27" hidden="1">
      <c r="A721" s="64">
        <f>SUBTOTAL(3,C$2:C721)</f>
        <v>467</v>
      </c>
      <c r="B721" s="64" t="s">
        <v>1086</v>
      </c>
      <c r="C721" s="64" t="s">
        <v>1031</v>
      </c>
      <c r="D721" s="64" t="s">
        <v>32</v>
      </c>
      <c r="E721" s="64" t="s">
        <v>33</v>
      </c>
      <c r="F721" s="52" t="s">
        <v>1284</v>
      </c>
      <c r="G721" s="91" t="s">
        <v>34</v>
      </c>
      <c r="H721" s="98" t="s">
        <v>1537</v>
      </c>
      <c r="I721" s="65">
        <v>46154</v>
      </c>
      <c r="J721" s="64">
        <f t="shared" ref="J721" ca="1" si="1471">+TODAY()-I721</f>
        <v>30</v>
      </c>
      <c r="K721" s="64">
        <f t="shared" ref="K721" si="1472">+U721</f>
        <v>46169</v>
      </c>
      <c r="L721" s="52" t="s">
        <v>1024</v>
      </c>
      <c r="M721" s="64">
        <v>19000</v>
      </c>
      <c r="N721" s="64">
        <v>17000</v>
      </c>
      <c r="O721" s="65">
        <v>45790</v>
      </c>
      <c r="P721" s="64">
        <f t="shared" ref="P721" si="1473">+M721-N721</f>
        <v>2000</v>
      </c>
      <c r="Q721" s="64" t="s">
        <v>33</v>
      </c>
      <c r="R721" s="64" t="s">
        <v>39</v>
      </c>
      <c r="S721" s="64">
        <v>21800</v>
      </c>
      <c r="T721" s="64" t="s">
        <v>2672</v>
      </c>
      <c r="U721" s="65">
        <v>46169</v>
      </c>
      <c r="V721" s="64" t="s">
        <v>28</v>
      </c>
      <c r="W721" s="64">
        <f t="shared" ref="W721" si="1474">+S721-M721</f>
        <v>2800</v>
      </c>
      <c r="X721" s="64" t="s">
        <v>963</v>
      </c>
      <c r="Y721" s="64" t="s">
        <v>29</v>
      </c>
      <c r="Z721" s="71">
        <f t="shared" ref="Z721" si="1475">+W721*100/M721</f>
        <v>14.736842105263158</v>
      </c>
      <c r="AA721" s="93"/>
    </row>
    <row r="722" spans="1:27" hidden="1">
      <c r="A722" s="64">
        <f>SUBTOTAL(3,C$2:C722)</f>
        <v>467</v>
      </c>
      <c r="B722" s="64" t="s">
        <v>1086</v>
      </c>
      <c r="C722" s="64" t="s">
        <v>1031</v>
      </c>
      <c r="D722" s="64" t="s">
        <v>32</v>
      </c>
      <c r="E722" s="64" t="s">
        <v>33</v>
      </c>
      <c r="F722" s="52" t="s">
        <v>1279</v>
      </c>
      <c r="G722" s="91" t="s">
        <v>34</v>
      </c>
      <c r="H722" s="98" t="s">
        <v>1538</v>
      </c>
      <c r="I722" s="65">
        <v>46154</v>
      </c>
      <c r="J722" s="64">
        <f t="shared" ref="J722:J725" ca="1" si="1476">+TODAY()-I722</f>
        <v>30</v>
      </c>
      <c r="K722" s="64">
        <f t="shared" ref="K722:K725" si="1477">+U722</f>
        <v>46169</v>
      </c>
      <c r="L722" s="52" t="s">
        <v>1024</v>
      </c>
      <c r="M722" s="64">
        <v>19000</v>
      </c>
      <c r="N722" s="64">
        <v>17000</v>
      </c>
      <c r="O722" s="65">
        <v>45790</v>
      </c>
      <c r="P722" s="64">
        <f t="shared" ref="P722:P725" si="1478">+M722-N722</f>
        <v>2000</v>
      </c>
      <c r="Q722" s="64" t="s">
        <v>33</v>
      </c>
      <c r="R722" s="64" t="s">
        <v>39</v>
      </c>
      <c r="S722" s="64">
        <v>21800</v>
      </c>
      <c r="T722" s="64" t="s">
        <v>2674</v>
      </c>
      <c r="U722" s="65">
        <v>46169</v>
      </c>
      <c r="V722" s="64" t="s">
        <v>28</v>
      </c>
      <c r="W722" s="64">
        <f t="shared" ref="W722:W725" si="1479">+S722-M722</f>
        <v>2800</v>
      </c>
      <c r="X722" s="64" t="s">
        <v>963</v>
      </c>
      <c r="Y722" s="64" t="s">
        <v>29</v>
      </c>
      <c r="Z722" s="71">
        <f t="shared" ref="Z722:Z725" si="1480">+W722*100/M722</f>
        <v>14.736842105263158</v>
      </c>
      <c r="AA722" s="93"/>
    </row>
    <row r="723" spans="1:27" hidden="1">
      <c r="A723" s="64">
        <f>SUBTOTAL(3,C$2:C723)</f>
        <v>467</v>
      </c>
      <c r="B723" s="64" t="s">
        <v>1086</v>
      </c>
      <c r="C723" s="64" t="s">
        <v>31</v>
      </c>
      <c r="D723" s="64" t="s">
        <v>32</v>
      </c>
      <c r="E723" s="64" t="s">
        <v>33</v>
      </c>
      <c r="F723" s="52" t="s">
        <v>1515</v>
      </c>
      <c r="G723" s="91" t="s">
        <v>34</v>
      </c>
      <c r="H723" s="98" t="s">
        <v>1539</v>
      </c>
      <c r="I723" s="65">
        <v>46154</v>
      </c>
      <c r="J723" s="64">
        <f t="shared" ca="1" si="1476"/>
        <v>30</v>
      </c>
      <c r="K723" s="64" t="str">
        <f t="shared" si="1477"/>
        <v>Pending</v>
      </c>
      <c r="L723" s="52" t="s">
        <v>111</v>
      </c>
      <c r="M723" s="64">
        <v>18300</v>
      </c>
      <c r="N723" s="64">
        <v>16500</v>
      </c>
      <c r="O723" s="65">
        <v>45790</v>
      </c>
      <c r="P723" s="64">
        <f t="shared" si="1478"/>
        <v>1800</v>
      </c>
      <c r="Q723" s="64" t="s">
        <v>33</v>
      </c>
      <c r="R723" s="64" t="s">
        <v>37</v>
      </c>
      <c r="S723" s="64">
        <v>21500</v>
      </c>
      <c r="T723" s="64" t="s">
        <v>33</v>
      </c>
      <c r="U723" s="65" t="s">
        <v>33</v>
      </c>
      <c r="V723" s="64" t="s">
        <v>28</v>
      </c>
      <c r="W723" s="64">
        <f t="shared" si="1479"/>
        <v>3200</v>
      </c>
      <c r="X723" s="64" t="s">
        <v>963</v>
      </c>
      <c r="Y723" s="64" t="s">
        <v>29</v>
      </c>
      <c r="Z723" s="71">
        <f t="shared" si="1480"/>
        <v>17.486338797814209</v>
      </c>
      <c r="AA723" s="93"/>
    </row>
    <row r="724" spans="1:27" hidden="1">
      <c r="A724" s="64">
        <f>SUBTOTAL(3,C$2:C724)</f>
        <v>467</v>
      </c>
      <c r="B724" s="64" t="s">
        <v>1086</v>
      </c>
      <c r="C724" s="64" t="s">
        <v>80</v>
      </c>
      <c r="D724" s="64" t="s">
        <v>32</v>
      </c>
      <c r="E724" s="64" t="s">
        <v>33</v>
      </c>
      <c r="F724" s="52" t="s">
        <v>1211</v>
      </c>
      <c r="G724" s="91" t="s">
        <v>1215</v>
      </c>
      <c r="H724" s="98" t="s">
        <v>1540</v>
      </c>
      <c r="I724" s="65">
        <v>46155</v>
      </c>
      <c r="J724" s="64">
        <f t="shared" ca="1" si="1476"/>
        <v>29</v>
      </c>
      <c r="K724" s="64" t="str">
        <f t="shared" si="1477"/>
        <v>Pending</v>
      </c>
      <c r="L724" s="52" t="s">
        <v>995</v>
      </c>
      <c r="M724" s="64">
        <v>28000</v>
      </c>
      <c r="N724" s="64">
        <v>26000</v>
      </c>
      <c r="O724" s="65">
        <v>45790</v>
      </c>
      <c r="P724" s="64">
        <f t="shared" si="1478"/>
        <v>2000</v>
      </c>
      <c r="Q724" s="64" t="s">
        <v>33</v>
      </c>
      <c r="R724" s="64" t="s">
        <v>37</v>
      </c>
      <c r="S724" s="64">
        <v>31500</v>
      </c>
      <c r="T724" s="64" t="s">
        <v>33</v>
      </c>
      <c r="U724" s="65" t="s">
        <v>33</v>
      </c>
      <c r="V724" s="64" t="s">
        <v>28</v>
      </c>
      <c r="W724" s="64">
        <f t="shared" si="1479"/>
        <v>3500</v>
      </c>
      <c r="X724" s="64" t="s">
        <v>36</v>
      </c>
      <c r="Y724" s="64" t="s">
        <v>29</v>
      </c>
      <c r="Z724" s="71">
        <f t="shared" si="1480"/>
        <v>12.5</v>
      </c>
      <c r="AA724" s="93"/>
    </row>
    <row r="725" spans="1:27" hidden="1">
      <c r="A725" s="64">
        <f>SUBTOTAL(3,C$2:C725)</f>
        <v>467</v>
      </c>
      <c r="B725" s="64" t="s">
        <v>1086</v>
      </c>
      <c r="C725" s="64" t="s">
        <v>31</v>
      </c>
      <c r="D725" s="64" t="s">
        <v>32</v>
      </c>
      <c r="E725" s="64" t="s">
        <v>33</v>
      </c>
      <c r="F725" s="52" t="s">
        <v>1278</v>
      </c>
      <c r="G725" s="91" t="s">
        <v>34</v>
      </c>
      <c r="H725" s="98" t="s">
        <v>1541</v>
      </c>
      <c r="I725" s="65">
        <v>46155</v>
      </c>
      <c r="J725" s="64">
        <f t="shared" ca="1" si="1476"/>
        <v>29</v>
      </c>
      <c r="K725" s="64">
        <f t="shared" si="1477"/>
        <v>46169</v>
      </c>
      <c r="L725" s="52" t="s">
        <v>1411</v>
      </c>
      <c r="M725" s="64">
        <v>19000</v>
      </c>
      <c r="N725" s="64">
        <v>17000</v>
      </c>
      <c r="O725" s="65">
        <v>45790</v>
      </c>
      <c r="P725" s="64">
        <f t="shared" si="1478"/>
        <v>2000</v>
      </c>
      <c r="Q725" s="64" t="s">
        <v>33</v>
      </c>
      <c r="R725" s="64" t="s">
        <v>39</v>
      </c>
      <c r="S725" s="64">
        <v>21800</v>
      </c>
      <c r="T725" s="64" t="s">
        <v>2672</v>
      </c>
      <c r="U725" s="65">
        <v>46169</v>
      </c>
      <c r="V725" s="64" t="s">
        <v>28</v>
      </c>
      <c r="W725" s="64">
        <f t="shared" si="1479"/>
        <v>2800</v>
      </c>
      <c r="X725" s="64" t="s">
        <v>963</v>
      </c>
      <c r="Y725" s="64" t="s">
        <v>29</v>
      </c>
      <c r="Z725" s="71">
        <f t="shared" si="1480"/>
        <v>14.736842105263158</v>
      </c>
      <c r="AA725" s="93"/>
    </row>
    <row r="726" spans="1:27" hidden="1">
      <c r="A726" s="64">
        <f>SUBTOTAL(3,C$2:C726)</f>
        <v>467</v>
      </c>
      <c r="B726" s="64" t="s">
        <v>1086</v>
      </c>
      <c r="C726" s="64" t="s">
        <v>31</v>
      </c>
      <c r="D726" s="64" t="s">
        <v>32</v>
      </c>
      <c r="E726" s="64" t="s">
        <v>33</v>
      </c>
      <c r="F726" s="52" t="s">
        <v>379</v>
      </c>
      <c r="G726" s="91" t="s">
        <v>34</v>
      </c>
      <c r="H726" s="70" t="s">
        <v>1542</v>
      </c>
      <c r="I726" s="65">
        <v>46155</v>
      </c>
      <c r="J726" s="64">
        <f t="shared" ref="J726:J727" ca="1" si="1481">+TODAY()-I726</f>
        <v>29</v>
      </c>
      <c r="K726" s="64" t="str">
        <f t="shared" ref="K726:K727" si="1482">+U726</f>
        <v>Pending</v>
      </c>
      <c r="L726" s="52" t="s">
        <v>483</v>
      </c>
      <c r="M726" s="64">
        <v>23300</v>
      </c>
      <c r="N726" s="64">
        <v>21500</v>
      </c>
      <c r="O726" s="65">
        <v>45790</v>
      </c>
      <c r="P726" s="64">
        <f t="shared" ref="P726:P727" si="1483">+M726-N726</f>
        <v>1800</v>
      </c>
      <c r="Q726" s="64" t="s">
        <v>33</v>
      </c>
      <c r="R726" s="64" t="s">
        <v>37</v>
      </c>
      <c r="S726" s="64">
        <v>26000</v>
      </c>
      <c r="T726" s="64" t="s">
        <v>33</v>
      </c>
      <c r="U726" s="65" t="s">
        <v>33</v>
      </c>
      <c r="V726" s="64" t="s">
        <v>28</v>
      </c>
      <c r="W726" s="64">
        <f t="shared" ref="W726:W727" si="1484">+S726-M726</f>
        <v>2700</v>
      </c>
      <c r="X726" s="64" t="s">
        <v>963</v>
      </c>
      <c r="Y726" s="64" t="s">
        <v>29</v>
      </c>
      <c r="Z726" s="71">
        <f t="shared" ref="Z726:Z727" si="1485">+W726*100/M726</f>
        <v>11.587982832618026</v>
      </c>
      <c r="AA726" s="93"/>
    </row>
    <row r="727" spans="1:27" hidden="1">
      <c r="A727" s="64">
        <f>SUBTOTAL(3,C$2:C727)</f>
        <v>467</v>
      </c>
      <c r="B727" s="64" t="s">
        <v>1086</v>
      </c>
      <c r="C727" s="64" t="s">
        <v>31</v>
      </c>
      <c r="D727" s="64" t="s">
        <v>32</v>
      </c>
      <c r="E727" s="64" t="s">
        <v>33</v>
      </c>
      <c r="F727" s="52" t="s">
        <v>1519</v>
      </c>
      <c r="G727" s="91" t="s">
        <v>34</v>
      </c>
      <c r="H727" s="98" t="s">
        <v>1543</v>
      </c>
      <c r="I727" s="65">
        <v>46155</v>
      </c>
      <c r="J727" s="64">
        <f t="shared" ca="1" si="1481"/>
        <v>29</v>
      </c>
      <c r="K727" s="64">
        <f t="shared" si="1482"/>
        <v>46170</v>
      </c>
      <c r="L727" s="52" t="s">
        <v>1411</v>
      </c>
      <c r="M727" s="64">
        <v>19000</v>
      </c>
      <c r="N727" s="64">
        <v>17000</v>
      </c>
      <c r="O727" s="65">
        <v>45790</v>
      </c>
      <c r="P727" s="64">
        <f t="shared" si="1483"/>
        <v>2000</v>
      </c>
      <c r="Q727" s="64" t="s">
        <v>33</v>
      </c>
      <c r="R727" s="64" t="s">
        <v>196</v>
      </c>
      <c r="S727" s="64">
        <v>21800</v>
      </c>
      <c r="T727" s="64" t="s">
        <v>2673</v>
      </c>
      <c r="U727" s="65">
        <v>46170</v>
      </c>
      <c r="V727" s="64" t="s">
        <v>28</v>
      </c>
      <c r="W727" s="64">
        <f t="shared" si="1484"/>
        <v>2800</v>
      </c>
      <c r="X727" s="64" t="s">
        <v>963</v>
      </c>
      <c r="Y727" s="64" t="s">
        <v>29</v>
      </c>
      <c r="Z727" s="71">
        <f t="shared" si="1485"/>
        <v>14.736842105263158</v>
      </c>
      <c r="AA727" s="93"/>
    </row>
    <row r="728" spans="1:27" hidden="1">
      <c r="A728" s="64">
        <f>SUBTOTAL(3,C$2:C728)</f>
        <v>467</v>
      </c>
      <c r="B728" s="64" t="s">
        <v>1086</v>
      </c>
      <c r="C728" s="64" t="s">
        <v>44</v>
      </c>
      <c r="D728" s="64" t="s">
        <v>32</v>
      </c>
      <c r="E728" s="64" t="s">
        <v>33</v>
      </c>
      <c r="F728" s="52" t="s">
        <v>1516</v>
      </c>
      <c r="G728" s="91" t="s">
        <v>994</v>
      </c>
      <c r="H728" s="70" t="s">
        <v>1544</v>
      </c>
      <c r="I728" s="65">
        <v>46155</v>
      </c>
      <c r="J728" s="64">
        <f t="shared" ref="J728:J729" ca="1" si="1486">+TODAY()-I728</f>
        <v>29</v>
      </c>
      <c r="K728" s="64" t="str">
        <f t="shared" ref="K728:K729" si="1487">+U728</f>
        <v>Pending</v>
      </c>
      <c r="L728" s="52" t="s">
        <v>995</v>
      </c>
      <c r="M728" s="64">
        <v>39000</v>
      </c>
      <c r="N728" s="64">
        <v>36000</v>
      </c>
      <c r="O728" s="65">
        <v>45790</v>
      </c>
      <c r="P728" s="64">
        <f t="shared" ref="P728:P729" si="1488">+M728-N728</f>
        <v>3000</v>
      </c>
      <c r="Q728" s="64" t="s">
        <v>33</v>
      </c>
      <c r="R728" s="64" t="s">
        <v>174</v>
      </c>
      <c r="S728" s="64">
        <v>46500</v>
      </c>
      <c r="T728" s="64" t="s">
        <v>33</v>
      </c>
      <c r="U728" s="65" t="s">
        <v>33</v>
      </c>
      <c r="V728" s="64" t="s">
        <v>28</v>
      </c>
      <c r="W728" s="64">
        <f t="shared" ref="W728:W729" si="1489">+S728-M728</f>
        <v>7500</v>
      </c>
      <c r="X728" s="64" t="s">
        <v>36</v>
      </c>
      <c r="Y728" s="64" t="s">
        <v>29</v>
      </c>
      <c r="Z728" s="71">
        <f t="shared" ref="Z728:Z729" si="1490">+W728*100/M728</f>
        <v>19.23076923076923</v>
      </c>
      <c r="AA728" s="93"/>
    </row>
    <row r="729" spans="1:27" hidden="1">
      <c r="A729" s="64">
        <f>SUBTOTAL(3,C$2:C729)</f>
        <v>467</v>
      </c>
      <c r="B729" s="64" t="s">
        <v>1086</v>
      </c>
      <c r="C729" s="64" t="s">
        <v>31</v>
      </c>
      <c r="D729" s="64" t="s">
        <v>32</v>
      </c>
      <c r="E729" s="64" t="s">
        <v>33</v>
      </c>
      <c r="F729" s="52" t="s">
        <v>280</v>
      </c>
      <c r="G729" s="91" t="s">
        <v>34</v>
      </c>
      <c r="H729" s="98" t="s">
        <v>1545</v>
      </c>
      <c r="I729" s="65">
        <v>46155</v>
      </c>
      <c r="J729" s="64">
        <f t="shared" ca="1" si="1486"/>
        <v>29</v>
      </c>
      <c r="K729" s="64">
        <f t="shared" si="1487"/>
        <v>46169</v>
      </c>
      <c r="L729" s="52" t="s">
        <v>1411</v>
      </c>
      <c r="M729" s="64">
        <v>19000</v>
      </c>
      <c r="N729" s="64">
        <v>17000</v>
      </c>
      <c r="O729" s="65">
        <v>45790</v>
      </c>
      <c r="P729" s="64">
        <f t="shared" si="1488"/>
        <v>2000</v>
      </c>
      <c r="Q729" s="64" t="s">
        <v>33</v>
      </c>
      <c r="R729" s="64" t="s">
        <v>39</v>
      </c>
      <c r="S729" s="64">
        <v>21800</v>
      </c>
      <c r="T729" s="64" t="s">
        <v>2672</v>
      </c>
      <c r="U729" s="65">
        <v>46169</v>
      </c>
      <c r="V729" s="64" t="s">
        <v>28</v>
      </c>
      <c r="W729" s="64">
        <f t="shared" si="1489"/>
        <v>2800</v>
      </c>
      <c r="X729" s="64" t="s">
        <v>963</v>
      </c>
      <c r="Y729" s="64" t="s">
        <v>29</v>
      </c>
      <c r="Z729" s="71">
        <f t="shared" si="1490"/>
        <v>14.736842105263158</v>
      </c>
      <c r="AA729" s="93"/>
    </row>
    <row r="730" spans="1:27" hidden="1">
      <c r="A730" s="64">
        <f>SUBTOTAL(3,C$2:C730)</f>
        <v>467</v>
      </c>
      <c r="B730" s="64" t="s">
        <v>1086</v>
      </c>
      <c r="C730" s="64" t="s">
        <v>80</v>
      </c>
      <c r="D730" s="64" t="s">
        <v>32</v>
      </c>
      <c r="E730" s="64" t="s">
        <v>33</v>
      </c>
      <c r="F730" s="52" t="s">
        <v>1517</v>
      </c>
      <c r="G730" s="91" t="s">
        <v>1215</v>
      </c>
      <c r="H730" s="98" t="s">
        <v>1546</v>
      </c>
      <c r="I730" s="65">
        <v>46155</v>
      </c>
      <c r="J730" s="64">
        <f t="shared" ref="J730:J735" ca="1" si="1491">+TODAY()-I730</f>
        <v>29</v>
      </c>
      <c r="K730" s="64" t="str">
        <f t="shared" ref="K730:K735" si="1492">+U730</f>
        <v>Pending</v>
      </c>
      <c r="L730" s="52" t="s">
        <v>995</v>
      </c>
      <c r="M730" s="64">
        <v>28000</v>
      </c>
      <c r="N730" s="64">
        <v>26000</v>
      </c>
      <c r="O730" s="65">
        <v>45790</v>
      </c>
      <c r="P730" s="64">
        <f t="shared" ref="P730:P732" si="1493">+M730-N730</f>
        <v>2000</v>
      </c>
      <c r="Q730" s="64" t="s">
        <v>33</v>
      </c>
      <c r="R730" s="64" t="s">
        <v>2244</v>
      </c>
      <c r="S730" s="64">
        <v>31500</v>
      </c>
      <c r="T730" s="64" t="s">
        <v>33</v>
      </c>
      <c r="U730" s="65" t="s">
        <v>33</v>
      </c>
      <c r="V730" s="64" t="s">
        <v>28</v>
      </c>
      <c r="W730" s="64">
        <f t="shared" ref="W730:W735" si="1494">+S730-M730</f>
        <v>3500</v>
      </c>
      <c r="X730" s="64" t="s">
        <v>36</v>
      </c>
      <c r="Y730" s="64" t="s">
        <v>29</v>
      </c>
      <c r="Z730" s="71">
        <f t="shared" ref="Z730:Z735" si="1495">+W730*100/M730</f>
        <v>12.5</v>
      </c>
      <c r="AA730" s="93"/>
    </row>
    <row r="731" spans="1:27" hidden="1">
      <c r="A731" s="64">
        <f>SUBTOTAL(3,C$2:C731)</f>
        <v>467</v>
      </c>
      <c r="B731" s="64" t="s">
        <v>1086</v>
      </c>
      <c r="C731" s="64" t="s">
        <v>31</v>
      </c>
      <c r="D731" s="64" t="s">
        <v>32</v>
      </c>
      <c r="E731" s="64" t="s">
        <v>33</v>
      </c>
      <c r="F731" s="52" t="s">
        <v>1212</v>
      </c>
      <c r="G731" s="91" t="s">
        <v>34</v>
      </c>
      <c r="H731" s="70" t="s">
        <v>1547</v>
      </c>
      <c r="I731" s="65">
        <v>46155</v>
      </c>
      <c r="J731" s="64">
        <f t="shared" ca="1" si="1491"/>
        <v>29</v>
      </c>
      <c r="K731" s="64" t="str">
        <f t="shared" si="1492"/>
        <v>Pending</v>
      </c>
      <c r="L731" s="52" t="s">
        <v>1411</v>
      </c>
      <c r="M731" s="64">
        <v>19000</v>
      </c>
      <c r="N731" s="64">
        <v>17000</v>
      </c>
      <c r="O731" s="65">
        <v>45790</v>
      </c>
      <c r="P731" s="64">
        <f t="shared" si="1493"/>
        <v>2000</v>
      </c>
      <c r="Q731" s="64" t="s">
        <v>33</v>
      </c>
      <c r="R731" s="64" t="s">
        <v>39</v>
      </c>
      <c r="S731" s="64">
        <v>21800</v>
      </c>
      <c r="T731" s="64" t="s">
        <v>33</v>
      </c>
      <c r="U731" s="65" t="s">
        <v>33</v>
      </c>
      <c r="V731" s="64" t="s">
        <v>28</v>
      </c>
      <c r="W731" s="64">
        <f t="shared" si="1494"/>
        <v>2800</v>
      </c>
      <c r="X731" s="64" t="s">
        <v>963</v>
      </c>
      <c r="Y731" s="64" t="s">
        <v>29</v>
      </c>
      <c r="Z731" s="71">
        <f t="shared" si="1495"/>
        <v>14.736842105263158</v>
      </c>
      <c r="AA731" s="93"/>
    </row>
    <row r="732" spans="1:27" hidden="1">
      <c r="A732" s="64">
        <f>SUBTOTAL(3,C$2:C732)</f>
        <v>467</v>
      </c>
      <c r="B732" s="64" t="s">
        <v>1086</v>
      </c>
      <c r="C732" s="64" t="s">
        <v>44</v>
      </c>
      <c r="D732" s="64" t="s">
        <v>32</v>
      </c>
      <c r="E732" s="64" t="s">
        <v>33</v>
      </c>
      <c r="F732" s="52" t="s">
        <v>1357</v>
      </c>
      <c r="G732" s="91">
        <v>407</v>
      </c>
      <c r="H732" s="98" t="s">
        <v>1548</v>
      </c>
      <c r="I732" s="65">
        <v>46155</v>
      </c>
      <c r="J732" s="64">
        <f t="shared" ca="1" si="1491"/>
        <v>29</v>
      </c>
      <c r="K732" s="64">
        <f t="shared" si="1492"/>
        <v>46170</v>
      </c>
      <c r="L732" s="52" t="s">
        <v>381</v>
      </c>
      <c r="M732" s="64">
        <v>28000</v>
      </c>
      <c r="N732" s="64">
        <v>25000</v>
      </c>
      <c r="O732" s="65">
        <v>45790</v>
      </c>
      <c r="P732" s="64">
        <f t="shared" si="1493"/>
        <v>3000</v>
      </c>
      <c r="Q732" s="64" t="s">
        <v>33</v>
      </c>
      <c r="R732" s="64" t="s">
        <v>56</v>
      </c>
      <c r="S732" s="64">
        <v>30800</v>
      </c>
      <c r="T732" s="64" t="s">
        <v>2683</v>
      </c>
      <c r="U732" s="65">
        <v>46170</v>
      </c>
      <c r="V732" s="64" t="s">
        <v>28</v>
      </c>
      <c r="W732" s="64">
        <f t="shared" si="1494"/>
        <v>2800</v>
      </c>
      <c r="X732" s="64" t="s">
        <v>36</v>
      </c>
      <c r="Y732" s="64" t="s">
        <v>29</v>
      </c>
      <c r="Z732" s="71">
        <f t="shared" si="1495"/>
        <v>10</v>
      </c>
      <c r="AA732" s="93"/>
    </row>
    <row r="733" spans="1:27" hidden="1">
      <c r="A733" s="64">
        <f>SUBTOTAL(3,C$2:C733)</f>
        <v>467</v>
      </c>
      <c r="B733" s="64" t="s">
        <v>1086</v>
      </c>
      <c r="C733" s="64" t="s">
        <v>124</v>
      </c>
      <c r="D733" s="64" t="s">
        <v>32</v>
      </c>
      <c r="E733" s="64" t="s">
        <v>33</v>
      </c>
      <c r="F733" s="52" t="s">
        <v>784</v>
      </c>
      <c r="G733" s="91" t="s">
        <v>50</v>
      </c>
      <c r="H733" s="70" t="s">
        <v>1549</v>
      </c>
      <c r="I733" s="65">
        <v>46154</v>
      </c>
      <c r="J733" s="64">
        <f t="shared" ca="1" si="1491"/>
        <v>30</v>
      </c>
      <c r="K733" s="64" t="str">
        <f t="shared" si="1492"/>
        <v>Pending</v>
      </c>
      <c r="L733" s="52" t="s">
        <v>1035</v>
      </c>
      <c r="M733" s="64">
        <v>44000</v>
      </c>
      <c r="N733" s="64">
        <f>40000-10000</f>
        <v>30000</v>
      </c>
      <c r="O733" s="65">
        <v>45790</v>
      </c>
      <c r="P733" s="64">
        <f>+M733-N733-10000</f>
        <v>4000</v>
      </c>
      <c r="Q733" s="64" t="s">
        <v>33</v>
      </c>
      <c r="R733" s="64" t="s">
        <v>52</v>
      </c>
      <c r="S733" s="64">
        <v>48000</v>
      </c>
      <c r="T733" s="64" t="s">
        <v>33</v>
      </c>
      <c r="U733" s="65" t="s">
        <v>33</v>
      </c>
      <c r="V733" s="64" t="s">
        <v>28</v>
      </c>
      <c r="W733" s="64">
        <f t="shared" si="1494"/>
        <v>4000</v>
      </c>
      <c r="X733" s="64" t="s">
        <v>36</v>
      </c>
      <c r="Y733" s="64" t="s">
        <v>29</v>
      </c>
      <c r="Z733" s="71">
        <f t="shared" si="1495"/>
        <v>9.0909090909090917</v>
      </c>
      <c r="AA733" s="93"/>
    </row>
    <row r="734" spans="1:27" hidden="1">
      <c r="A734" s="64">
        <f>SUBTOTAL(3,C$2:C734)</f>
        <v>467</v>
      </c>
      <c r="B734" s="64" t="s">
        <v>1086</v>
      </c>
      <c r="C734" s="64" t="s">
        <v>31</v>
      </c>
      <c r="D734" s="64" t="s">
        <v>32</v>
      </c>
      <c r="E734" s="64" t="s">
        <v>33</v>
      </c>
      <c r="F734" s="52" t="s">
        <v>782</v>
      </c>
      <c r="G734" s="91" t="s">
        <v>34</v>
      </c>
      <c r="H734" s="98" t="s">
        <v>1550</v>
      </c>
      <c r="I734" s="65">
        <v>46155</v>
      </c>
      <c r="J734" s="64">
        <f t="shared" ca="1" si="1491"/>
        <v>29</v>
      </c>
      <c r="K734" s="64">
        <f t="shared" si="1492"/>
        <v>46170</v>
      </c>
      <c r="L734" s="52" t="s">
        <v>783</v>
      </c>
      <c r="M734" s="64">
        <v>18000</v>
      </c>
      <c r="N734" s="64">
        <v>16000</v>
      </c>
      <c r="O734" s="65">
        <v>45790</v>
      </c>
      <c r="P734" s="64">
        <f t="shared" ref="P734:P735" si="1496">+M734-N734</f>
        <v>2000</v>
      </c>
      <c r="Q734" s="64" t="s">
        <v>33</v>
      </c>
      <c r="R734" s="64" t="s">
        <v>56</v>
      </c>
      <c r="S734" s="64">
        <v>20500</v>
      </c>
      <c r="T734" s="64" t="s">
        <v>2696</v>
      </c>
      <c r="U734" s="65">
        <v>46170</v>
      </c>
      <c r="V734" s="64" t="s">
        <v>28</v>
      </c>
      <c r="W734" s="64">
        <f t="shared" si="1494"/>
        <v>2500</v>
      </c>
      <c r="X734" s="64" t="s">
        <v>963</v>
      </c>
      <c r="Y734" s="64" t="s">
        <v>29</v>
      </c>
      <c r="Z734" s="71">
        <f t="shared" si="1495"/>
        <v>13.888888888888889</v>
      </c>
      <c r="AA734" s="93"/>
    </row>
    <row r="735" spans="1:27" hidden="1">
      <c r="A735" s="64">
        <f>SUBTOTAL(3,C$2:C735)</f>
        <v>467</v>
      </c>
      <c r="B735" s="64" t="s">
        <v>1086</v>
      </c>
      <c r="C735" s="64" t="s">
        <v>216</v>
      </c>
      <c r="D735" s="64" t="s">
        <v>32</v>
      </c>
      <c r="E735" s="64" t="s">
        <v>33</v>
      </c>
      <c r="F735" s="52" t="s">
        <v>218</v>
      </c>
      <c r="G735" s="91" t="s">
        <v>50</v>
      </c>
      <c r="H735" s="98" t="s">
        <v>1551</v>
      </c>
      <c r="I735" s="65">
        <v>46155</v>
      </c>
      <c r="J735" s="64">
        <f t="shared" ca="1" si="1491"/>
        <v>29</v>
      </c>
      <c r="K735" s="64">
        <f t="shared" si="1492"/>
        <v>46170</v>
      </c>
      <c r="L735" s="52" t="s">
        <v>586</v>
      </c>
      <c r="M735" s="64">
        <v>44000</v>
      </c>
      <c r="N735" s="64">
        <v>40000</v>
      </c>
      <c r="O735" s="65">
        <v>45790</v>
      </c>
      <c r="P735" s="64">
        <f t="shared" si="1496"/>
        <v>4000</v>
      </c>
      <c r="Q735" s="64" t="s">
        <v>33</v>
      </c>
      <c r="R735" s="64" t="s">
        <v>52</v>
      </c>
      <c r="S735" s="64">
        <v>48000</v>
      </c>
      <c r="T735" s="64" t="s">
        <v>2697</v>
      </c>
      <c r="U735" s="65">
        <v>46170</v>
      </c>
      <c r="V735" s="64" t="s">
        <v>28</v>
      </c>
      <c r="W735" s="64">
        <f t="shared" si="1494"/>
        <v>4000</v>
      </c>
      <c r="X735" s="64" t="s">
        <v>36</v>
      </c>
      <c r="Y735" s="64" t="s">
        <v>29</v>
      </c>
      <c r="Z735" s="71">
        <f t="shared" si="1495"/>
        <v>9.0909090909090917</v>
      </c>
      <c r="AA735" s="93"/>
    </row>
    <row r="736" spans="1:27" hidden="1">
      <c r="A736" s="64">
        <f>SUBTOTAL(3,C$2:C736)</f>
        <v>467</v>
      </c>
      <c r="B736" s="64" t="s">
        <v>1086</v>
      </c>
      <c r="C736" s="64" t="s">
        <v>31</v>
      </c>
      <c r="D736" s="64" t="s">
        <v>32</v>
      </c>
      <c r="E736" s="64" t="s">
        <v>33</v>
      </c>
      <c r="F736" s="52" t="s">
        <v>182</v>
      </c>
      <c r="G736" s="91" t="s">
        <v>34</v>
      </c>
      <c r="H736" s="98" t="s">
        <v>1552</v>
      </c>
      <c r="I736" s="65">
        <v>46155</v>
      </c>
      <c r="J736" s="64">
        <f t="shared" ref="J736" ca="1" si="1497">+TODAY()-I736</f>
        <v>29</v>
      </c>
      <c r="K736" s="64">
        <f t="shared" ref="K736" si="1498">+U736</f>
        <v>46169</v>
      </c>
      <c r="L736" s="52" t="s">
        <v>783</v>
      </c>
      <c r="M736" s="64">
        <v>18000</v>
      </c>
      <c r="N736" s="64">
        <v>16000</v>
      </c>
      <c r="O736" s="65">
        <v>45790</v>
      </c>
      <c r="P736" s="64">
        <f t="shared" ref="P736" si="1499">+M736-N736</f>
        <v>2000</v>
      </c>
      <c r="Q736" s="64" t="s">
        <v>33</v>
      </c>
      <c r="R736" s="64" t="s">
        <v>56</v>
      </c>
      <c r="S736" s="64">
        <v>20500</v>
      </c>
      <c r="T736" s="64" t="s">
        <v>2669</v>
      </c>
      <c r="U736" s="65">
        <v>46169</v>
      </c>
      <c r="V736" s="64" t="s">
        <v>28</v>
      </c>
      <c r="W736" s="64">
        <f t="shared" ref="W736" si="1500">+S736-M736</f>
        <v>2500</v>
      </c>
      <c r="X736" s="64" t="s">
        <v>963</v>
      </c>
      <c r="Y736" s="64" t="s">
        <v>29</v>
      </c>
      <c r="Z736" s="71">
        <f t="shared" ref="Z736" si="1501">+W736*100/M736</f>
        <v>13.888888888888889</v>
      </c>
      <c r="AA736" s="93"/>
    </row>
    <row r="737" spans="1:27" hidden="1">
      <c r="A737" s="64">
        <f>SUBTOTAL(3,C$2:C737)</f>
        <v>467</v>
      </c>
      <c r="B737" s="64" t="s">
        <v>1086</v>
      </c>
      <c r="C737" s="64" t="s">
        <v>31</v>
      </c>
      <c r="D737" s="64" t="s">
        <v>32</v>
      </c>
      <c r="E737" s="64" t="s">
        <v>33</v>
      </c>
      <c r="F737" s="52" t="s">
        <v>1517</v>
      </c>
      <c r="G737" s="91" t="s">
        <v>34</v>
      </c>
      <c r="H737" s="98" t="s">
        <v>1553</v>
      </c>
      <c r="I737" s="65">
        <v>46155</v>
      </c>
      <c r="J737" s="64">
        <f t="shared" ref="J737:J738" ca="1" si="1502">+TODAY()-I737</f>
        <v>29</v>
      </c>
      <c r="K737" s="64" t="str">
        <f t="shared" ref="K737:K738" si="1503">+U737</f>
        <v>Pending</v>
      </c>
      <c r="L737" s="52" t="s">
        <v>483</v>
      </c>
      <c r="M737" s="64">
        <v>18300</v>
      </c>
      <c r="N737" s="64">
        <v>16500</v>
      </c>
      <c r="O737" s="65">
        <v>45790</v>
      </c>
      <c r="P737" s="64">
        <f t="shared" ref="P737:P738" si="1504">+M737-N737</f>
        <v>1800</v>
      </c>
      <c r="Q737" s="64" t="s">
        <v>33</v>
      </c>
      <c r="R737" s="64" t="s">
        <v>37</v>
      </c>
      <c r="S737" s="64">
        <v>21500</v>
      </c>
      <c r="T737" s="64" t="s">
        <v>33</v>
      </c>
      <c r="U737" s="65" t="s">
        <v>33</v>
      </c>
      <c r="V737" s="64" t="s">
        <v>28</v>
      </c>
      <c r="W737" s="64">
        <f t="shared" ref="W737:W738" si="1505">+S737-M737</f>
        <v>3200</v>
      </c>
      <c r="X737" s="64" t="s">
        <v>963</v>
      </c>
      <c r="Y737" s="64" t="s">
        <v>29</v>
      </c>
      <c r="Z737" s="71">
        <f t="shared" ref="Z737:Z738" si="1506">+W737*100/M737</f>
        <v>17.486338797814209</v>
      </c>
      <c r="AA737" s="93"/>
    </row>
    <row r="738" spans="1:27" hidden="1">
      <c r="A738" s="64">
        <f>SUBTOTAL(3,C$2:C738)</f>
        <v>467</v>
      </c>
      <c r="B738" s="64" t="s">
        <v>1086</v>
      </c>
      <c r="C738" s="64" t="s">
        <v>80</v>
      </c>
      <c r="D738" s="64" t="s">
        <v>32</v>
      </c>
      <c r="E738" s="64" t="s">
        <v>33</v>
      </c>
      <c r="F738" s="52" t="s">
        <v>1518</v>
      </c>
      <c r="G738" s="91" t="s">
        <v>1215</v>
      </c>
      <c r="H738" s="98" t="s">
        <v>1554</v>
      </c>
      <c r="I738" s="65">
        <v>46155</v>
      </c>
      <c r="J738" s="64">
        <f t="shared" ca="1" si="1502"/>
        <v>29</v>
      </c>
      <c r="K738" s="64">
        <f t="shared" si="1503"/>
        <v>46169</v>
      </c>
      <c r="L738" s="52" t="s">
        <v>995</v>
      </c>
      <c r="M738" s="64">
        <v>28000</v>
      </c>
      <c r="N738" s="64">
        <v>26000</v>
      </c>
      <c r="O738" s="65">
        <v>45790</v>
      </c>
      <c r="P738" s="64">
        <f t="shared" si="1504"/>
        <v>2000</v>
      </c>
      <c r="Q738" s="64" t="s">
        <v>33</v>
      </c>
      <c r="R738" s="64" t="s">
        <v>39</v>
      </c>
      <c r="S738" s="64">
        <v>31500</v>
      </c>
      <c r="T738" s="64" t="s">
        <v>2689</v>
      </c>
      <c r="U738" s="65">
        <v>46169</v>
      </c>
      <c r="V738" s="64" t="s">
        <v>28</v>
      </c>
      <c r="W738" s="64">
        <f t="shared" si="1505"/>
        <v>3500</v>
      </c>
      <c r="X738" s="64" t="s">
        <v>36</v>
      </c>
      <c r="Y738" s="64" t="s">
        <v>29</v>
      </c>
      <c r="Z738" s="71">
        <f t="shared" si="1506"/>
        <v>12.5</v>
      </c>
      <c r="AA738" s="93"/>
    </row>
    <row r="739" spans="1:27" hidden="1">
      <c r="A739" s="64">
        <f>SUBTOTAL(3,C$2:C739)</f>
        <v>467</v>
      </c>
      <c r="B739" s="64" t="s">
        <v>1086</v>
      </c>
      <c r="C739" s="64" t="s">
        <v>31</v>
      </c>
      <c r="D739" s="64" t="s">
        <v>32</v>
      </c>
      <c r="E739" s="64" t="s">
        <v>33</v>
      </c>
      <c r="F739" s="52" t="s">
        <v>41</v>
      </c>
      <c r="G739" s="91" t="s">
        <v>34</v>
      </c>
      <c r="H739" s="98" t="s">
        <v>1555</v>
      </c>
      <c r="I739" s="65">
        <v>46155</v>
      </c>
      <c r="J739" s="64">
        <f t="shared" ref="J739:J743" ca="1" si="1507">+TODAY()-I739</f>
        <v>29</v>
      </c>
      <c r="K739" s="64">
        <f t="shared" ref="K739:K743" si="1508">+U739</f>
        <v>46169</v>
      </c>
      <c r="L739" s="52" t="s">
        <v>1411</v>
      </c>
      <c r="M739" s="64">
        <v>19000</v>
      </c>
      <c r="N739" s="64">
        <v>17000</v>
      </c>
      <c r="O739" s="65">
        <v>45790</v>
      </c>
      <c r="P739" s="64">
        <f t="shared" ref="P739:P743" si="1509">+M739-N739</f>
        <v>2000</v>
      </c>
      <c r="Q739" s="64" t="s">
        <v>33</v>
      </c>
      <c r="R739" s="64" t="s">
        <v>39</v>
      </c>
      <c r="S739" s="64">
        <v>21800</v>
      </c>
      <c r="T739" s="64" t="s">
        <v>2672</v>
      </c>
      <c r="U739" s="65">
        <v>46169</v>
      </c>
      <c r="V739" s="64" t="s">
        <v>28</v>
      </c>
      <c r="W739" s="64">
        <f t="shared" ref="W739:W743" si="1510">+S739-M739</f>
        <v>2800</v>
      </c>
      <c r="X739" s="64" t="s">
        <v>963</v>
      </c>
      <c r="Y739" s="64" t="s">
        <v>29</v>
      </c>
      <c r="Z739" s="71">
        <f t="shared" ref="Z739:Z743" si="1511">+W739*100/M739</f>
        <v>14.736842105263158</v>
      </c>
      <c r="AA739" s="93"/>
    </row>
    <row r="740" spans="1:27" hidden="1">
      <c r="A740" s="64">
        <f>SUBTOTAL(3,C$2:C740)</f>
        <v>467</v>
      </c>
      <c r="B740" s="64" t="s">
        <v>1086</v>
      </c>
      <c r="C740" s="64" t="s">
        <v>119</v>
      </c>
      <c r="D740" s="64" t="s">
        <v>32</v>
      </c>
      <c r="E740" s="64" t="s">
        <v>33</v>
      </c>
      <c r="F740" s="52" t="s">
        <v>1520</v>
      </c>
      <c r="G740" s="91" t="s">
        <v>67</v>
      </c>
      <c r="H740" s="98" t="s">
        <v>1556</v>
      </c>
      <c r="I740" s="65">
        <v>46152</v>
      </c>
      <c r="J740" s="64">
        <f t="shared" ca="1" si="1507"/>
        <v>32</v>
      </c>
      <c r="K740" s="64">
        <f t="shared" si="1508"/>
        <v>46170</v>
      </c>
      <c r="L740" s="52" t="s">
        <v>1521</v>
      </c>
      <c r="M740" s="64">
        <v>22000</v>
      </c>
      <c r="N740" s="64">
        <v>22000</v>
      </c>
      <c r="O740" s="65">
        <v>45790</v>
      </c>
      <c r="P740" s="64">
        <f t="shared" si="1509"/>
        <v>0</v>
      </c>
      <c r="Q740" s="64">
        <v>46115</v>
      </c>
      <c r="R740" s="64" t="s">
        <v>78</v>
      </c>
      <c r="S740" s="64">
        <v>25500</v>
      </c>
      <c r="T740" s="64" t="s">
        <v>2679</v>
      </c>
      <c r="U740" s="65">
        <v>46170</v>
      </c>
      <c r="V740" s="64" t="s">
        <v>28</v>
      </c>
      <c r="W740" s="64">
        <f t="shared" si="1510"/>
        <v>3500</v>
      </c>
      <c r="X740" s="64" t="s">
        <v>36</v>
      </c>
      <c r="Y740" s="64" t="s">
        <v>29</v>
      </c>
      <c r="Z740" s="71">
        <f t="shared" si="1511"/>
        <v>15.909090909090908</v>
      </c>
      <c r="AA740" s="93"/>
    </row>
    <row r="741" spans="1:27" hidden="1">
      <c r="A741" s="64">
        <f>SUBTOTAL(3,C$2:C741)</f>
        <v>467</v>
      </c>
      <c r="B741" s="64" t="s">
        <v>1086</v>
      </c>
      <c r="C741" s="64" t="s">
        <v>48</v>
      </c>
      <c r="D741" s="64" t="s">
        <v>32</v>
      </c>
      <c r="E741" s="64" t="s">
        <v>33</v>
      </c>
      <c r="F741" s="52" t="s">
        <v>49</v>
      </c>
      <c r="G741" s="91" t="s">
        <v>50</v>
      </c>
      <c r="H741" s="98" t="s">
        <v>1557</v>
      </c>
      <c r="I741" s="65">
        <v>46154</v>
      </c>
      <c r="J741" s="64">
        <f t="shared" ca="1" si="1507"/>
        <v>30</v>
      </c>
      <c r="K741" s="64">
        <f t="shared" si="1508"/>
        <v>46170</v>
      </c>
      <c r="L741" s="52" t="s">
        <v>51</v>
      </c>
      <c r="M741" s="64">
        <v>22500</v>
      </c>
      <c r="N741" s="64">
        <v>22500</v>
      </c>
      <c r="O741" s="65">
        <v>45790</v>
      </c>
      <c r="P741" s="64">
        <f t="shared" si="1509"/>
        <v>0</v>
      </c>
      <c r="Q741" s="64" t="s">
        <v>33</v>
      </c>
      <c r="R741" s="64" t="s">
        <v>78</v>
      </c>
      <c r="S741" s="64">
        <v>25500</v>
      </c>
      <c r="T741" s="64" t="s">
        <v>2679</v>
      </c>
      <c r="U741" s="65">
        <v>46170</v>
      </c>
      <c r="V741" s="64" t="s">
        <v>28</v>
      </c>
      <c r="W741" s="64">
        <f t="shared" si="1510"/>
        <v>3000</v>
      </c>
      <c r="X741" s="64" t="s">
        <v>36</v>
      </c>
      <c r="Y741" s="64" t="s">
        <v>29</v>
      </c>
      <c r="Z741" s="71">
        <f t="shared" si="1511"/>
        <v>13.333333333333334</v>
      </c>
      <c r="AA741" s="93"/>
    </row>
    <row r="742" spans="1:27" hidden="1">
      <c r="A742" s="64">
        <f>SUBTOTAL(3,C$2:C742)</f>
        <v>467</v>
      </c>
      <c r="B742" s="64" t="s">
        <v>1086</v>
      </c>
      <c r="C742" s="64" t="s">
        <v>31</v>
      </c>
      <c r="D742" s="64" t="s">
        <v>32</v>
      </c>
      <c r="E742" s="64" t="s">
        <v>33</v>
      </c>
      <c r="F742" s="52" t="s">
        <v>250</v>
      </c>
      <c r="G742" s="91" t="s">
        <v>34</v>
      </c>
      <c r="H742" s="98" t="s">
        <v>1558</v>
      </c>
      <c r="I742" s="65">
        <v>46154</v>
      </c>
      <c r="J742" s="64">
        <f t="shared" ca="1" si="1507"/>
        <v>30</v>
      </c>
      <c r="K742" s="64" t="str">
        <f t="shared" si="1508"/>
        <v>Pending</v>
      </c>
      <c r="L742" s="52" t="s">
        <v>483</v>
      </c>
      <c r="M742" s="64">
        <v>23300</v>
      </c>
      <c r="N742" s="64">
        <v>21500</v>
      </c>
      <c r="O742" s="65">
        <v>45790</v>
      </c>
      <c r="P742" s="64">
        <f t="shared" si="1509"/>
        <v>1800</v>
      </c>
      <c r="Q742" s="64" t="s">
        <v>33</v>
      </c>
      <c r="R742" s="64" t="s">
        <v>37</v>
      </c>
      <c r="S742" s="64">
        <v>26000</v>
      </c>
      <c r="T742" s="64" t="s">
        <v>33</v>
      </c>
      <c r="U742" s="65" t="s">
        <v>33</v>
      </c>
      <c r="V742" s="64" t="s">
        <v>28</v>
      </c>
      <c r="W742" s="64">
        <f t="shared" si="1510"/>
        <v>2700</v>
      </c>
      <c r="X742" s="64" t="s">
        <v>963</v>
      </c>
      <c r="Y742" s="64" t="s">
        <v>29</v>
      </c>
      <c r="Z742" s="71">
        <f t="shared" si="1511"/>
        <v>11.587982832618026</v>
      </c>
      <c r="AA742" s="93"/>
    </row>
    <row r="743" spans="1:27" hidden="1">
      <c r="A743" s="64">
        <f>SUBTOTAL(3,C$2:C743)</f>
        <v>467</v>
      </c>
      <c r="B743" s="64" t="s">
        <v>1086</v>
      </c>
      <c r="C743" s="64" t="s">
        <v>80</v>
      </c>
      <c r="D743" s="64" t="s">
        <v>32</v>
      </c>
      <c r="E743" s="64" t="s">
        <v>33</v>
      </c>
      <c r="F743" s="63" t="s">
        <v>1565</v>
      </c>
      <c r="G743" s="91" t="s">
        <v>1215</v>
      </c>
      <c r="H743" s="77" t="s">
        <v>1566</v>
      </c>
      <c r="I743" s="65">
        <v>46156</v>
      </c>
      <c r="J743" s="64">
        <f t="shared" ca="1" si="1507"/>
        <v>28</v>
      </c>
      <c r="K743" s="64" t="str">
        <f t="shared" si="1508"/>
        <v>Pending</v>
      </c>
      <c r="L743" s="63" t="s">
        <v>995</v>
      </c>
      <c r="M743" s="64">
        <v>28000</v>
      </c>
      <c r="N743" s="64">
        <v>26000</v>
      </c>
      <c r="O743" s="65">
        <v>45790</v>
      </c>
      <c r="P743" s="64">
        <f t="shared" si="1509"/>
        <v>2000</v>
      </c>
      <c r="Q743" s="64" t="s">
        <v>33</v>
      </c>
      <c r="R743" s="64" t="s">
        <v>39</v>
      </c>
      <c r="S743" s="64">
        <v>31000</v>
      </c>
      <c r="T743" s="64" t="s">
        <v>33</v>
      </c>
      <c r="U743" s="65" t="s">
        <v>33</v>
      </c>
      <c r="V743" s="64" t="s">
        <v>28</v>
      </c>
      <c r="W743" s="64">
        <f t="shared" si="1510"/>
        <v>3000</v>
      </c>
      <c r="X743" s="64" t="s">
        <v>36</v>
      </c>
      <c r="Y743" s="64" t="s">
        <v>29</v>
      </c>
      <c r="Z743" s="71">
        <f t="shared" si="1511"/>
        <v>10.714285714285714</v>
      </c>
      <c r="AA743" s="93"/>
    </row>
    <row r="744" spans="1:27" hidden="1">
      <c r="A744" s="64">
        <f>SUBTOTAL(3,C$2:C744)</f>
        <v>467</v>
      </c>
      <c r="B744" s="64" t="s">
        <v>1086</v>
      </c>
      <c r="C744" s="64" t="s">
        <v>31</v>
      </c>
      <c r="D744" s="64" t="s">
        <v>32</v>
      </c>
      <c r="E744" s="64" t="s">
        <v>33</v>
      </c>
      <c r="F744" s="63" t="s">
        <v>279</v>
      </c>
      <c r="G744" s="91" t="s">
        <v>34</v>
      </c>
      <c r="H744" s="100" t="s">
        <v>1580</v>
      </c>
      <c r="I744" s="65">
        <v>46155</v>
      </c>
      <c r="J744" s="64">
        <f t="shared" ref="J744:J746" ca="1" si="1512">+TODAY()-I744</f>
        <v>29</v>
      </c>
      <c r="K744" s="64">
        <f t="shared" ref="K744:K746" si="1513">+U744</f>
        <v>46169</v>
      </c>
      <c r="L744" s="63" t="s">
        <v>1411</v>
      </c>
      <c r="M744" s="64">
        <v>19000</v>
      </c>
      <c r="N744" s="64">
        <v>17000</v>
      </c>
      <c r="O744" s="65">
        <v>46156</v>
      </c>
      <c r="P744" s="64">
        <f t="shared" ref="P744:P746" si="1514">+M744-N744</f>
        <v>2000</v>
      </c>
      <c r="Q744" s="64" t="s">
        <v>33</v>
      </c>
      <c r="R744" s="64" t="s">
        <v>39</v>
      </c>
      <c r="S744" s="64">
        <v>21800</v>
      </c>
      <c r="T744" s="64" t="s">
        <v>2672</v>
      </c>
      <c r="U744" s="65">
        <v>46169</v>
      </c>
      <c r="V744" s="64" t="s">
        <v>28</v>
      </c>
      <c r="W744" s="64">
        <f t="shared" ref="W744:W746" si="1515">+S744-M744</f>
        <v>2800</v>
      </c>
      <c r="X744" s="64" t="s">
        <v>963</v>
      </c>
      <c r="Y744" s="64" t="s">
        <v>29</v>
      </c>
      <c r="Z744" s="71">
        <f t="shared" ref="Z744:Z746" si="1516">+W744*100/M744</f>
        <v>14.736842105263158</v>
      </c>
      <c r="AA744" s="93"/>
    </row>
    <row r="745" spans="1:27" hidden="1">
      <c r="A745" s="64">
        <f>SUBTOTAL(3,C$2:C745)</f>
        <v>467</v>
      </c>
      <c r="B745" s="64" t="s">
        <v>1086</v>
      </c>
      <c r="C745" s="64" t="s">
        <v>1031</v>
      </c>
      <c r="D745" s="64" t="s">
        <v>32</v>
      </c>
      <c r="E745" s="64" t="s">
        <v>33</v>
      </c>
      <c r="F745" s="63" t="s">
        <v>283</v>
      </c>
      <c r="G745" s="91" t="s">
        <v>34</v>
      </c>
      <c r="H745" s="100" t="s">
        <v>1581</v>
      </c>
      <c r="I745" s="65">
        <v>46155</v>
      </c>
      <c r="J745" s="64">
        <f t="shared" ca="1" si="1512"/>
        <v>29</v>
      </c>
      <c r="K745" s="64" t="str">
        <f t="shared" si="1513"/>
        <v>Pending</v>
      </c>
      <c r="L745" s="63" t="s">
        <v>1034</v>
      </c>
      <c r="M745" s="64">
        <v>18300</v>
      </c>
      <c r="N745" s="64">
        <v>16500</v>
      </c>
      <c r="O745" s="65">
        <v>46156</v>
      </c>
      <c r="P745" s="64">
        <f t="shared" si="1514"/>
        <v>1800</v>
      </c>
      <c r="Q745" s="64" t="s">
        <v>33</v>
      </c>
      <c r="R745" s="64" t="s">
        <v>37</v>
      </c>
      <c r="S745" s="64">
        <v>21500</v>
      </c>
      <c r="T745" s="64" t="s">
        <v>33</v>
      </c>
      <c r="U745" s="65" t="s">
        <v>33</v>
      </c>
      <c r="V745" s="64" t="s">
        <v>28</v>
      </c>
      <c r="W745" s="64">
        <f t="shared" si="1515"/>
        <v>3200</v>
      </c>
      <c r="X745" s="64" t="s">
        <v>963</v>
      </c>
      <c r="Y745" s="64" t="s">
        <v>29</v>
      </c>
      <c r="Z745" s="71">
        <f t="shared" si="1516"/>
        <v>17.486338797814209</v>
      </c>
      <c r="AA745" s="93"/>
    </row>
    <row r="746" spans="1:27" hidden="1">
      <c r="A746" s="64">
        <f>SUBTOTAL(3,C$2:C746)</f>
        <v>467</v>
      </c>
      <c r="B746" s="64" t="s">
        <v>1086</v>
      </c>
      <c r="C746" s="64" t="s">
        <v>44</v>
      </c>
      <c r="D746" s="64" t="s">
        <v>32</v>
      </c>
      <c r="E746" s="64" t="s">
        <v>33</v>
      </c>
      <c r="F746" s="63" t="s">
        <v>245</v>
      </c>
      <c r="G746" s="91" t="s">
        <v>994</v>
      </c>
      <c r="H746" s="100" t="s">
        <v>1582</v>
      </c>
      <c r="I746" s="65">
        <v>46155</v>
      </c>
      <c r="J746" s="64">
        <f t="shared" ca="1" si="1512"/>
        <v>29</v>
      </c>
      <c r="K746" s="64" t="str">
        <f t="shared" si="1513"/>
        <v>Pending</v>
      </c>
      <c r="L746" s="63" t="s">
        <v>995</v>
      </c>
      <c r="M746" s="64">
        <v>39000</v>
      </c>
      <c r="N746" s="64">
        <v>36000</v>
      </c>
      <c r="O746" s="65">
        <v>46156</v>
      </c>
      <c r="P746" s="64">
        <f t="shared" si="1514"/>
        <v>3000</v>
      </c>
      <c r="Q746" s="64" t="s">
        <v>33</v>
      </c>
      <c r="R746" s="64" t="s">
        <v>174</v>
      </c>
      <c r="S746" s="64">
        <v>44000</v>
      </c>
      <c r="T746" s="64" t="s">
        <v>33</v>
      </c>
      <c r="U746" s="65" t="s">
        <v>33</v>
      </c>
      <c r="V746" s="64" t="s">
        <v>28</v>
      </c>
      <c r="W746" s="64">
        <f t="shared" si="1515"/>
        <v>5000</v>
      </c>
      <c r="X746" s="64" t="s">
        <v>36</v>
      </c>
      <c r="Y746" s="64" t="s">
        <v>29</v>
      </c>
      <c r="Z746" s="71">
        <f t="shared" si="1516"/>
        <v>12.820512820512821</v>
      </c>
      <c r="AA746" s="93"/>
    </row>
    <row r="747" spans="1:27" hidden="1">
      <c r="A747" s="64">
        <f>SUBTOTAL(3,C$2:C747)</f>
        <v>467</v>
      </c>
      <c r="B747" s="64" t="s">
        <v>1086</v>
      </c>
      <c r="C747" s="64" t="s">
        <v>31</v>
      </c>
      <c r="D747" s="64" t="s">
        <v>32</v>
      </c>
      <c r="E747" s="64" t="s">
        <v>33</v>
      </c>
      <c r="F747" s="63" t="s">
        <v>128</v>
      </c>
      <c r="G747" s="91" t="s">
        <v>34</v>
      </c>
      <c r="H747" s="100" t="s">
        <v>1583</v>
      </c>
      <c r="I747" s="65">
        <v>46155</v>
      </c>
      <c r="J747" s="64">
        <f t="shared" ref="J747" ca="1" si="1517">+TODAY()-I747</f>
        <v>29</v>
      </c>
      <c r="K747" s="64">
        <f t="shared" ref="K747" si="1518">+U747</f>
        <v>46170</v>
      </c>
      <c r="L747" s="63" t="s">
        <v>783</v>
      </c>
      <c r="M747" s="64">
        <v>18000</v>
      </c>
      <c r="N747" s="64">
        <v>16000</v>
      </c>
      <c r="O747" s="65">
        <v>46156</v>
      </c>
      <c r="P747" s="64">
        <f t="shared" ref="P747" si="1519">+M747-N747</f>
        <v>2000</v>
      </c>
      <c r="Q747" s="64" t="s">
        <v>33</v>
      </c>
      <c r="R747" s="64" t="s">
        <v>56</v>
      </c>
      <c r="S747" s="64">
        <v>20500</v>
      </c>
      <c r="T747" s="64" t="s">
        <v>2696</v>
      </c>
      <c r="U747" s="65">
        <v>46170</v>
      </c>
      <c r="V747" s="64" t="s">
        <v>28</v>
      </c>
      <c r="W747" s="64">
        <f t="shared" ref="W747" si="1520">+S747-M747</f>
        <v>2500</v>
      </c>
      <c r="X747" s="64" t="s">
        <v>963</v>
      </c>
      <c r="Y747" s="64" t="s">
        <v>29</v>
      </c>
      <c r="Z747" s="71">
        <f t="shared" ref="Z747" si="1521">+W747*100/M747</f>
        <v>13.888888888888889</v>
      </c>
      <c r="AA747" s="93"/>
    </row>
    <row r="748" spans="1:27" hidden="1">
      <c r="A748" s="64">
        <f>SUBTOTAL(3,C$2:C748)</f>
        <v>467</v>
      </c>
      <c r="B748" s="64" t="s">
        <v>1086</v>
      </c>
      <c r="C748" s="64" t="s">
        <v>1031</v>
      </c>
      <c r="D748" s="64" t="s">
        <v>32</v>
      </c>
      <c r="E748" s="64" t="s">
        <v>33</v>
      </c>
      <c r="F748" s="63" t="s">
        <v>193</v>
      </c>
      <c r="G748" s="91" t="s">
        <v>34</v>
      </c>
      <c r="H748" s="100" t="s">
        <v>1584</v>
      </c>
      <c r="I748" s="65">
        <v>46155</v>
      </c>
      <c r="J748" s="64">
        <f t="shared" ref="J748:J750" ca="1" si="1522">+TODAY()-I748</f>
        <v>29</v>
      </c>
      <c r="K748" s="64">
        <f t="shared" ref="K748:K750" si="1523">+U748</f>
        <v>46169</v>
      </c>
      <c r="L748" s="63" t="s">
        <v>1024</v>
      </c>
      <c r="M748" s="64">
        <v>19000</v>
      </c>
      <c r="N748" s="64">
        <v>17000</v>
      </c>
      <c r="O748" s="65">
        <v>46156</v>
      </c>
      <c r="P748" s="64">
        <f t="shared" ref="P748:P750" si="1524">+M748-N748</f>
        <v>2000</v>
      </c>
      <c r="Q748" s="64" t="s">
        <v>33</v>
      </c>
      <c r="R748" s="64" t="s">
        <v>39</v>
      </c>
      <c r="S748" s="64">
        <v>21800</v>
      </c>
      <c r="T748" s="64" t="s">
        <v>2674</v>
      </c>
      <c r="U748" s="65">
        <v>46169</v>
      </c>
      <c r="V748" s="64" t="s">
        <v>28</v>
      </c>
      <c r="W748" s="64">
        <f t="shared" ref="W748:W750" si="1525">+S748-M748</f>
        <v>2800</v>
      </c>
      <c r="X748" s="64" t="s">
        <v>963</v>
      </c>
      <c r="Y748" s="64" t="s">
        <v>29</v>
      </c>
      <c r="Z748" s="71">
        <f t="shared" ref="Z748:Z750" si="1526">+W748*100/M748</f>
        <v>14.736842105263158</v>
      </c>
      <c r="AA748" s="93"/>
    </row>
    <row r="749" spans="1:27" hidden="1">
      <c r="A749" s="64">
        <f>SUBTOTAL(3,C$2:C749)</f>
        <v>467</v>
      </c>
      <c r="B749" s="64" t="s">
        <v>1086</v>
      </c>
      <c r="C749" s="64" t="s">
        <v>31</v>
      </c>
      <c r="D749" s="64" t="s">
        <v>32</v>
      </c>
      <c r="E749" s="64" t="s">
        <v>33</v>
      </c>
      <c r="F749" s="63" t="s">
        <v>92</v>
      </c>
      <c r="G749" s="91" t="s">
        <v>34</v>
      </c>
      <c r="H749" s="100" t="s">
        <v>1585</v>
      </c>
      <c r="I749" s="65">
        <v>46155</v>
      </c>
      <c r="J749" s="64">
        <f t="shared" ca="1" si="1522"/>
        <v>29</v>
      </c>
      <c r="K749" s="64">
        <f t="shared" si="1523"/>
        <v>46169</v>
      </c>
      <c r="L749" s="63" t="s">
        <v>1411</v>
      </c>
      <c r="M749" s="64">
        <v>19000</v>
      </c>
      <c r="N749" s="64">
        <v>17000</v>
      </c>
      <c r="O749" s="65">
        <v>46156</v>
      </c>
      <c r="P749" s="64">
        <f t="shared" si="1524"/>
        <v>2000</v>
      </c>
      <c r="Q749" s="64" t="s">
        <v>33</v>
      </c>
      <c r="R749" s="64" t="s">
        <v>39</v>
      </c>
      <c r="S749" s="64">
        <v>21800</v>
      </c>
      <c r="T749" s="64" t="s">
        <v>2674</v>
      </c>
      <c r="U749" s="65">
        <v>46169</v>
      </c>
      <c r="V749" s="64" t="s">
        <v>28</v>
      </c>
      <c r="W749" s="64">
        <f t="shared" si="1525"/>
        <v>2800</v>
      </c>
      <c r="X749" s="64" t="s">
        <v>963</v>
      </c>
      <c r="Y749" s="64" t="s">
        <v>29</v>
      </c>
      <c r="Z749" s="71">
        <f t="shared" si="1526"/>
        <v>14.736842105263158</v>
      </c>
      <c r="AA749" s="93"/>
    </row>
    <row r="750" spans="1:27" hidden="1">
      <c r="A750" s="64">
        <f>SUBTOTAL(3,C$2:C750)</f>
        <v>467</v>
      </c>
      <c r="B750" s="64" t="s">
        <v>1086</v>
      </c>
      <c r="C750" s="64" t="s">
        <v>44</v>
      </c>
      <c r="D750" s="64" t="s">
        <v>32</v>
      </c>
      <c r="E750" s="64" t="s">
        <v>33</v>
      </c>
      <c r="F750" s="63" t="s">
        <v>287</v>
      </c>
      <c r="G750" s="91" t="s">
        <v>59</v>
      </c>
      <c r="H750" s="100" t="s">
        <v>1586</v>
      </c>
      <c r="I750" s="65">
        <v>46156</v>
      </c>
      <c r="J750" s="64">
        <f t="shared" ca="1" si="1522"/>
        <v>28</v>
      </c>
      <c r="K750" s="64">
        <f t="shared" si="1523"/>
        <v>46170</v>
      </c>
      <c r="L750" s="63" t="s">
        <v>1571</v>
      </c>
      <c r="M750" s="64">
        <v>44000</v>
      </c>
      <c r="N750" s="64">
        <v>40000</v>
      </c>
      <c r="O750" s="65">
        <v>46156</v>
      </c>
      <c r="P750" s="64">
        <f t="shared" si="1524"/>
        <v>4000</v>
      </c>
      <c r="Q750" s="64" t="s">
        <v>33</v>
      </c>
      <c r="R750" s="64" t="s">
        <v>52</v>
      </c>
      <c r="S750" s="64">
        <v>48000</v>
      </c>
      <c r="T750" s="64" t="s">
        <v>2692</v>
      </c>
      <c r="U750" s="65">
        <v>46170</v>
      </c>
      <c r="V750" s="64" t="s">
        <v>28</v>
      </c>
      <c r="W750" s="64">
        <f t="shared" si="1525"/>
        <v>4000</v>
      </c>
      <c r="X750" s="64" t="s">
        <v>36</v>
      </c>
      <c r="Y750" s="64" t="s">
        <v>29</v>
      </c>
      <c r="Z750" s="71">
        <f t="shared" si="1526"/>
        <v>9.0909090909090917</v>
      </c>
      <c r="AA750" s="93"/>
    </row>
    <row r="751" spans="1:27" hidden="1">
      <c r="A751" s="64">
        <f>SUBTOTAL(3,C$2:C751)</f>
        <v>467</v>
      </c>
      <c r="B751" s="64" t="s">
        <v>1086</v>
      </c>
      <c r="C751" s="64" t="s">
        <v>31</v>
      </c>
      <c r="D751" s="64" t="s">
        <v>32</v>
      </c>
      <c r="E751" s="64" t="s">
        <v>33</v>
      </c>
      <c r="F751" s="63" t="s">
        <v>195</v>
      </c>
      <c r="G751" s="91" t="s">
        <v>34</v>
      </c>
      <c r="H751" s="100" t="s">
        <v>1587</v>
      </c>
      <c r="I751" s="65">
        <v>46156</v>
      </c>
      <c r="J751" s="64">
        <f t="shared" ref="J751:J752" ca="1" si="1527">+TODAY()-I751</f>
        <v>28</v>
      </c>
      <c r="K751" s="64" t="str">
        <f t="shared" ref="K751:K752" si="1528">+U751</f>
        <v>Pending</v>
      </c>
      <c r="L751" s="63" t="s">
        <v>483</v>
      </c>
      <c r="M751" s="64">
        <v>18300</v>
      </c>
      <c r="N751" s="64">
        <v>16500</v>
      </c>
      <c r="O751" s="65">
        <v>46156</v>
      </c>
      <c r="P751" s="64">
        <f t="shared" ref="P751:P752" si="1529">+M751-N751</f>
        <v>1800</v>
      </c>
      <c r="Q751" s="64" t="s">
        <v>33</v>
      </c>
      <c r="R751" s="64" t="s">
        <v>37</v>
      </c>
      <c r="S751" s="64">
        <v>21500</v>
      </c>
      <c r="T751" s="64" t="s">
        <v>33</v>
      </c>
      <c r="U751" s="65" t="s">
        <v>33</v>
      </c>
      <c r="V751" s="64" t="s">
        <v>28</v>
      </c>
      <c r="W751" s="64">
        <f t="shared" ref="W751:W752" si="1530">+S751-M751</f>
        <v>3200</v>
      </c>
      <c r="X751" s="64" t="s">
        <v>963</v>
      </c>
      <c r="Y751" s="64" t="s">
        <v>29</v>
      </c>
      <c r="Z751" s="71">
        <f t="shared" ref="Z751:Z752" si="1531">+W751*100/M751</f>
        <v>17.486338797814209</v>
      </c>
      <c r="AA751" s="93"/>
    </row>
    <row r="752" spans="1:27" hidden="1">
      <c r="A752" s="64">
        <f>SUBTOTAL(3,C$2:C752)</f>
        <v>467</v>
      </c>
      <c r="B752" s="64" t="s">
        <v>1086</v>
      </c>
      <c r="C752" s="64" t="s">
        <v>44</v>
      </c>
      <c r="D752" s="64" t="s">
        <v>32</v>
      </c>
      <c r="E752" s="64" t="s">
        <v>33</v>
      </c>
      <c r="F752" s="63" t="s">
        <v>1572</v>
      </c>
      <c r="G752" s="91" t="s">
        <v>994</v>
      </c>
      <c r="H752" s="100" t="s">
        <v>1588</v>
      </c>
      <c r="I752" s="65">
        <v>46154</v>
      </c>
      <c r="J752" s="64">
        <f t="shared" ca="1" si="1527"/>
        <v>30</v>
      </c>
      <c r="K752" s="64" t="str">
        <f t="shared" si="1528"/>
        <v>Pending</v>
      </c>
      <c r="L752" s="63" t="s">
        <v>995</v>
      </c>
      <c r="M752" s="64">
        <v>39000</v>
      </c>
      <c r="N752" s="64">
        <v>36000</v>
      </c>
      <c r="O752" s="65">
        <v>46156</v>
      </c>
      <c r="P752" s="64">
        <f t="shared" si="1529"/>
        <v>3000</v>
      </c>
      <c r="Q752" s="64" t="s">
        <v>33</v>
      </c>
      <c r="R752" s="64" t="s">
        <v>52</v>
      </c>
      <c r="S752" s="64">
        <v>44000</v>
      </c>
      <c r="T752" s="64" t="s">
        <v>33</v>
      </c>
      <c r="U752" s="65" t="s">
        <v>33</v>
      </c>
      <c r="V752" s="64" t="s">
        <v>28</v>
      </c>
      <c r="W752" s="64">
        <f t="shared" si="1530"/>
        <v>5000</v>
      </c>
      <c r="X752" s="64" t="s">
        <v>36</v>
      </c>
      <c r="Y752" s="64" t="s">
        <v>29</v>
      </c>
      <c r="Z752" s="71">
        <f t="shared" si="1531"/>
        <v>12.820512820512821</v>
      </c>
      <c r="AA752" s="93"/>
    </row>
    <row r="753" spans="1:27" hidden="1">
      <c r="A753" s="64">
        <f>SUBTOTAL(3,C$2:C753)</f>
        <v>467</v>
      </c>
      <c r="B753" s="64" t="s">
        <v>1086</v>
      </c>
      <c r="C753" s="64" t="s">
        <v>31</v>
      </c>
      <c r="D753" s="64" t="s">
        <v>32</v>
      </c>
      <c r="E753" s="64" t="s">
        <v>33</v>
      </c>
      <c r="F753" s="63" t="s">
        <v>249</v>
      </c>
      <c r="G753" s="91" t="s">
        <v>34</v>
      </c>
      <c r="H753" s="100" t="s">
        <v>1589</v>
      </c>
      <c r="I753" s="65">
        <v>46156</v>
      </c>
      <c r="J753" s="64">
        <f t="shared" ref="J753" ca="1" si="1532">+TODAY()-I753</f>
        <v>28</v>
      </c>
      <c r="K753" s="64">
        <f t="shared" ref="K753" si="1533">+U753</f>
        <v>46169</v>
      </c>
      <c r="L753" s="63" t="s">
        <v>1573</v>
      </c>
      <c r="M753" s="64">
        <v>19000</v>
      </c>
      <c r="N753" s="64">
        <v>17000</v>
      </c>
      <c r="O753" s="65">
        <v>46156</v>
      </c>
      <c r="P753" s="64">
        <f t="shared" ref="P753" si="1534">+M753-N753</f>
        <v>2000</v>
      </c>
      <c r="Q753" s="64" t="s">
        <v>33</v>
      </c>
      <c r="R753" s="64" t="s">
        <v>39</v>
      </c>
      <c r="S753" s="64">
        <v>21800</v>
      </c>
      <c r="T753" s="64" t="s">
        <v>2674</v>
      </c>
      <c r="U753" s="65">
        <v>46169</v>
      </c>
      <c r="V753" s="64" t="s">
        <v>28</v>
      </c>
      <c r="W753" s="64">
        <f t="shared" ref="W753" si="1535">+S753-M753</f>
        <v>2800</v>
      </c>
      <c r="X753" s="64" t="s">
        <v>963</v>
      </c>
      <c r="Y753" s="64" t="s">
        <v>29</v>
      </c>
      <c r="Z753" s="71">
        <f t="shared" ref="Z753" si="1536">+W753*100/M753</f>
        <v>14.736842105263158</v>
      </c>
      <c r="AA753" s="93"/>
    </row>
    <row r="754" spans="1:27" hidden="1">
      <c r="A754" s="64">
        <f>SUBTOTAL(3,C$2:C754)</f>
        <v>467</v>
      </c>
      <c r="B754" s="64" t="s">
        <v>1086</v>
      </c>
      <c r="C754" s="64" t="s">
        <v>31</v>
      </c>
      <c r="D754" s="64" t="s">
        <v>32</v>
      </c>
      <c r="E754" s="64" t="s">
        <v>33</v>
      </c>
      <c r="F754" s="63" t="s">
        <v>191</v>
      </c>
      <c r="G754" s="91" t="s">
        <v>34</v>
      </c>
      <c r="H754" s="100" t="s">
        <v>1590</v>
      </c>
      <c r="I754" s="65">
        <v>46156</v>
      </c>
      <c r="J754" s="64">
        <f t="shared" ref="J754" ca="1" si="1537">+TODAY()-I754</f>
        <v>28</v>
      </c>
      <c r="K754" s="64" t="str">
        <f t="shared" ref="K754" si="1538">+U754</f>
        <v>Pending</v>
      </c>
      <c r="L754" s="63" t="s">
        <v>483</v>
      </c>
      <c r="M754" s="64">
        <v>23300</v>
      </c>
      <c r="N754" s="64">
        <v>21500</v>
      </c>
      <c r="O754" s="65">
        <v>46156</v>
      </c>
      <c r="P754" s="64">
        <f t="shared" ref="P754" si="1539">+M754-N754</f>
        <v>1800</v>
      </c>
      <c r="Q754" s="64" t="s">
        <v>33</v>
      </c>
      <c r="R754" s="64" t="s">
        <v>37</v>
      </c>
      <c r="S754" s="64">
        <v>26000</v>
      </c>
      <c r="T754" s="64" t="s">
        <v>33</v>
      </c>
      <c r="U754" s="65" t="s">
        <v>33</v>
      </c>
      <c r="V754" s="64" t="s">
        <v>28</v>
      </c>
      <c r="W754" s="64">
        <f t="shared" ref="W754" si="1540">+S754-M754</f>
        <v>2700</v>
      </c>
      <c r="X754" s="64" t="s">
        <v>963</v>
      </c>
      <c r="Y754" s="64" t="s">
        <v>29</v>
      </c>
      <c r="Z754" s="71">
        <f t="shared" ref="Z754" si="1541">+W754*100/M754</f>
        <v>11.587982832618026</v>
      </c>
      <c r="AA754" s="93"/>
    </row>
    <row r="755" spans="1:27" hidden="1">
      <c r="A755" s="64">
        <f>SUBTOTAL(3,C$2:C755)</f>
        <v>467</v>
      </c>
      <c r="B755" s="64" t="s">
        <v>1086</v>
      </c>
      <c r="C755" s="64" t="s">
        <v>31</v>
      </c>
      <c r="D755" s="64" t="s">
        <v>32</v>
      </c>
      <c r="E755" s="64" t="s">
        <v>33</v>
      </c>
      <c r="F755" s="63" t="s">
        <v>42</v>
      </c>
      <c r="G755" s="91" t="s">
        <v>34</v>
      </c>
      <c r="H755" s="100" t="s">
        <v>1591</v>
      </c>
      <c r="I755" s="65">
        <v>46156</v>
      </c>
      <c r="J755" s="64">
        <f t="shared" ref="J755:J756" ca="1" si="1542">+TODAY()-I755</f>
        <v>28</v>
      </c>
      <c r="K755" s="64" t="str">
        <f t="shared" ref="K755:K756" si="1543">+U755</f>
        <v>Pending</v>
      </c>
      <c r="L755" s="63" t="s">
        <v>483</v>
      </c>
      <c r="M755" s="64">
        <v>23300</v>
      </c>
      <c r="N755" s="64">
        <v>21500</v>
      </c>
      <c r="O755" s="65">
        <v>46156</v>
      </c>
      <c r="P755" s="64">
        <f t="shared" ref="P755:P756" si="1544">+M755-N755</f>
        <v>1800</v>
      </c>
      <c r="Q755" s="64" t="s">
        <v>33</v>
      </c>
      <c r="R755" s="64" t="s">
        <v>37</v>
      </c>
      <c r="S755" s="64">
        <v>26000</v>
      </c>
      <c r="T755" s="64" t="s">
        <v>33</v>
      </c>
      <c r="U755" s="65" t="s">
        <v>33</v>
      </c>
      <c r="V755" s="64" t="s">
        <v>28</v>
      </c>
      <c r="W755" s="64">
        <f t="shared" ref="W755:W756" si="1545">+S755-M755</f>
        <v>2700</v>
      </c>
      <c r="X755" s="64" t="s">
        <v>963</v>
      </c>
      <c r="Y755" s="64" t="s">
        <v>29</v>
      </c>
      <c r="Z755" s="71">
        <f t="shared" ref="Z755:Z756" si="1546">+W755*100/M755</f>
        <v>11.587982832618026</v>
      </c>
      <c r="AA755" s="93"/>
    </row>
    <row r="756" spans="1:27" hidden="1">
      <c r="A756" s="64">
        <f>SUBTOTAL(3,C$2:C756)</f>
        <v>467</v>
      </c>
      <c r="B756" s="64" t="s">
        <v>1086</v>
      </c>
      <c r="C756" s="64" t="s">
        <v>1031</v>
      </c>
      <c r="D756" s="64" t="s">
        <v>32</v>
      </c>
      <c r="E756" s="64" t="s">
        <v>33</v>
      </c>
      <c r="F756" s="63" t="s">
        <v>1101</v>
      </c>
      <c r="G756" s="91" t="s">
        <v>34</v>
      </c>
      <c r="H756" s="100" t="s">
        <v>1592</v>
      </c>
      <c r="I756" s="65">
        <v>46156</v>
      </c>
      <c r="J756" s="64">
        <f t="shared" ca="1" si="1542"/>
        <v>28</v>
      </c>
      <c r="K756" s="64" t="str">
        <f t="shared" si="1543"/>
        <v>Pending</v>
      </c>
      <c r="L756" s="63" t="s">
        <v>1034</v>
      </c>
      <c r="M756" s="64">
        <v>18300</v>
      </c>
      <c r="N756" s="64">
        <v>16500</v>
      </c>
      <c r="O756" s="65">
        <v>46156</v>
      </c>
      <c r="P756" s="64">
        <f t="shared" si="1544"/>
        <v>1800</v>
      </c>
      <c r="Q756" s="64" t="s">
        <v>33</v>
      </c>
      <c r="R756" s="64" t="s">
        <v>37</v>
      </c>
      <c r="S756" s="64">
        <v>21500</v>
      </c>
      <c r="T756" s="64" t="s">
        <v>33</v>
      </c>
      <c r="U756" s="65" t="s">
        <v>33</v>
      </c>
      <c r="V756" s="64" t="s">
        <v>28</v>
      </c>
      <c r="W756" s="64">
        <f t="shared" si="1545"/>
        <v>3200</v>
      </c>
      <c r="X756" s="64" t="s">
        <v>963</v>
      </c>
      <c r="Y756" s="64" t="s">
        <v>29</v>
      </c>
      <c r="Z756" s="71">
        <f t="shared" si="1546"/>
        <v>17.486338797814209</v>
      </c>
      <c r="AA756" s="93"/>
    </row>
    <row r="757" spans="1:27" hidden="1">
      <c r="A757" s="64">
        <f>SUBTOTAL(3,C$2:C757)</f>
        <v>467</v>
      </c>
      <c r="B757" s="64" t="s">
        <v>1086</v>
      </c>
      <c r="C757" s="64" t="s">
        <v>31</v>
      </c>
      <c r="D757" s="64" t="s">
        <v>32</v>
      </c>
      <c r="E757" s="64" t="s">
        <v>33</v>
      </c>
      <c r="F757" s="63" t="s">
        <v>1574</v>
      </c>
      <c r="G757" s="91" t="s">
        <v>34</v>
      </c>
      <c r="H757" s="100" t="s">
        <v>1593</v>
      </c>
      <c r="I757" s="65">
        <v>46156</v>
      </c>
      <c r="J757" s="64">
        <f t="shared" ref="J757:J759" ca="1" si="1547">+TODAY()-I757</f>
        <v>28</v>
      </c>
      <c r="K757" s="64">
        <f t="shared" ref="K757:K759" si="1548">+U757</f>
        <v>46169</v>
      </c>
      <c r="L757" s="63" t="s">
        <v>1411</v>
      </c>
      <c r="M757" s="64">
        <v>19000</v>
      </c>
      <c r="N757" s="64">
        <v>17000</v>
      </c>
      <c r="O757" s="65">
        <v>46156</v>
      </c>
      <c r="P757" s="64">
        <f t="shared" ref="P757:P759" si="1549">+M757-N757</f>
        <v>2000</v>
      </c>
      <c r="Q757" s="64" t="s">
        <v>33</v>
      </c>
      <c r="R757" s="64" t="s">
        <v>39</v>
      </c>
      <c r="S757" s="64">
        <v>21800</v>
      </c>
      <c r="T757" s="64" t="s">
        <v>2674</v>
      </c>
      <c r="U757" s="65">
        <v>46169</v>
      </c>
      <c r="V757" s="64" t="s">
        <v>28</v>
      </c>
      <c r="W757" s="64">
        <f t="shared" ref="W757:W759" si="1550">+S757-M757</f>
        <v>2800</v>
      </c>
      <c r="X757" s="64" t="s">
        <v>963</v>
      </c>
      <c r="Y757" s="64" t="s">
        <v>29</v>
      </c>
      <c r="Z757" s="71">
        <f t="shared" ref="Z757:Z759" si="1551">+W757*100/M757</f>
        <v>14.736842105263158</v>
      </c>
      <c r="AA757" s="93"/>
    </row>
    <row r="758" spans="1:27" hidden="1">
      <c r="A758" s="64">
        <f>SUBTOTAL(3,C$2:C758)</f>
        <v>467</v>
      </c>
      <c r="B758" s="64" t="s">
        <v>1086</v>
      </c>
      <c r="C758" s="64" t="s">
        <v>1031</v>
      </c>
      <c r="D758" s="64" t="s">
        <v>32</v>
      </c>
      <c r="E758" s="64" t="s">
        <v>33</v>
      </c>
      <c r="F758" s="63" t="s">
        <v>349</v>
      </c>
      <c r="G758" s="91" t="s">
        <v>34</v>
      </c>
      <c r="H758" s="100" t="s">
        <v>1594</v>
      </c>
      <c r="I758" s="65">
        <v>46156</v>
      </c>
      <c r="J758" s="64">
        <f t="shared" ca="1" si="1547"/>
        <v>28</v>
      </c>
      <c r="K758" s="64">
        <f t="shared" si="1548"/>
        <v>46169</v>
      </c>
      <c r="L758" s="63" t="s">
        <v>1575</v>
      </c>
      <c r="M758" s="64">
        <v>19000</v>
      </c>
      <c r="N758" s="64">
        <v>17000</v>
      </c>
      <c r="O758" s="65">
        <v>46156</v>
      </c>
      <c r="P758" s="64">
        <f t="shared" si="1549"/>
        <v>2000</v>
      </c>
      <c r="Q758" s="64" t="s">
        <v>33</v>
      </c>
      <c r="R758" s="64" t="s">
        <v>39</v>
      </c>
      <c r="S758" s="64">
        <v>21800</v>
      </c>
      <c r="T758" s="64" t="s">
        <v>2674</v>
      </c>
      <c r="U758" s="65">
        <v>46169</v>
      </c>
      <c r="V758" s="64" t="s">
        <v>28</v>
      </c>
      <c r="W758" s="64">
        <f t="shared" si="1550"/>
        <v>2800</v>
      </c>
      <c r="X758" s="64" t="s">
        <v>963</v>
      </c>
      <c r="Y758" s="64" t="s">
        <v>29</v>
      </c>
      <c r="Z758" s="71">
        <f t="shared" si="1551"/>
        <v>14.736842105263158</v>
      </c>
      <c r="AA758" s="93"/>
    </row>
    <row r="759" spans="1:27" hidden="1">
      <c r="A759" s="64">
        <f>SUBTOTAL(3,C$2:C759)</f>
        <v>467</v>
      </c>
      <c r="B759" s="64" t="s">
        <v>1086</v>
      </c>
      <c r="C759" s="64" t="s">
        <v>119</v>
      </c>
      <c r="D759" s="64" t="s">
        <v>32</v>
      </c>
      <c r="E759" s="64" t="s">
        <v>33</v>
      </c>
      <c r="F759" s="63" t="s">
        <v>1218</v>
      </c>
      <c r="G759" s="91" t="s">
        <v>59</v>
      </c>
      <c r="H759" s="100" t="s">
        <v>1595</v>
      </c>
      <c r="I759" s="65">
        <v>46156</v>
      </c>
      <c r="J759" s="64">
        <f t="shared" ca="1" si="1547"/>
        <v>28</v>
      </c>
      <c r="K759" s="64">
        <f t="shared" si="1548"/>
        <v>46170</v>
      </c>
      <c r="L759" s="63" t="s">
        <v>1576</v>
      </c>
      <c r="M759" s="64">
        <v>24000</v>
      </c>
      <c r="N759" s="64">
        <v>24000</v>
      </c>
      <c r="O759" s="65">
        <v>46156</v>
      </c>
      <c r="P759" s="64">
        <f t="shared" si="1549"/>
        <v>0</v>
      </c>
      <c r="Q759" s="64">
        <v>46115</v>
      </c>
      <c r="R759" s="64" t="s">
        <v>196</v>
      </c>
      <c r="S759" s="64">
        <v>25500</v>
      </c>
      <c r="T759" s="64" t="s">
        <v>2698</v>
      </c>
      <c r="U759" s="65">
        <v>46170</v>
      </c>
      <c r="V759" s="64" t="s">
        <v>28</v>
      </c>
      <c r="W759" s="64">
        <f t="shared" si="1550"/>
        <v>1500</v>
      </c>
      <c r="X759" s="64" t="s">
        <v>36</v>
      </c>
      <c r="Y759" s="64" t="s">
        <v>29</v>
      </c>
      <c r="Z759" s="71">
        <f t="shared" si="1551"/>
        <v>6.25</v>
      </c>
      <c r="AA759" s="93"/>
    </row>
    <row r="760" spans="1:27" hidden="1">
      <c r="A760" s="64">
        <f>SUBTOTAL(3,C$2:C760)</f>
        <v>467</v>
      </c>
      <c r="B760" s="64" t="s">
        <v>1086</v>
      </c>
      <c r="C760" s="64" t="s">
        <v>1031</v>
      </c>
      <c r="D760" s="64" t="s">
        <v>32</v>
      </c>
      <c r="E760" s="64" t="s">
        <v>33</v>
      </c>
      <c r="F760" s="63" t="s">
        <v>1577</v>
      </c>
      <c r="G760" s="91" t="s">
        <v>34</v>
      </c>
      <c r="H760" s="100" t="s">
        <v>1596</v>
      </c>
      <c r="I760" s="65">
        <v>46156</v>
      </c>
      <c r="J760" s="64">
        <f t="shared" ref="J760:J762" ca="1" si="1552">+TODAY()-I760</f>
        <v>28</v>
      </c>
      <c r="K760" s="64" t="str">
        <f t="shared" ref="K760:K762" si="1553">+U760</f>
        <v>Pending</v>
      </c>
      <c r="L760" s="63" t="s">
        <v>698</v>
      </c>
      <c r="M760" s="64">
        <v>18000</v>
      </c>
      <c r="N760" s="64">
        <v>16000</v>
      </c>
      <c r="O760" s="65">
        <v>46156</v>
      </c>
      <c r="P760" s="64">
        <f t="shared" ref="P760:P762" si="1554">+M760-N760</f>
        <v>2000</v>
      </c>
      <c r="Q760" s="64" t="s">
        <v>33</v>
      </c>
      <c r="R760" s="64" t="s">
        <v>56</v>
      </c>
      <c r="S760" s="64">
        <v>20500</v>
      </c>
      <c r="T760" s="64" t="s">
        <v>33</v>
      </c>
      <c r="U760" s="65" t="s">
        <v>33</v>
      </c>
      <c r="V760" s="64" t="s">
        <v>28</v>
      </c>
      <c r="W760" s="64">
        <f t="shared" ref="W760:W762" si="1555">+S760-M760</f>
        <v>2500</v>
      </c>
      <c r="X760" s="64" t="s">
        <v>963</v>
      </c>
      <c r="Y760" s="64" t="s">
        <v>29</v>
      </c>
      <c r="Z760" s="71">
        <f t="shared" ref="Z760:Z762" si="1556">+W760*100/M760</f>
        <v>13.888888888888889</v>
      </c>
      <c r="AA760" s="93"/>
    </row>
    <row r="761" spans="1:27" hidden="1">
      <c r="A761" s="64">
        <f>SUBTOTAL(3,C$2:C761)</f>
        <v>467</v>
      </c>
      <c r="B761" s="64" t="s">
        <v>1086</v>
      </c>
      <c r="C761" s="64" t="s">
        <v>31</v>
      </c>
      <c r="D761" s="64" t="s">
        <v>32</v>
      </c>
      <c r="E761" s="64" t="s">
        <v>33</v>
      </c>
      <c r="F761" s="63" t="s">
        <v>203</v>
      </c>
      <c r="G761" s="91" t="s">
        <v>34</v>
      </c>
      <c r="H761" s="100" t="s">
        <v>1597</v>
      </c>
      <c r="I761" s="65">
        <v>46155</v>
      </c>
      <c r="J761" s="64">
        <f t="shared" ca="1" si="1552"/>
        <v>29</v>
      </c>
      <c r="K761" s="64">
        <f t="shared" si="1553"/>
        <v>46170</v>
      </c>
      <c r="L761" s="63" t="s">
        <v>698</v>
      </c>
      <c r="M761" s="64">
        <v>18000</v>
      </c>
      <c r="N761" s="64">
        <v>16000</v>
      </c>
      <c r="O761" s="65">
        <v>46156</v>
      </c>
      <c r="P761" s="64">
        <f t="shared" si="1554"/>
        <v>2000</v>
      </c>
      <c r="Q761" s="64" t="s">
        <v>33</v>
      </c>
      <c r="R761" s="64" t="s">
        <v>56</v>
      </c>
      <c r="S761" s="64">
        <v>20500</v>
      </c>
      <c r="T761" s="64" t="s">
        <v>2696</v>
      </c>
      <c r="U761" s="65">
        <v>46170</v>
      </c>
      <c r="V761" s="64" t="s">
        <v>28</v>
      </c>
      <c r="W761" s="64">
        <f t="shared" si="1555"/>
        <v>2500</v>
      </c>
      <c r="X761" s="64" t="s">
        <v>963</v>
      </c>
      <c r="Y761" s="64" t="s">
        <v>29</v>
      </c>
      <c r="Z761" s="71">
        <f t="shared" si="1556"/>
        <v>13.888888888888889</v>
      </c>
      <c r="AA761" s="93"/>
    </row>
    <row r="762" spans="1:27" hidden="1">
      <c r="A762" s="64">
        <f>SUBTOTAL(3,C$2:C762)</f>
        <v>467</v>
      </c>
      <c r="B762" s="64" t="s">
        <v>1086</v>
      </c>
      <c r="C762" s="64" t="s">
        <v>80</v>
      </c>
      <c r="D762" s="64" t="s">
        <v>32</v>
      </c>
      <c r="E762" s="64" t="s">
        <v>33</v>
      </c>
      <c r="F762" s="63" t="s">
        <v>353</v>
      </c>
      <c r="G762" s="91" t="s">
        <v>607</v>
      </c>
      <c r="H762" s="100" t="s">
        <v>1598</v>
      </c>
      <c r="I762" s="65">
        <v>46156</v>
      </c>
      <c r="J762" s="64">
        <f t="shared" ca="1" si="1552"/>
        <v>28</v>
      </c>
      <c r="K762" s="64" t="str">
        <f t="shared" si="1553"/>
        <v>Pending</v>
      </c>
      <c r="L762" s="63" t="s">
        <v>598</v>
      </c>
      <c r="M762" s="64">
        <v>29500</v>
      </c>
      <c r="N762" s="64">
        <v>26500</v>
      </c>
      <c r="O762" s="65">
        <v>46156</v>
      </c>
      <c r="P762" s="64">
        <f t="shared" si="1554"/>
        <v>3000</v>
      </c>
      <c r="Q762" s="64" t="s">
        <v>33</v>
      </c>
      <c r="R762" s="64" t="s">
        <v>37</v>
      </c>
      <c r="S762" s="64">
        <v>33000</v>
      </c>
      <c r="T762" s="64" t="s">
        <v>33</v>
      </c>
      <c r="U762" s="65" t="s">
        <v>33</v>
      </c>
      <c r="V762" s="64" t="s">
        <v>28</v>
      </c>
      <c r="W762" s="64">
        <f t="shared" si="1555"/>
        <v>3500</v>
      </c>
      <c r="X762" s="64" t="s">
        <v>36</v>
      </c>
      <c r="Y762" s="64" t="s">
        <v>29</v>
      </c>
      <c r="Z762" s="71">
        <f t="shared" si="1556"/>
        <v>11.864406779661017</v>
      </c>
      <c r="AA762" s="93"/>
    </row>
    <row r="763" spans="1:27" hidden="1">
      <c r="A763" s="64">
        <f>SUBTOTAL(3,C$2:C763)</f>
        <v>467</v>
      </c>
      <c r="B763" s="64" t="s">
        <v>1086</v>
      </c>
      <c r="C763" s="64" t="s">
        <v>80</v>
      </c>
      <c r="D763" s="64" t="s">
        <v>32</v>
      </c>
      <c r="E763" s="64" t="s">
        <v>33</v>
      </c>
      <c r="F763" s="63" t="s">
        <v>1578</v>
      </c>
      <c r="G763" s="91" t="s">
        <v>1215</v>
      </c>
      <c r="H763" s="100" t="s">
        <v>1599</v>
      </c>
      <c r="I763" s="65">
        <v>46156</v>
      </c>
      <c r="J763" s="64">
        <f t="shared" ref="J763:J766" ca="1" si="1557">+TODAY()-I763</f>
        <v>28</v>
      </c>
      <c r="K763" s="64">
        <f t="shared" ref="K763:K766" si="1558">+U763</f>
        <v>46169</v>
      </c>
      <c r="L763" s="63" t="s">
        <v>995</v>
      </c>
      <c r="M763" s="64">
        <v>28000</v>
      </c>
      <c r="N763" s="64">
        <v>26000</v>
      </c>
      <c r="O763" s="65">
        <v>46156</v>
      </c>
      <c r="P763" s="64">
        <f t="shared" ref="P763:P766" si="1559">+M763-N763</f>
        <v>2000</v>
      </c>
      <c r="Q763" s="64" t="s">
        <v>33</v>
      </c>
      <c r="R763" s="64" t="s">
        <v>39</v>
      </c>
      <c r="S763" s="64">
        <v>31500</v>
      </c>
      <c r="T763" s="64" t="s">
        <v>2689</v>
      </c>
      <c r="U763" s="65">
        <v>46169</v>
      </c>
      <c r="V763" s="64" t="s">
        <v>28</v>
      </c>
      <c r="W763" s="64">
        <f t="shared" ref="W763:W766" si="1560">+S763-M763</f>
        <v>3500</v>
      </c>
      <c r="X763" s="64" t="s">
        <v>36</v>
      </c>
      <c r="Y763" s="64" t="s">
        <v>29</v>
      </c>
      <c r="Z763" s="71">
        <f t="shared" ref="Z763:Z766" si="1561">+W763*100/M763</f>
        <v>12.5</v>
      </c>
      <c r="AA763" s="93"/>
    </row>
    <row r="764" spans="1:27" hidden="1">
      <c r="A764" s="64">
        <f>SUBTOTAL(3,C$2:C764)</f>
        <v>467</v>
      </c>
      <c r="B764" s="64" t="s">
        <v>1086</v>
      </c>
      <c r="C764" s="64" t="s">
        <v>1031</v>
      </c>
      <c r="D764" s="64" t="s">
        <v>32</v>
      </c>
      <c r="E764" s="64" t="s">
        <v>33</v>
      </c>
      <c r="F764" s="63" t="s">
        <v>1579</v>
      </c>
      <c r="G764" s="91" t="s">
        <v>34</v>
      </c>
      <c r="H764" s="77" t="s">
        <v>1600</v>
      </c>
      <c r="I764" s="65">
        <v>46156</v>
      </c>
      <c r="J764" s="64">
        <f t="shared" ca="1" si="1557"/>
        <v>28</v>
      </c>
      <c r="K764" s="64" t="str">
        <f t="shared" si="1558"/>
        <v>Pending</v>
      </c>
      <c r="L764" s="63" t="s">
        <v>698</v>
      </c>
      <c r="M764" s="64">
        <v>18000</v>
      </c>
      <c r="N764" s="64">
        <v>16000</v>
      </c>
      <c r="O764" s="65">
        <v>46156</v>
      </c>
      <c r="P764" s="64">
        <f t="shared" si="1559"/>
        <v>2000</v>
      </c>
      <c r="Q764" s="64" t="s">
        <v>33</v>
      </c>
      <c r="R764" s="64" t="s">
        <v>56</v>
      </c>
      <c r="S764" s="64">
        <v>20500</v>
      </c>
      <c r="T764" s="64" t="s">
        <v>33</v>
      </c>
      <c r="U764" s="65" t="s">
        <v>33</v>
      </c>
      <c r="V764" s="64" t="s">
        <v>28</v>
      </c>
      <c r="W764" s="64">
        <f t="shared" si="1560"/>
        <v>2500</v>
      </c>
      <c r="X764" s="64" t="s">
        <v>963</v>
      </c>
      <c r="Y764" s="64" t="s">
        <v>29</v>
      </c>
      <c r="Z764" s="71">
        <f t="shared" si="1561"/>
        <v>13.888888888888889</v>
      </c>
      <c r="AA764" s="93"/>
    </row>
    <row r="765" spans="1:27" hidden="1">
      <c r="A765" s="64">
        <f>SUBTOTAL(3,C$2:C765)</f>
        <v>467</v>
      </c>
      <c r="B765" s="64" t="s">
        <v>1086</v>
      </c>
      <c r="C765" s="64" t="s">
        <v>31</v>
      </c>
      <c r="D765" s="64" t="s">
        <v>32</v>
      </c>
      <c r="E765" s="64" t="s">
        <v>33</v>
      </c>
      <c r="F765" s="63" t="s">
        <v>1608</v>
      </c>
      <c r="G765" s="91" t="s">
        <v>34</v>
      </c>
      <c r="H765" s="77" t="s">
        <v>1609</v>
      </c>
      <c r="I765" s="65">
        <v>46156</v>
      </c>
      <c r="J765" s="64">
        <f t="shared" ca="1" si="1557"/>
        <v>28</v>
      </c>
      <c r="K765" s="64" t="str">
        <f t="shared" si="1558"/>
        <v>Pending</v>
      </c>
      <c r="L765" s="63" t="s">
        <v>111</v>
      </c>
      <c r="M765" s="64">
        <v>11700</v>
      </c>
      <c r="N765" s="64">
        <v>10700</v>
      </c>
      <c r="O765" s="65">
        <v>46157</v>
      </c>
      <c r="P765" s="64">
        <f t="shared" si="1559"/>
        <v>1000</v>
      </c>
      <c r="Q765" s="64" t="s">
        <v>33</v>
      </c>
      <c r="R765" s="64" t="s">
        <v>112</v>
      </c>
      <c r="S765" s="64">
        <v>13500</v>
      </c>
      <c r="T765" s="64" t="s">
        <v>33</v>
      </c>
      <c r="U765" s="65" t="s">
        <v>33</v>
      </c>
      <c r="V765" s="64" t="s">
        <v>28</v>
      </c>
      <c r="W765" s="64">
        <f t="shared" si="1560"/>
        <v>1800</v>
      </c>
      <c r="X765" s="64" t="s">
        <v>963</v>
      </c>
      <c r="Y765" s="64" t="s">
        <v>29</v>
      </c>
      <c r="Z765" s="71">
        <f t="shared" si="1561"/>
        <v>15.384615384615385</v>
      </c>
      <c r="AA765" s="93"/>
    </row>
    <row r="766" spans="1:27" hidden="1">
      <c r="A766" s="64">
        <f>SUBTOTAL(3,C$2:C766)</f>
        <v>467</v>
      </c>
      <c r="B766" s="64" t="s">
        <v>1086</v>
      </c>
      <c r="C766" s="64" t="s">
        <v>44</v>
      </c>
      <c r="D766" s="64" t="s">
        <v>32</v>
      </c>
      <c r="E766" s="64" t="s">
        <v>33</v>
      </c>
      <c r="F766" s="63" t="s">
        <v>380</v>
      </c>
      <c r="G766" s="91">
        <v>407</v>
      </c>
      <c r="H766" s="100" t="s">
        <v>1610</v>
      </c>
      <c r="I766" s="65">
        <v>46156</v>
      </c>
      <c r="J766" s="64">
        <f t="shared" ca="1" si="1557"/>
        <v>28</v>
      </c>
      <c r="K766" s="64" t="str">
        <f t="shared" si="1558"/>
        <v>Pending</v>
      </c>
      <c r="L766" s="63" t="s">
        <v>381</v>
      </c>
      <c r="M766" s="64">
        <v>28000</v>
      </c>
      <c r="N766" s="64">
        <v>25000</v>
      </c>
      <c r="O766" s="65">
        <v>46157</v>
      </c>
      <c r="P766" s="64">
        <f t="shared" si="1559"/>
        <v>3000</v>
      </c>
      <c r="Q766" s="64" t="s">
        <v>33</v>
      </c>
      <c r="R766" s="64" t="s">
        <v>56</v>
      </c>
      <c r="S766" s="64">
        <v>30800</v>
      </c>
      <c r="T766" s="64" t="s">
        <v>33</v>
      </c>
      <c r="U766" s="65" t="s">
        <v>33</v>
      </c>
      <c r="V766" s="64" t="s">
        <v>28</v>
      </c>
      <c r="W766" s="64">
        <f t="shared" si="1560"/>
        <v>2800</v>
      </c>
      <c r="X766" s="64" t="s">
        <v>36</v>
      </c>
      <c r="Y766" s="64" t="s">
        <v>29</v>
      </c>
      <c r="Z766" s="71">
        <f t="shared" si="1561"/>
        <v>10</v>
      </c>
      <c r="AA766" s="93"/>
    </row>
    <row r="767" spans="1:27" hidden="1">
      <c r="A767" s="64">
        <f>SUBTOTAL(3,C$2:C767)</f>
        <v>467</v>
      </c>
      <c r="B767" s="64" t="s">
        <v>1086</v>
      </c>
      <c r="C767" s="64" t="s">
        <v>31</v>
      </c>
      <c r="D767" s="64" t="s">
        <v>32</v>
      </c>
      <c r="E767" s="64" t="s">
        <v>33</v>
      </c>
      <c r="F767" s="63" t="s">
        <v>1608</v>
      </c>
      <c r="G767" s="91" t="s">
        <v>34</v>
      </c>
      <c r="H767" s="100" t="s">
        <v>1611</v>
      </c>
      <c r="I767" s="65">
        <v>46156</v>
      </c>
      <c r="J767" s="64">
        <f t="shared" ref="J767:J769" ca="1" si="1562">+TODAY()-I767</f>
        <v>28</v>
      </c>
      <c r="K767" s="64">
        <f t="shared" ref="K767:K769" si="1563">+U767</f>
        <v>46169</v>
      </c>
      <c r="L767" s="63" t="s">
        <v>355</v>
      </c>
      <c r="M767" s="64">
        <v>19000</v>
      </c>
      <c r="N767" s="64">
        <v>17000</v>
      </c>
      <c r="O767" s="65">
        <v>46157</v>
      </c>
      <c r="P767" s="64">
        <f t="shared" ref="P767:P769" si="1564">+M767-N767</f>
        <v>2000</v>
      </c>
      <c r="Q767" s="64" t="s">
        <v>33</v>
      </c>
      <c r="R767" s="64" t="s">
        <v>39</v>
      </c>
      <c r="S767" s="64">
        <v>21800</v>
      </c>
      <c r="T767" s="64" t="s">
        <v>2672</v>
      </c>
      <c r="U767" s="65">
        <v>46169</v>
      </c>
      <c r="V767" s="64" t="s">
        <v>28</v>
      </c>
      <c r="W767" s="64">
        <f t="shared" ref="W767:W769" si="1565">+S767-M767</f>
        <v>2800</v>
      </c>
      <c r="X767" s="64" t="s">
        <v>963</v>
      </c>
      <c r="Y767" s="64" t="s">
        <v>29</v>
      </c>
      <c r="Z767" s="71">
        <f t="shared" ref="Z767:Z769" si="1566">+W767*100/M767</f>
        <v>14.736842105263158</v>
      </c>
      <c r="AA767" s="93"/>
    </row>
    <row r="768" spans="1:27" hidden="1">
      <c r="A768" s="64">
        <f>SUBTOTAL(3,C$2:C768)</f>
        <v>467</v>
      </c>
      <c r="B768" s="64" t="s">
        <v>1086</v>
      </c>
      <c r="C768" s="64" t="s">
        <v>44</v>
      </c>
      <c r="D768" s="64" t="s">
        <v>32</v>
      </c>
      <c r="E768" s="64" t="s">
        <v>33</v>
      </c>
      <c r="F768" s="63" t="s">
        <v>1612</v>
      </c>
      <c r="G768" s="91" t="s">
        <v>994</v>
      </c>
      <c r="H768" s="100" t="s">
        <v>1613</v>
      </c>
      <c r="I768" s="65">
        <v>46156</v>
      </c>
      <c r="J768" s="64">
        <f t="shared" ca="1" si="1562"/>
        <v>28</v>
      </c>
      <c r="K768" s="64">
        <f t="shared" si="1563"/>
        <v>46170</v>
      </c>
      <c r="L768" s="63" t="s">
        <v>609</v>
      </c>
      <c r="M768" s="64">
        <v>38500</v>
      </c>
      <c r="N768" s="64">
        <v>35500</v>
      </c>
      <c r="O768" s="65">
        <v>46157</v>
      </c>
      <c r="P768" s="64">
        <f t="shared" si="1564"/>
        <v>3000</v>
      </c>
      <c r="Q768" s="64" t="s">
        <v>33</v>
      </c>
      <c r="R768" s="64" t="s">
        <v>52</v>
      </c>
      <c r="S768" s="64">
        <v>41500</v>
      </c>
      <c r="T768" s="64" t="s">
        <v>2682</v>
      </c>
      <c r="U768" s="65">
        <v>46170</v>
      </c>
      <c r="V768" s="64" t="s">
        <v>28</v>
      </c>
      <c r="W768" s="64">
        <f t="shared" si="1565"/>
        <v>3000</v>
      </c>
      <c r="X768" s="64" t="s">
        <v>36</v>
      </c>
      <c r="Y768" s="64" t="s">
        <v>29</v>
      </c>
      <c r="Z768" s="71">
        <f t="shared" si="1566"/>
        <v>7.7922077922077921</v>
      </c>
      <c r="AA768" s="93"/>
    </row>
    <row r="769" spans="1:27" hidden="1">
      <c r="A769" s="64">
        <f>SUBTOTAL(3,C$2:C769)</f>
        <v>467</v>
      </c>
      <c r="B769" s="64" t="s">
        <v>1086</v>
      </c>
      <c r="C769" s="64" t="s">
        <v>80</v>
      </c>
      <c r="D769" s="64" t="s">
        <v>32</v>
      </c>
      <c r="E769" s="64" t="s">
        <v>33</v>
      </c>
      <c r="F769" s="63" t="s">
        <v>1202</v>
      </c>
      <c r="G769" s="91" t="s">
        <v>1215</v>
      </c>
      <c r="H769" s="100" t="s">
        <v>1614</v>
      </c>
      <c r="I769" s="65">
        <v>46156</v>
      </c>
      <c r="J769" s="64">
        <f t="shared" ca="1" si="1562"/>
        <v>28</v>
      </c>
      <c r="K769" s="64">
        <f t="shared" si="1563"/>
        <v>46169</v>
      </c>
      <c r="L769" s="63" t="s">
        <v>995</v>
      </c>
      <c r="M769" s="64">
        <v>28000</v>
      </c>
      <c r="N769" s="64">
        <v>26000</v>
      </c>
      <c r="O769" s="65">
        <v>46157</v>
      </c>
      <c r="P769" s="64">
        <f t="shared" si="1564"/>
        <v>2000</v>
      </c>
      <c r="Q769" s="64" t="s">
        <v>33</v>
      </c>
      <c r="R769" s="64" t="s">
        <v>39</v>
      </c>
      <c r="S769" s="64">
        <v>31500</v>
      </c>
      <c r="T769" s="64" t="s">
        <v>2689</v>
      </c>
      <c r="U769" s="65">
        <v>46169</v>
      </c>
      <c r="V769" s="64" t="s">
        <v>28</v>
      </c>
      <c r="W769" s="64">
        <f t="shared" si="1565"/>
        <v>3500</v>
      </c>
      <c r="X769" s="64" t="s">
        <v>36</v>
      </c>
      <c r="Y769" s="64" t="s">
        <v>29</v>
      </c>
      <c r="Z769" s="71">
        <f t="shared" si="1566"/>
        <v>12.5</v>
      </c>
      <c r="AA769" s="93"/>
    </row>
    <row r="770" spans="1:27" hidden="1">
      <c r="A770" s="64">
        <f>SUBTOTAL(3,C$2:C770)</f>
        <v>467</v>
      </c>
      <c r="B770" s="64" t="s">
        <v>1086</v>
      </c>
      <c r="C770" s="64" t="s">
        <v>44</v>
      </c>
      <c r="D770" s="64" t="s">
        <v>32</v>
      </c>
      <c r="E770" s="64" t="s">
        <v>33</v>
      </c>
      <c r="F770" s="63" t="s">
        <v>1615</v>
      </c>
      <c r="G770" s="91" t="s">
        <v>994</v>
      </c>
      <c r="H770" s="77" t="s">
        <v>1616</v>
      </c>
      <c r="I770" s="65">
        <v>46156</v>
      </c>
      <c r="J770" s="64">
        <f t="shared" ref="J770:J771" ca="1" si="1567">+TODAY()-I770</f>
        <v>28</v>
      </c>
      <c r="K770" s="64" t="str">
        <f t="shared" ref="K770:K771" si="1568">+U770</f>
        <v>Pending</v>
      </c>
      <c r="L770" s="63" t="s">
        <v>995</v>
      </c>
      <c r="M770" s="64">
        <v>39000</v>
      </c>
      <c r="N770" s="64">
        <v>36000</v>
      </c>
      <c r="O770" s="65">
        <v>46157</v>
      </c>
      <c r="P770" s="64">
        <f t="shared" ref="P770:P771" si="1569">+M770-N770</f>
        <v>3000</v>
      </c>
      <c r="Q770" s="64" t="s">
        <v>33</v>
      </c>
      <c r="R770" s="64" t="s">
        <v>52</v>
      </c>
      <c r="S770" s="64">
        <v>46500</v>
      </c>
      <c r="T770" s="64" t="s">
        <v>33</v>
      </c>
      <c r="U770" s="65" t="s">
        <v>33</v>
      </c>
      <c r="V770" s="64" t="s">
        <v>28</v>
      </c>
      <c r="W770" s="64">
        <f t="shared" ref="W770:W771" si="1570">+S770-M770</f>
        <v>7500</v>
      </c>
      <c r="X770" s="64" t="s">
        <v>36</v>
      </c>
      <c r="Y770" s="64" t="s">
        <v>29</v>
      </c>
      <c r="Z770" s="71">
        <f t="shared" ref="Z770:Z771" si="1571">+W770*100/M770</f>
        <v>19.23076923076923</v>
      </c>
      <c r="AA770" s="93"/>
    </row>
    <row r="771" spans="1:27" hidden="1">
      <c r="A771" s="64">
        <f>SUBTOTAL(3,C$2:C771)</f>
        <v>467</v>
      </c>
      <c r="B771" s="64" t="s">
        <v>1086</v>
      </c>
      <c r="C771" s="64" t="s">
        <v>1031</v>
      </c>
      <c r="D771" s="64" t="s">
        <v>32</v>
      </c>
      <c r="E771" s="64" t="s">
        <v>33</v>
      </c>
      <c r="F771" s="63" t="s">
        <v>931</v>
      </c>
      <c r="G771" s="91" t="s">
        <v>34</v>
      </c>
      <c r="H771" s="100" t="s">
        <v>1617</v>
      </c>
      <c r="I771" s="65">
        <v>46156</v>
      </c>
      <c r="J771" s="64">
        <f t="shared" ca="1" si="1567"/>
        <v>28</v>
      </c>
      <c r="K771" s="64">
        <f t="shared" si="1568"/>
        <v>46169</v>
      </c>
      <c r="L771" s="63" t="s">
        <v>1024</v>
      </c>
      <c r="M771" s="64">
        <v>19000</v>
      </c>
      <c r="N771" s="64">
        <v>17000</v>
      </c>
      <c r="O771" s="65">
        <v>46157</v>
      </c>
      <c r="P771" s="64">
        <f t="shared" si="1569"/>
        <v>2000</v>
      </c>
      <c r="Q771" s="64" t="s">
        <v>33</v>
      </c>
      <c r="R771" s="64" t="s">
        <v>39</v>
      </c>
      <c r="S771" s="64">
        <v>21800</v>
      </c>
      <c r="T771" s="64" t="s">
        <v>2672</v>
      </c>
      <c r="U771" s="65">
        <v>46169</v>
      </c>
      <c r="V771" s="64" t="s">
        <v>28</v>
      </c>
      <c r="W771" s="64">
        <f t="shared" si="1570"/>
        <v>2800</v>
      </c>
      <c r="X771" s="64" t="s">
        <v>963</v>
      </c>
      <c r="Y771" s="64" t="s">
        <v>29</v>
      </c>
      <c r="Z771" s="71">
        <f t="shared" si="1571"/>
        <v>14.736842105263158</v>
      </c>
      <c r="AA771" s="93"/>
    </row>
    <row r="772" spans="1:27" hidden="1">
      <c r="A772" s="64">
        <f>SUBTOTAL(3,C$2:C772)</f>
        <v>467</v>
      </c>
      <c r="B772" s="64" t="s">
        <v>1086</v>
      </c>
      <c r="C772" s="64" t="s">
        <v>1031</v>
      </c>
      <c r="D772" s="64" t="s">
        <v>32</v>
      </c>
      <c r="E772" s="64" t="s">
        <v>33</v>
      </c>
      <c r="F772" s="63" t="s">
        <v>696</v>
      </c>
      <c r="G772" s="91" t="s">
        <v>34</v>
      </c>
      <c r="H772" s="100" t="s">
        <v>1618</v>
      </c>
      <c r="I772" s="65">
        <v>46156</v>
      </c>
      <c r="J772" s="64">
        <f t="shared" ref="J772" ca="1" si="1572">+TODAY()-I772</f>
        <v>28</v>
      </c>
      <c r="K772" s="64">
        <f t="shared" ref="K772" si="1573">+U772</f>
        <v>46169</v>
      </c>
      <c r="L772" s="63" t="s">
        <v>698</v>
      </c>
      <c r="M772" s="64">
        <v>18000</v>
      </c>
      <c r="N772" s="64">
        <v>16000</v>
      </c>
      <c r="O772" s="65">
        <v>46157</v>
      </c>
      <c r="P772" s="64">
        <f t="shared" ref="P772" si="1574">+M772-N772</f>
        <v>2000</v>
      </c>
      <c r="Q772" s="64" t="s">
        <v>33</v>
      </c>
      <c r="R772" s="64" t="s">
        <v>56</v>
      </c>
      <c r="S772" s="64">
        <v>20500</v>
      </c>
      <c r="T772" s="64" t="s">
        <v>2691</v>
      </c>
      <c r="U772" s="65">
        <v>46169</v>
      </c>
      <c r="V772" s="64" t="s">
        <v>28</v>
      </c>
      <c r="W772" s="64">
        <f t="shared" ref="W772" si="1575">+S772-M772</f>
        <v>2500</v>
      </c>
      <c r="X772" s="64" t="s">
        <v>963</v>
      </c>
      <c r="Y772" s="64" t="s">
        <v>29</v>
      </c>
      <c r="Z772" s="71">
        <f t="shared" ref="Z772" si="1576">+W772*100/M772</f>
        <v>13.888888888888889</v>
      </c>
      <c r="AA772" s="93"/>
    </row>
    <row r="773" spans="1:27" hidden="1">
      <c r="A773" s="64">
        <f>SUBTOTAL(3,C$2:C773)</f>
        <v>467</v>
      </c>
      <c r="B773" s="64" t="s">
        <v>1086</v>
      </c>
      <c r="C773" s="64" t="s">
        <v>1031</v>
      </c>
      <c r="D773" s="64" t="s">
        <v>32</v>
      </c>
      <c r="E773" s="64" t="s">
        <v>33</v>
      </c>
      <c r="F773" s="63" t="s">
        <v>1619</v>
      </c>
      <c r="G773" s="91" t="s">
        <v>34</v>
      </c>
      <c r="H773" s="100" t="s">
        <v>1620</v>
      </c>
      <c r="I773" s="65">
        <v>46157</v>
      </c>
      <c r="J773" s="64">
        <f t="shared" ref="J773:J774" ca="1" si="1577">+TODAY()-I773</f>
        <v>27</v>
      </c>
      <c r="K773" s="64">
        <f t="shared" ref="K773:K774" si="1578">+U773</f>
        <v>46169</v>
      </c>
      <c r="L773" s="63" t="s">
        <v>1024</v>
      </c>
      <c r="M773" s="64">
        <v>19000</v>
      </c>
      <c r="N773" s="64">
        <v>17000</v>
      </c>
      <c r="O773" s="65">
        <v>46157</v>
      </c>
      <c r="P773" s="64">
        <f t="shared" ref="P773:P774" si="1579">+M773-N773</f>
        <v>2000</v>
      </c>
      <c r="Q773" s="64" t="s">
        <v>33</v>
      </c>
      <c r="R773" s="64" t="s">
        <v>39</v>
      </c>
      <c r="S773" s="64">
        <v>21800</v>
      </c>
      <c r="T773" s="64" t="s">
        <v>2672</v>
      </c>
      <c r="U773" s="65">
        <v>46169</v>
      </c>
      <c r="V773" s="64" t="s">
        <v>28</v>
      </c>
      <c r="W773" s="64">
        <f t="shared" ref="W773:W774" si="1580">+S773-M773</f>
        <v>2800</v>
      </c>
      <c r="X773" s="64" t="s">
        <v>963</v>
      </c>
      <c r="Y773" s="64" t="s">
        <v>29</v>
      </c>
      <c r="Z773" s="71">
        <f t="shared" ref="Z773:Z774" si="1581">+W773*100/M773</f>
        <v>14.736842105263158</v>
      </c>
      <c r="AA773" s="93"/>
    </row>
    <row r="774" spans="1:27" hidden="1">
      <c r="A774" s="64">
        <f>SUBTOTAL(3,C$2:C774)</f>
        <v>467</v>
      </c>
      <c r="B774" s="64" t="s">
        <v>1086</v>
      </c>
      <c r="C774" s="64" t="s">
        <v>80</v>
      </c>
      <c r="D774" s="64" t="s">
        <v>32</v>
      </c>
      <c r="E774" s="64" t="s">
        <v>33</v>
      </c>
      <c r="F774" s="63" t="s">
        <v>1621</v>
      </c>
      <c r="G774" s="91" t="s">
        <v>1215</v>
      </c>
      <c r="H774" s="100" t="s">
        <v>1622</v>
      </c>
      <c r="I774" s="65">
        <v>46157</v>
      </c>
      <c r="J774" s="64">
        <f t="shared" ca="1" si="1577"/>
        <v>27</v>
      </c>
      <c r="K774" s="64">
        <f t="shared" si="1578"/>
        <v>46169</v>
      </c>
      <c r="L774" s="63" t="s">
        <v>995</v>
      </c>
      <c r="M774" s="64">
        <v>28000</v>
      </c>
      <c r="N774" s="64">
        <v>26000</v>
      </c>
      <c r="O774" s="65">
        <v>46157</v>
      </c>
      <c r="P774" s="64">
        <f t="shared" si="1579"/>
        <v>2000</v>
      </c>
      <c r="Q774" s="64" t="s">
        <v>33</v>
      </c>
      <c r="R774" s="64" t="s">
        <v>39</v>
      </c>
      <c r="S774" s="64">
        <v>31500</v>
      </c>
      <c r="T774" s="64" t="s">
        <v>2689</v>
      </c>
      <c r="U774" s="65">
        <v>46169</v>
      </c>
      <c r="V774" s="64" t="s">
        <v>28</v>
      </c>
      <c r="W774" s="64">
        <f t="shared" si="1580"/>
        <v>3500</v>
      </c>
      <c r="X774" s="64" t="s">
        <v>36</v>
      </c>
      <c r="Y774" s="64" t="s">
        <v>29</v>
      </c>
      <c r="Z774" s="71">
        <f t="shared" si="1581"/>
        <v>12.5</v>
      </c>
      <c r="AA774" s="93"/>
    </row>
    <row r="775" spans="1:27" hidden="1">
      <c r="A775" s="64">
        <f>SUBTOTAL(3,C$2:C775)</f>
        <v>467</v>
      </c>
      <c r="B775" s="64" t="s">
        <v>1086</v>
      </c>
      <c r="C775" s="64" t="s">
        <v>1031</v>
      </c>
      <c r="D775" s="64" t="s">
        <v>32</v>
      </c>
      <c r="E775" s="64" t="s">
        <v>33</v>
      </c>
      <c r="F775" s="63" t="s">
        <v>1623</v>
      </c>
      <c r="G775" s="91" t="s">
        <v>34</v>
      </c>
      <c r="H775" s="100" t="s">
        <v>1624</v>
      </c>
      <c r="I775" s="65">
        <v>46157</v>
      </c>
      <c r="J775" s="64">
        <f t="shared" ref="J775:J781" ca="1" si="1582">+TODAY()-I775</f>
        <v>27</v>
      </c>
      <c r="K775" s="64">
        <f t="shared" ref="K775:K781" si="1583">+U775</f>
        <v>46169</v>
      </c>
      <c r="L775" s="63" t="s">
        <v>1024</v>
      </c>
      <c r="M775" s="64">
        <v>19000</v>
      </c>
      <c r="N775" s="64">
        <v>17000</v>
      </c>
      <c r="O775" s="65">
        <v>46157</v>
      </c>
      <c r="P775" s="64">
        <f t="shared" ref="P775:P781" si="1584">+M775-N775</f>
        <v>2000</v>
      </c>
      <c r="Q775" s="64" t="s">
        <v>33</v>
      </c>
      <c r="R775" s="64" t="s">
        <v>39</v>
      </c>
      <c r="S775" s="64">
        <v>21800</v>
      </c>
      <c r="T775" s="64" t="s">
        <v>2672</v>
      </c>
      <c r="U775" s="65">
        <v>46169</v>
      </c>
      <c r="V775" s="64" t="s">
        <v>28</v>
      </c>
      <c r="W775" s="64">
        <f t="shared" ref="W775:W781" si="1585">+S775-M775</f>
        <v>2800</v>
      </c>
      <c r="X775" s="64" t="s">
        <v>963</v>
      </c>
      <c r="Y775" s="64" t="s">
        <v>29</v>
      </c>
      <c r="Z775" s="71">
        <f t="shared" ref="Z775:Z781" si="1586">+W775*100/M775</f>
        <v>14.736842105263158</v>
      </c>
      <c r="AA775" s="93"/>
    </row>
    <row r="776" spans="1:27" hidden="1">
      <c r="A776" s="64">
        <f>SUBTOTAL(3,C$2:C776)</f>
        <v>467</v>
      </c>
      <c r="B776" s="64" t="s">
        <v>1086</v>
      </c>
      <c r="C776" s="64" t="s">
        <v>31</v>
      </c>
      <c r="D776" s="64" t="s">
        <v>32</v>
      </c>
      <c r="E776" s="64" t="s">
        <v>33</v>
      </c>
      <c r="F776" s="63" t="s">
        <v>253</v>
      </c>
      <c r="G776" s="91" t="s">
        <v>34</v>
      </c>
      <c r="H776" s="100" t="s">
        <v>1625</v>
      </c>
      <c r="I776" s="65">
        <v>46157</v>
      </c>
      <c r="J776" s="64">
        <f t="shared" ca="1" si="1582"/>
        <v>27</v>
      </c>
      <c r="K776" s="64" t="str">
        <f t="shared" si="1583"/>
        <v>Pending</v>
      </c>
      <c r="L776" s="63" t="s">
        <v>483</v>
      </c>
      <c r="M776" s="64">
        <v>23300</v>
      </c>
      <c r="N776" s="64">
        <v>21500</v>
      </c>
      <c r="O776" s="65">
        <v>46157</v>
      </c>
      <c r="P776" s="64">
        <f t="shared" si="1584"/>
        <v>1800</v>
      </c>
      <c r="Q776" s="64" t="s">
        <v>33</v>
      </c>
      <c r="R776" s="64" t="s">
        <v>37</v>
      </c>
      <c r="S776" s="64">
        <v>26000</v>
      </c>
      <c r="T776" s="64" t="s">
        <v>33</v>
      </c>
      <c r="U776" s="65" t="s">
        <v>33</v>
      </c>
      <c r="V776" s="64" t="s">
        <v>28</v>
      </c>
      <c r="W776" s="64">
        <f t="shared" si="1585"/>
        <v>2700</v>
      </c>
      <c r="X776" s="64" t="s">
        <v>963</v>
      </c>
      <c r="Y776" s="64" t="s">
        <v>29</v>
      </c>
      <c r="Z776" s="71">
        <f t="shared" si="1586"/>
        <v>11.587982832618026</v>
      </c>
      <c r="AA776" s="93"/>
    </row>
    <row r="777" spans="1:27" hidden="1">
      <c r="A777" s="64">
        <f>SUBTOTAL(3,C$2:C777)</f>
        <v>467</v>
      </c>
      <c r="B777" s="64" t="s">
        <v>1086</v>
      </c>
      <c r="C777" s="64" t="s">
        <v>1031</v>
      </c>
      <c r="D777" s="64" t="s">
        <v>32</v>
      </c>
      <c r="E777" s="64" t="s">
        <v>33</v>
      </c>
      <c r="F777" s="63" t="s">
        <v>1629</v>
      </c>
      <c r="G777" s="91" t="s">
        <v>34</v>
      </c>
      <c r="H777" s="100" t="s">
        <v>1627</v>
      </c>
      <c r="I777" s="65">
        <v>46157</v>
      </c>
      <c r="J777" s="64">
        <f t="shared" ca="1" si="1582"/>
        <v>27</v>
      </c>
      <c r="K777" s="64" t="str">
        <f t="shared" si="1583"/>
        <v>Pending</v>
      </c>
      <c r="L777" s="63" t="s">
        <v>1034</v>
      </c>
      <c r="M777" s="64">
        <v>18300</v>
      </c>
      <c r="N777" s="64">
        <v>16500</v>
      </c>
      <c r="O777" s="65">
        <v>46157</v>
      </c>
      <c r="P777" s="64">
        <f t="shared" si="1584"/>
        <v>1800</v>
      </c>
      <c r="Q777" s="64" t="s">
        <v>33</v>
      </c>
      <c r="R777" s="64" t="s">
        <v>37</v>
      </c>
      <c r="S777" s="64">
        <v>21500</v>
      </c>
      <c r="T777" s="64" t="s">
        <v>33</v>
      </c>
      <c r="U777" s="65" t="s">
        <v>33</v>
      </c>
      <c r="V777" s="64" t="s">
        <v>28</v>
      </c>
      <c r="W777" s="64">
        <f t="shared" si="1585"/>
        <v>3200</v>
      </c>
      <c r="X777" s="64" t="s">
        <v>963</v>
      </c>
      <c r="Y777" s="64" t="s">
        <v>29</v>
      </c>
      <c r="Z777" s="71">
        <f t="shared" si="1586"/>
        <v>17.486338797814209</v>
      </c>
      <c r="AA777" s="93"/>
    </row>
    <row r="778" spans="1:27" hidden="1">
      <c r="A778" s="64">
        <f>SUBTOTAL(3,C$2:C778)</f>
        <v>467</v>
      </c>
      <c r="B778" s="64" t="s">
        <v>1086</v>
      </c>
      <c r="C778" s="64" t="s">
        <v>1031</v>
      </c>
      <c r="D778" s="64" t="s">
        <v>32</v>
      </c>
      <c r="E778" s="64" t="s">
        <v>33</v>
      </c>
      <c r="F778" s="63" t="s">
        <v>194</v>
      </c>
      <c r="G778" s="91" t="s">
        <v>34</v>
      </c>
      <c r="H778" s="100" t="s">
        <v>1630</v>
      </c>
      <c r="I778" s="65">
        <v>46157</v>
      </c>
      <c r="J778" s="64">
        <f t="shared" ca="1" si="1582"/>
        <v>27</v>
      </c>
      <c r="K778" s="64">
        <f t="shared" si="1583"/>
        <v>46169</v>
      </c>
      <c r="L778" s="63" t="s">
        <v>698</v>
      </c>
      <c r="M778" s="64">
        <v>18000</v>
      </c>
      <c r="N778" s="64">
        <v>16000</v>
      </c>
      <c r="O778" s="65">
        <v>46157</v>
      </c>
      <c r="P778" s="64">
        <f t="shared" si="1584"/>
        <v>2000</v>
      </c>
      <c r="Q778" s="64" t="s">
        <v>33</v>
      </c>
      <c r="R778" s="64" t="s">
        <v>56</v>
      </c>
      <c r="S778" s="64">
        <v>20500</v>
      </c>
      <c r="T778" s="64" t="s">
        <v>2690</v>
      </c>
      <c r="U778" s="65">
        <v>46169</v>
      </c>
      <c r="V778" s="64" t="s">
        <v>28</v>
      </c>
      <c r="W778" s="64">
        <f t="shared" si="1585"/>
        <v>2500</v>
      </c>
      <c r="X778" s="64" t="s">
        <v>963</v>
      </c>
      <c r="Y778" s="64" t="s">
        <v>29</v>
      </c>
      <c r="Z778" s="71">
        <f t="shared" si="1586"/>
        <v>13.888888888888889</v>
      </c>
      <c r="AA778" s="93"/>
    </row>
    <row r="779" spans="1:27" hidden="1">
      <c r="A779" s="64">
        <f>SUBTOTAL(3,C$2:C779)</f>
        <v>467</v>
      </c>
      <c r="B779" s="64" t="s">
        <v>1086</v>
      </c>
      <c r="C779" s="64" t="s">
        <v>80</v>
      </c>
      <c r="D779" s="64" t="s">
        <v>32</v>
      </c>
      <c r="E779" s="64" t="s">
        <v>33</v>
      </c>
      <c r="F779" s="63" t="s">
        <v>1631</v>
      </c>
      <c r="G779" s="91" t="s">
        <v>1215</v>
      </c>
      <c r="H779" s="100" t="s">
        <v>1632</v>
      </c>
      <c r="I779" s="65">
        <v>46157</v>
      </c>
      <c r="J779" s="64">
        <f t="shared" ca="1" si="1582"/>
        <v>27</v>
      </c>
      <c r="K779" s="64">
        <f t="shared" si="1583"/>
        <v>46169</v>
      </c>
      <c r="L779" s="63" t="s">
        <v>995</v>
      </c>
      <c r="M779" s="64">
        <v>28000</v>
      </c>
      <c r="N779" s="64">
        <v>26000</v>
      </c>
      <c r="O779" s="65">
        <v>46157</v>
      </c>
      <c r="P779" s="64">
        <f t="shared" si="1584"/>
        <v>2000</v>
      </c>
      <c r="Q779" s="64" t="s">
        <v>33</v>
      </c>
      <c r="R779" s="64" t="s">
        <v>39</v>
      </c>
      <c r="S779" s="64">
        <v>31500</v>
      </c>
      <c r="T779" s="64" t="s">
        <v>2689</v>
      </c>
      <c r="U779" s="65">
        <v>46169</v>
      </c>
      <c r="V779" s="64" t="s">
        <v>28</v>
      </c>
      <c r="W779" s="64">
        <f t="shared" si="1585"/>
        <v>3500</v>
      </c>
      <c r="X779" s="64" t="s">
        <v>36</v>
      </c>
      <c r="Y779" s="64" t="s">
        <v>29</v>
      </c>
      <c r="Z779" s="71">
        <f t="shared" si="1586"/>
        <v>12.5</v>
      </c>
      <c r="AA779" s="93"/>
    </row>
    <row r="780" spans="1:27" hidden="1">
      <c r="A780" s="64">
        <f>SUBTOTAL(3,C$2:C780)</f>
        <v>467</v>
      </c>
      <c r="B780" s="64" t="s">
        <v>1086</v>
      </c>
      <c r="C780" s="64" t="s">
        <v>1031</v>
      </c>
      <c r="D780" s="64" t="s">
        <v>32</v>
      </c>
      <c r="E780" s="64" t="s">
        <v>33</v>
      </c>
      <c r="F780" s="63" t="s">
        <v>1356</v>
      </c>
      <c r="G780" s="91" t="s">
        <v>34</v>
      </c>
      <c r="H780" s="100" t="s">
        <v>1633</v>
      </c>
      <c r="I780" s="65">
        <v>46157</v>
      </c>
      <c r="J780" s="64">
        <f t="shared" ca="1" si="1582"/>
        <v>27</v>
      </c>
      <c r="K780" s="64">
        <f t="shared" si="1583"/>
        <v>46169</v>
      </c>
      <c r="L780" s="63" t="s">
        <v>1024</v>
      </c>
      <c r="M780" s="64">
        <v>19000</v>
      </c>
      <c r="N780" s="64">
        <v>17000</v>
      </c>
      <c r="O780" s="65">
        <v>46157</v>
      </c>
      <c r="P780" s="64">
        <f t="shared" si="1584"/>
        <v>2000</v>
      </c>
      <c r="Q780" s="64" t="s">
        <v>33</v>
      </c>
      <c r="R780" s="64" t="s">
        <v>39</v>
      </c>
      <c r="S780" s="64">
        <v>21800</v>
      </c>
      <c r="T780" s="64" t="s">
        <v>2672</v>
      </c>
      <c r="U780" s="65">
        <v>46169</v>
      </c>
      <c r="V780" s="64" t="s">
        <v>28</v>
      </c>
      <c r="W780" s="64">
        <f t="shared" si="1585"/>
        <v>2800</v>
      </c>
      <c r="X780" s="64" t="s">
        <v>963</v>
      </c>
      <c r="Y780" s="64" t="s">
        <v>29</v>
      </c>
      <c r="Z780" s="71">
        <f t="shared" si="1586"/>
        <v>14.736842105263158</v>
      </c>
      <c r="AA780" s="93"/>
    </row>
    <row r="781" spans="1:27" hidden="1">
      <c r="A781" s="64">
        <f>SUBTOTAL(3,C$2:C781)</f>
        <v>467</v>
      </c>
      <c r="B781" s="64" t="s">
        <v>1086</v>
      </c>
      <c r="C781" s="64" t="s">
        <v>31</v>
      </c>
      <c r="D781" s="64" t="s">
        <v>32</v>
      </c>
      <c r="E781" s="64" t="s">
        <v>33</v>
      </c>
      <c r="F781" s="63" t="s">
        <v>465</v>
      </c>
      <c r="G781" s="91" t="s">
        <v>34</v>
      </c>
      <c r="H781" s="100" t="s">
        <v>1634</v>
      </c>
      <c r="I781" s="65">
        <v>46157</v>
      </c>
      <c r="J781" s="64">
        <f t="shared" ca="1" si="1582"/>
        <v>27</v>
      </c>
      <c r="K781" s="64">
        <f t="shared" si="1583"/>
        <v>46169</v>
      </c>
      <c r="L781" s="63" t="s">
        <v>1411</v>
      </c>
      <c r="M781" s="64">
        <v>19000</v>
      </c>
      <c r="N781" s="64">
        <v>17000</v>
      </c>
      <c r="O781" s="65">
        <v>46157</v>
      </c>
      <c r="P781" s="64">
        <f t="shared" si="1584"/>
        <v>2000</v>
      </c>
      <c r="Q781" s="64" t="s">
        <v>33</v>
      </c>
      <c r="R781" s="64" t="s">
        <v>39</v>
      </c>
      <c r="S781" s="64">
        <v>21800</v>
      </c>
      <c r="T781" s="64" t="s">
        <v>2672</v>
      </c>
      <c r="U781" s="65">
        <v>46169</v>
      </c>
      <c r="V781" s="64" t="s">
        <v>28</v>
      </c>
      <c r="W781" s="64">
        <f t="shared" si="1585"/>
        <v>2800</v>
      </c>
      <c r="X781" s="64" t="s">
        <v>963</v>
      </c>
      <c r="Y781" s="64" t="s">
        <v>29</v>
      </c>
      <c r="Z781" s="71">
        <f t="shared" si="1586"/>
        <v>14.736842105263158</v>
      </c>
      <c r="AA781" s="93"/>
    </row>
    <row r="782" spans="1:27" hidden="1">
      <c r="A782" s="64">
        <f>SUBTOTAL(3,C$2:C782)</f>
        <v>467</v>
      </c>
      <c r="B782" s="64" t="s">
        <v>1086</v>
      </c>
      <c r="C782" s="64" t="s">
        <v>31</v>
      </c>
      <c r="D782" s="64" t="s">
        <v>32</v>
      </c>
      <c r="E782" s="64" t="s">
        <v>33</v>
      </c>
      <c r="F782" s="63" t="s">
        <v>1626</v>
      </c>
      <c r="G782" s="91" t="s">
        <v>34</v>
      </c>
      <c r="H782" s="100" t="s">
        <v>1628</v>
      </c>
      <c r="I782" s="65">
        <v>46156</v>
      </c>
      <c r="J782" s="64">
        <f t="shared" ref="J782" ca="1" si="1587">+TODAY()-I782</f>
        <v>28</v>
      </c>
      <c r="K782" s="64" t="str">
        <f t="shared" ref="K782" si="1588">+U782</f>
        <v>Pending</v>
      </c>
      <c r="L782" s="63" t="s">
        <v>483</v>
      </c>
      <c r="M782" s="64">
        <v>23300</v>
      </c>
      <c r="N782" s="64">
        <v>21500</v>
      </c>
      <c r="O782" s="65">
        <v>46157</v>
      </c>
      <c r="P782" s="64">
        <f t="shared" ref="P782" si="1589">+M782-N782</f>
        <v>1800</v>
      </c>
      <c r="Q782" s="64" t="s">
        <v>33</v>
      </c>
      <c r="R782" s="64" t="s">
        <v>37</v>
      </c>
      <c r="S782" s="64">
        <v>26000</v>
      </c>
      <c r="T782" s="64" t="s">
        <v>33</v>
      </c>
      <c r="U782" s="65" t="s">
        <v>33</v>
      </c>
      <c r="V782" s="64" t="s">
        <v>28</v>
      </c>
      <c r="W782" s="64">
        <f t="shared" ref="W782" si="1590">+S782-M782</f>
        <v>2700</v>
      </c>
      <c r="X782" s="64" t="s">
        <v>963</v>
      </c>
      <c r="Y782" s="64" t="s">
        <v>29</v>
      </c>
      <c r="Z782" s="71">
        <f t="shared" ref="Z782" si="1591">+W782*100/M782</f>
        <v>11.587982832618026</v>
      </c>
      <c r="AA782" s="93"/>
    </row>
    <row r="783" spans="1:27" hidden="1">
      <c r="A783" s="64">
        <f>SUBTOTAL(3,C$2:C783)</f>
        <v>467</v>
      </c>
      <c r="B783" s="64" t="s">
        <v>1086</v>
      </c>
      <c r="C783" s="64" t="s">
        <v>1031</v>
      </c>
      <c r="D783" s="64" t="s">
        <v>32</v>
      </c>
      <c r="E783" s="64" t="s">
        <v>33</v>
      </c>
      <c r="F783" s="63" t="s">
        <v>1635</v>
      </c>
      <c r="G783" s="91" t="s">
        <v>34</v>
      </c>
      <c r="H783" s="100" t="s">
        <v>1636</v>
      </c>
      <c r="I783" s="65">
        <v>46157</v>
      </c>
      <c r="J783" s="64">
        <f t="shared" ref="J783:J785" ca="1" si="1592">+TODAY()-I783</f>
        <v>27</v>
      </c>
      <c r="K783" s="64" t="str">
        <f t="shared" ref="K783:K785" si="1593">+U783</f>
        <v>Pending</v>
      </c>
      <c r="L783" s="63" t="s">
        <v>1034</v>
      </c>
      <c r="M783" s="64">
        <v>18300</v>
      </c>
      <c r="N783" s="64">
        <v>16500</v>
      </c>
      <c r="O783" s="65">
        <v>46157</v>
      </c>
      <c r="P783" s="64">
        <f t="shared" ref="P783:P785" si="1594">+M783-N783</f>
        <v>1800</v>
      </c>
      <c r="Q783" s="64" t="s">
        <v>33</v>
      </c>
      <c r="R783" s="64" t="s">
        <v>37</v>
      </c>
      <c r="S783" s="64">
        <v>21500</v>
      </c>
      <c r="T783" s="64" t="s">
        <v>33</v>
      </c>
      <c r="U783" s="65" t="s">
        <v>33</v>
      </c>
      <c r="V783" s="64" t="s">
        <v>28</v>
      </c>
      <c r="W783" s="64">
        <f t="shared" ref="W783:W785" si="1595">+S783-M783</f>
        <v>3200</v>
      </c>
      <c r="X783" s="64" t="s">
        <v>963</v>
      </c>
      <c r="Y783" s="64" t="s">
        <v>29</v>
      </c>
      <c r="Z783" s="71">
        <f t="shared" ref="Z783:Z785" si="1596">+W783*100/M783</f>
        <v>17.486338797814209</v>
      </c>
      <c r="AA783" s="93"/>
    </row>
    <row r="784" spans="1:27" hidden="1">
      <c r="A784" s="64">
        <f>SUBTOTAL(3,C$2:C784)</f>
        <v>467</v>
      </c>
      <c r="B784" s="64" t="s">
        <v>1086</v>
      </c>
      <c r="C784" s="64" t="s">
        <v>137</v>
      </c>
      <c r="D784" s="64" t="s">
        <v>32</v>
      </c>
      <c r="E784" s="64" t="s">
        <v>33</v>
      </c>
      <c r="F784" s="63" t="s">
        <v>138</v>
      </c>
      <c r="G784" s="91" t="s">
        <v>50</v>
      </c>
      <c r="H784" s="100" t="s">
        <v>1652</v>
      </c>
      <c r="I784" s="65">
        <v>46157</v>
      </c>
      <c r="J784" s="64">
        <f t="shared" ca="1" si="1592"/>
        <v>27</v>
      </c>
      <c r="K784" s="64">
        <f t="shared" si="1593"/>
        <v>46170</v>
      </c>
      <c r="L784" s="63" t="s">
        <v>580</v>
      </c>
      <c r="M784" s="64">
        <v>44000</v>
      </c>
      <c r="N784" s="64">
        <v>40000</v>
      </c>
      <c r="O784" s="65">
        <v>46157</v>
      </c>
      <c r="P784" s="64">
        <f t="shared" si="1594"/>
        <v>4000</v>
      </c>
      <c r="Q784" s="64" t="s">
        <v>33</v>
      </c>
      <c r="R784" s="64" t="s">
        <v>52</v>
      </c>
      <c r="S784" s="64">
        <v>48000</v>
      </c>
      <c r="T784" s="64" t="s">
        <v>2697</v>
      </c>
      <c r="U784" s="65">
        <v>46170</v>
      </c>
      <c r="V784" s="64" t="s">
        <v>28</v>
      </c>
      <c r="W784" s="64">
        <f t="shared" si="1595"/>
        <v>4000</v>
      </c>
      <c r="X784" s="64" t="s">
        <v>36</v>
      </c>
      <c r="Y784" s="64" t="s">
        <v>29</v>
      </c>
      <c r="Z784" s="71">
        <f t="shared" si="1596"/>
        <v>9.0909090909090917</v>
      </c>
      <c r="AA784" s="93"/>
    </row>
    <row r="785" spans="1:27" hidden="1">
      <c r="A785" s="64">
        <f>SUBTOTAL(3,C$2:C785)</f>
        <v>467</v>
      </c>
      <c r="B785" s="64" t="s">
        <v>1086</v>
      </c>
      <c r="C785" s="64" t="s">
        <v>44</v>
      </c>
      <c r="D785" s="64" t="s">
        <v>32</v>
      </c>
      <c r="E785" s="64" t="s">
        <v>33</v>
      </c>
      <c r="F785" s="63" t="s">
        <v>1637</v>
      </c>
      <c r="G785" s="91" t="s">
        <v>1215</v>
      </c>
      <c r="H785" s="100" t="s">
        <v>1653</v>
      </c>
      <c r="I785" s="65">
        <v>46155</v>
      </c>
      <c r="J785" s="64">
        <f t="shared" ca="1" si="1592"/>
        <v>29</v>
      </c>
      <c r="K785" s="64">
        <f t="shared" si="1593"/>
        <v>46169</v>
      </c>
      <c r="L785" s="63" t="s">
        <v>995</v>
      </c>
      <c r="M785" s="64">
        <v>28000</v>
      </c>
      <c r="N785" s="64">
        <v>26000</v>
      </c>
      <c r="O785" s="65">
        <v>46157</v>
      </c>
      <c r="P785" s="64">
        <f t="shared" si="1594"/>
        <v>2000</v>
      </c>
      <c r="Q785" s="64" t="s">
        <v>33</v>
      </c>
      <c r="R785" s="64" t="s">
        <v>39</v>
      </c>
      <c r="S785" s="64">
        <v>31500</v>
      </c>
      <c r="T785" s="64" t="s">
        <v>2689</v>
      </c>
      <c r="U785" s="65">
        <v>46169</v>
      </c>
      <c r="V785" s="64" t="s">
        <v>28</v>
      </c>
      <c r="W785" s="64">
        <f t="shared" si="1595"/>
        <v>3500</v>
      </c>
      <c r="X785" s="64" t="s">
        <v>36</v>
      </c>
      <c r="Y785" s="64" t="s">
        <v>29</v>
      </c>
      <c r="Z785" s="71">
        <f t="shared" si="1596"/>
        <v>12.5</v>
      </c>
      <c r="AA785" s="93"/>
    </row>
    <row r="786" spans="1:27" hidden="1">
      <c r="A786" s="64">
        <f>SUBTOTAL(3,C$2:C786)</f>
        <v>467</v>
      </c>
      <c r="B786" s="64" t="s">
        <v>1086</v>
      </c>
      <c r="C786" s="64" t="s">
        <v>44</v>
      </c>
      <c r="D786" s="64" t="s">
        <v>32</v>
      </c>
      <c r="E786" s="64" t="s">
        <v>33</v>
      </c>
      <c r="F786" s="63" t="s">
        <v>211</v>
      </c>
      <c r="G786" s="91" t="s">
        <v>1215</v>
      </c>
      <c r="H786" s="100" t="s">
        <v>1654</v>
      </c>
      <c r="I786" s="65">
        <v>46154</v>
      </c>
      <c r="J786" s="64">
        <f t="shared" ref="J786:J787" ca="1" si="1597">+TODAY()-I786</f>
        <v>30</v>
      </c>
      <c r="K786" s="64" t="str">
        <f t="shared" ref="K786:K787" si="1598">+U786</f>
        <v>Pending</v>
      </c>
      <c r="L786" s="63" t="s">
        <v>1288</v>
      </c>
      <c r="M786" s="64">
        <v>18500</v>
      </c>
      <c r="N786" s="64">
        <v>18500</v>
      </c>
      <c r="O786" s="65">
        <v>46157</v>
      </c>
      <c r="P786" s="64">
        <f t="shared" ref="P786:P787" si="1599">+M786-N786</f>
        <v>0</v>
      </c>
      <c r="Q786" s="64" t="s">
        <v>33</v>
      </c>
      <c r="R786" s="64" t="s">
        <v>2748</v>
      </c>
      <c r="S786" s="64">
        <v>21000</v>
      </c>
      <c r="T786" s="64" t="s">
        <v>33</v>
      </c>
      <c r="U786" s="65" t="s">
        <v>33</v>
      </c>
      <c r="V786" s="64" t="s">
        <v>28</v>
      </c>
      <c r="W786" s="64">
        <f t="shared" ref="W786:W787" si="1600">+S786-M786</f>
        <v>2500</v>
      </c>
      <c r="X786" s="64" t="s">
        <v>36</v>
      </c>
      <c r="Y786" s="64" t="s">
        <v>29</v>
      </c>
      <c r="Z786" s="71">
        <f t="shared" ref="Z786:Z787" si="1601">+W786*100/M786</f>
        <v>13.513513513513514</v>
      </c>
      <c r="AA786" s="93"/>
    </row>
    <row r="787" spans="1:27" hidden="1">
      <c r="A787" s="64">
        <f>SUBTOTAL(3,C$2:C787)</f>
        <v>467</v>
      </c>
      <c r="B787" s="64" t="s">
        <v>1086</v>
      </c>
      <c r="C787" s="64" t="s">
        <v>44</v>
      </c>
      <c r="D787" s="64" t="s">
        <v>32</v>
      </c>
      <c r="E787" s="64" t="s">
        <v>33</v>
      </c>
      <c r="F787" s="63" t="s">
        <v>1667</v>
      </c>
      <c r="G787" s="91" t="s">
        <v>1215</v>
      </c>
      <c r="H787" s="100" t="s">
        <v>1655</v>
      </c>
      <c r="I787" s="65">
        <v>46157</v>
      </c>
      <c r="J787" s="64">
        <f t="shared" ca="1" si="1597"/>
        <v>27</v>
      </c>
      <c r="K787" s="64">
        <f t="shared" si="1598"/>
        <v>46169</v>
      </c>
      <c r="L787" s="63" t="s">
        <v>397</v>
      </c>
      <c r="M787" s="64">
        <v>19000</v>
      </c>
      <c r="N787" s="64">
        <v>17000</v>
      </c>
      <c r="O787" s="65">
        <v>46158</v>
      </c>
      <c r="P787" s="64">
        <f t="shared" si="1599"/>
        <v>2000</v>
      </c>
      <c r="Q787" s="64" t="s">
        <v>33</v>
      </c>
      <c r="R787" s="64" t="s">
        <v>39</v>
      </c>
      <c r="S787" s="64">
        <v>21800</v>
      </c>
      <c r="T787" s="64" t="s">
        <v>2672</v>
      </c>
      <c r="U787" s="65">
        <v>46169</v>
      </c>
      <c r="V787" s="64" t="s">
        <v>28</v>
      </c>
      <c r="W787" s="64">
        <f t="shared" si="1600"/>
        <v>2800</v>
      </c>
      <c r="X787" s="64" t="s">
        <v>36</v>
      </c>
      <c r="Y787" s="64" t="s">
        <v>29</v>
      </c>
      <c r="Z787" s="71">
        <f t="shared" si="1601"/>
        <v>14.736842105263158</v>
      </c>
      <c r="AA787" s="93"/>
    </row>
    <row r="788" spans="1:27" hidden="1">
      <c r="A788" s="64">
        <f>SUBTOTAL(3,C$2:C788)</f>
        <v>467</v>
      </c>
      <c r="B788" s="64" t="s">
        <v>1086</v>
      </c>
      <c r="C788" s="64" t="s">
        <v>44</v>
      </c>
      <c r="D788" s="64" t="s">
        <v>32</v>
      </c>
      <c r="E788" s="64" t="s">
        <v>33</v>
      </c>
      <c r="F788" s="63" t="s">
        <v>1642</v>
      </c>
      <c r="G788" s="91" t="s">
        <v>1215</v>
      </c>
      <c r="H788" s="100" t="s">
        <v>1656</v>
      </c>
      <c r="I788" s="65">
        <v>46157</v>
      </c>
      <c r="J788" s="64">
        <f t="shared" ref="J788:J789" ca="1" si="1602">+TODAY()-I788</f>
        <v>27</v>
      </c>
      <c r="K788" s="64">
        <f t="shared" ref="K788:K789" si="1603">+U788</f>
        <v>46169</v>
      </c>
      <c r="L788" s="63" t="s">
        <v>1641</v>
      </c>
      <c r="M788" s="64">
        <v>19000</v>
      </c>
      <c r="N788" s="64">
        <v>17000</v>
      </c>
      <c r="O788" s="65">
        <v>46157</v>
      </c>
      <c r="P788" s="64">
        <f t="shared" ref="P788:P789" si="1604">+M788-N788</f>
        <v>2000</v>
      </c>
      <c r="Q788" s="64" t="s">
        <v>33</v>
      </c>
      <c r="R788" s="64" t="s">
        <v>39</v>
      </c>
      <c r="S788" s="64">
        <v>21800</v>
      </c>
      <c r="T788" s="64" t="s">
        <v>2672</v>
      </c>
      <c r="U788" s="65">
        <v>46169</v>
      </c>
      <c r="V788" s="64" t="s">
        <v>28</v>
      </c>
      <c r="W788" s="64">
        <f t="shared" ref="W788:W789" si="1605">+S788-M788</f>
        <v>2800</v>
      </c>
      <c r="X788" s="64" t="s">
        <v>36</v>
      </c>
      <c r="Y788" s="64" t="s">
        <v>29</v>
      </c>
      <c r="Z788" s="71">
        <f t="shared" ref="Z788:Z789" si="1606">+W788*100/M788</f>
        <v>14.736842105263158</v>
      </c>
      <c r="AA788" s="93"/>
    </row>
    <row r="789" spans="1:27" s="101" customFormat="1" hidden="1">
      <c r="A789" s="97">
        <f>SUBTOTAL(3,C$2:C789)</f>
        <v>467</v>
      </c>
      <c r="B789" s="97" t="s">
        <v>1086</v>
      </c>
      <c r="C789" s="97" t="s">
        <v>1031</v>
      </c>
      <c r="D789" s="97" t="s">
        <v>32</v>
      </c>
      <c r="E789" s="97" t="s">
        <v>33</v>
      </c>
      <c r="F789" s="101" t="s">
        <v>1666</v>
      </c>
      <c r="G789" s="102" t="s">
        <v>34</v>
      </c>
      <c r="H789" s="103" t="s">
        <v>1712</v>
      </c>
      <c r="I789" s="104">
        <v>46156</v>
      </c>
      <c r="J789" s="97">
        <f t="shared" ca="1" si="1602"/>
        <v>28</v>
      </c>
      <c r="K789" s="97" t="str">
        <f t="shared" si="1603"/>
        <v>Pending</v>
      </c>
      <c r="L789" s="101" t="s">
        <v>1034</v>
      </c>
      <c r="M789" s="97">
        <v>18300</v>
      </c>
      <c r="N789" s="97">
        <v>16500</v>
      </c>
      <c r="O789" s="104">
        <v>46158</v>
      </c>
      <c r="P789" s="97">
        <f t="shared" si="1604"/>
        <v>1800</v>
      </c>
      <c r="Q789" s="97" t="s">
        <v>33</v>
      </c>
      <c r="R789" s="97" t="s">
        <v>37</v>
      </c>
      <c r="S789" s="97">
        <v>21500</v>
      </c>
      <c r="T789" s="64" t="s">
        <v>33</v>
      </c>
      <c r="U789" s="65" t="s">
        <v>33</v>
      </c>
      <c r="V789" s="97" t="s">
        <v>28</v>
      </c>
      <c r="W789" s="97">
        <f t="shared" si="1605"/>
        <v>3200</v>
      </c>
      <c r="X789" s="97" t="s">
        <v>963</v>
      </c>
      <c r="Y789" s="97" t="s">
        <v>29</v>
      </c>
      <c r="Z789" s="105">
        <f t="shared" si="1606"/>
        <v>17.486338797814209</v>
      </c>
      <c r="AA789" s="93"/>
    </row>
    <row r="790" spans="1:27" s="107" customFormat="1" hidden="1">
      <c r="A790" s="106">
        <f>SUBTOTAL(3,C$2:C790)</f>
        <v>467</v>
      </c>
      <c r="B790" s="106" t="s">
        <v>1086</v>
      </c>
      <c r="C790" s="106" t="s">
        <v>44</v>
      </c>
      <c r="D790" s="106" t="s">
        <v>32</v>
      </c>
      <c r="E790" s="106" t="s">
        <v>33</v>
      </c>
      <c r="F790" s="107" t="s">
        <v>1808</v>
      </c>
      <c r="G790" s="108" t="s">
        <v>46</v>
      </c>
      <c r="H790" s="103" t="s">
        <v>1809</v>
      </c>
      <c r="I790" s="109">
        <v>46158</v>
      </c>
      <c r="J790" s="106">
        <f t="shared" ref="J790" ca="1" si="1607">+TODAY()-I790</f>
        <v>26</v>
      </c>
      <c r="K790" s="106">
        <f t="shared" ref="K790" si="1608">+U790</f>
        <v>46169</v>
      </c>
      <c r="L790" s="107" t="s">
        <v>397</v>
      </c>
      <c r="M790" s="106">
        <v>19000</v>
      </c>
      <c r="N790" s="106">
        <v>17000</v>
      </c>
      <c r="O790" s="109">
        <v>46158</v>
      </c>
      <c r="P790" s="106">
        <f t="shared" ref="P790" si="1609">+M790-N790</f>
        <v>2000</v>
      </c>
      <c r="Q790" s="106" t="s">
        <v>33</v>
      </c>
      <c r="R790" s="106" t="s">
        <v>39</v>
      </c>
      <c r="S790" s="106">
        <v>21800</v>
      </c>
      <c r="T790" s="64" t="s">
        <v>2672</v>
      </c>
      <c r="U790" s="65">
        <v>46169</v>
      </c>
      <c r="V790" s="106" t="s">
        <v>28</v>
      </c>
      <c r="W790" s="106">
        <f t="shared" ref="W790" si="1610">+S790-M790</f>
        <v>2800</v>
      </c>
      <c r="X790" s="106" t="s">
        <v>36</v>
      </c>
      <c r="Y790" s="106" t="s">
        <v>29</v>
      </c>
      <c r="Z790" s="110">
        <f t="shared" ref="Z790" si="1611">+W790*100/M790</f>
        <v>14.736842105263158</v>
      </c>
      <c r="AA790" s="93"/>
    </row>
    <row r="791" spans="1:27" s="107" customFormat="1" hidden="1">
      <c r="A791" s="106">
        <f>SUBTOTAL(3,C$2:C791)</f>
        <v>467</v>
      </c>
      <c r="B791" s="106" t="s">
        <v>1086</v>
      </c>
      <c r="C791" s="106" t="s">
        <v>44</v>
      </c>
      <c r="D791" s="106" t="s">
        <v>32</v>
      </c>
      <c r="E791" s="106" t="s">
        <v>33</v>
      </c>
      <c r="F791" s="107" t="s">
        <v>1212</v>
      </c>
      <c r="G791" s="108" t="s">
        <v>1215</v>
      </c>
      <c r="H791" s="103" t="s">
        <v>1810</v>
      </c>
      <c r="I791" s="109">
        <v>46158</v>
      </c>
      <c r="J791" s="106">
        <f t="shared" ref="J791:J796" ca="1" si="1612">+TODAY()-I791</f>
        <v>26</v>
      </c>
      <c r="K791" s="106" t="str">
        <f t="shared" ref="K791:K796" si="1613">+U791</f>
        <v>Pending</v>
      </c>
      <c r="L791" s="107" t="s">
        <v>397</v>
      </c>
      <c r="M791" s="106">
        <v>18300</v>
      </c>
      <c r="N791" s="106">
        <v>17000</v>
      </c>
      <c r="O791" s="109">
        <v>46158</v>
      </c>
      <c r="P791" s="106">
        <f t="shared" ref="P791:P796" si="1614">+M791-N791</f>
        <v>1300</v>
      </c>
      <c r="Q791" s="106" t="s">
        <v>33</v>
      </c>
      <c r="R791" s="106" t="s">
        <v>37</v>
      </c>
      <c r="S791" s="106">
        <v>21500</v>
      </c>
      <c r="T791" s="64" t="s">
        <v>33</v>
      </c>
      <c r="U791" s="65" t="s">
        <v>33</v>
      </c>
      <c r="V791" s="106" t="s">
        <v>28</v>
      </c>
      <c r="W791" s="106">
        <f t="shared" ref="W791:W796" si="1615">+S791-M791</f>
        <v>3200</v>
      </c>
      <c r="X791" s="106" t="s">
        <v>36</v>
      </c>
      <c r="Y791" s="106" t="s">
        <v>29</v>
      </c>
      <c r="Z791" s="110">
        <f t="shared" ref="Z791:Z796" si="1616">+W791*100/M791</f>
        <v>17.486338797814209</v>
      </c>
      <c r="AA791" s="93"/>
    </row>
    <row r="792" spans="1:27" s="101" customFormat="1" hidden="1">
      <c r="A792" s="97">
        <f>SUBTOTAL(3,C$2:C792)</f>
        <v>467</v>
      </c>
      <c r="B792" s="97" t="s">
        <v>1086</v>
      </c>
      <c r="C792" s="97" t="s">
        <v>31</v>
      </c>
      <c r="D792" s="97" t="s">
        <v>32</v>
      </c>
      <c r="E792" s="97" t="s">
        <v>33</v>
      </c>
      <c r="F792" s="101" t="s">
        <v>1668</v>
      </c>
      <c r="G792" s="102" t="s">
        <v>34</v>
      </c>
      <c r="H792" s="111" t="s">
        <v>1713</v>
      </c>
      <c r="I792" s="104">
        <v>46157</v>
      </c>
      <c r="J792" s="97">
        <f t="shared" ca="1" si="1612"/>
        <v>27</v>
      </c>
      <c r="K792" s="97" t="str">
        <f t="shared" si="1613"/>
        <v>Pending</v>
      </c>
      <c r="L792" s="101" t="s">
        <v>111</v>
      </c>
      <c r="M792" s="97">
        <v>11700</v>
      </c>
      <c r="N792" s="97">
        <v>10700</v>
      </c>
      <c r="O792" s="104">
        <v>46158</v>
      </c>
      <c r="P792" s="97">
        <f t="shared" si="1614"/>
        <v>1000</v>
      </c>
      <c r="Q792" s="97" t="s">
        <v>33</v>
      </c>
      <c r="R792" s="97" t="s">
        <v>112</v>
      </c>
      <c r="S792" s="97">
        <v>13500</v>
      </c>
      <c r="T792" s="64" t="s">
        <v>33</v>
      </c>
      <c r="U792" s="65" t="s">
        <v>33</v>
      </c>
      <c r="V792" s="97" t="s">
        <v>28</v>
      </c>
      <c r="W792" s="97">
        <f t="shared" si="1615"/>
        <v>1800</v>
      </c>
      <c r="X792" s="97" t="s">
        <v>963</v>
      </c>
      <c r="Y792" s="97" t="s">
        <v>29</v>
      </c>
      <c r="Z792" s="105">
        <f t="shared" si="1616"/>
        <v>15.384615384615385</v>
      </c>
      <c r="AA792" s="93"/>
    </row>
    <row r="793" spans="1:27" s="101" customFormat="1" hidden="1">
      <c r="A793" s="97">
        <f>SUBTOTAL(3,C$2:C793)</f>
        <v>467</v>
      </c>
      <c r="B793" s="97" t="s">
        <v>1086</v>
      </c>
      <c r="C793" s="97" t="s">
        <v>80</v>
      </c>
      <c r="D793" s="97" t="s">
        <v>32</v>
      </c>
      <c r="E793" s="97" t="s">
        <v>33</v>
      </c>
      <c r="F793" s="101" t="s">
        <v>1669</v>
      </c>
      <c r="G793" s="102" t="s">
        <v>1215</v>
      </c>
      <c r="H793" s="103" t="s">
        <v>1714</v>
      </c>
      <c r="I793" s="104">
        <v>46157</v>
      </c>
      <c r="J793" s="97">
        <f t="shared" ca="1" si="1612"/>
        <v>27</v>
      </c>
      <c r="K793" s="97">
        <f t="shared" si="1613"/>
        <v>46169</v>
      </c>
      <c r="L793" s="101" t="s">
        <v>995</v>
      </c>
      <c r="M793" s="97">
        <v>28000</v>
      </c>
      <c r="N793" s="97">
        <v>26000</v>
      </c>
      <c r="O793" s="104">
        <v>46158</v>
      </c>
      <c r="P793" s="97">
        <f t="shared" si="1614"/>
        <v>2000</v>
      </c>
      <c r="Q793" s="97" t="s">
        <v>33</v>
      </c>
      <c r="R793" s="97" t="s">
        <v>39</v>
      </c>
      <c r="S793" s="97">
        <v>31500</v>
      </c>
      <c r="T793" s="64" t="s">
        <v>2689</v>
      </c>
      <c r="U793" s="65">
        <v>46169</v>
      </c>
      <c r="V793" s="97" t="s">
        <v>28</v>
      </c>
      <c r="W793" s="97">
        <f t="shared" si="1615"/>
        <v>3500</v>
      </c>
      <c r="X793" s="97" t="s">
        <v>36</v>
      </c>
      <c r="Y793" s="97" t="s">
        <v>29</v>
      </c>
      <c r="Z793" s="105">
        <f t="shared" si="1616"/>
        <v>12.5</v>
      </c>
      <c r="AA793" s="93"/>
    </row>
    <row r="794" spans="1:27" s="101" customFormat="1" hidden="1">
      <c r="A794" s="97">
        <f>SUBTOTAL(3,C$2:C794)</f>
        <v>467</v>
      </c>
      <c r="B794" s="97" t="s">
        <v>1086</v>
      </c>
      <c r="C794" s="97" t="s">
        <v>1031</v>
      </c>
      <c r="D794" s="97" t="s">
        <v>32</v>
      </c>
      <c r="E794" s="97" t="s">
        <v>33</v>
      </c>
      <c r="F794" s="101" t="s">
        <v>1684</v>
      </c>
      <c r="G794" s="102" t="s">
        <v>34</v>
      </c>
      <c r="H794" s="103" t="s">
        <v>1715</v>
      </c>
      <c r="I794" s="104">
        <v>46157</v>
      </c>
      <c r="J794" s="97">
        <f t="shared" ca="1" si="1612"/>
        <v>27</v>
      </c>
      <c r="K794" s="97">
        <f t="shared" si="1613"/>
        <v>46169</v>
      </c>
      <c r="L794" s="101" t="s">
        <v>698</v>
      </c>
      <c r="M794" s="97">
        <v>18000</v>
      </c>
      <c r="N794" s="97">
        <v>16000</v>
      </c>
      <c r="O794" s="104">
        <v>46158</v>
      </c>
      <c r="P794" s="97">
        <f t="shared" si="1614"/>
        <v>2000</v>
      </c>
      <c r="Q794" s="97" t="s">
        <v>33</v>
      </c>
      <c r="R794" s="97" t="s">
        <v>56</v>
      </c>
      <c r="S794" s="97">
        <v>20500</v>
      </c>
      <c r="T794" s="64" t="s">
        <v>2669</v>
      </c>
      <c r="U794" s="65">
        <v>46169</v>
      </c>
      <c r="V794" s="97" t="s">
        <v>28</v>
      </c>
      <c r="W794" s="97">
        <f t="shared" si="1615"/>
        <v>2500</v>
      </c>
      <c r="X794" s="97" t="s">
        <v>963</v>
      </c>
      <c r="Y794" s="97" t="s">
        <v>29</v>
      </c>
      <c r="Z794" s="105">
        <f t="shared" si="1616"/>
        <v>13.888888888888889</v>
      </c>
      <c r="AA794" s="93"/>
    </row>
    <row r="795" spans="1:27" s="101" customFormat="1" hidden="1">
      <c r="A795" s="97">
        <f>SUBTOTAL(3,C$2:C795)</f>
        <v>467</v>
      </c>
      <c r="B795" s="97" t="s">
        <v>1086</v>
      </c>
      <c r="C795" s="97" t="s">
        <v>227</v>
      </c>
      <c r="D795" s="97" t="s">
        <v>32</v>
      </c>
      <c r="E795" s="97" t="s">
        <v>33</v>
      </c>
      <c r="F795" s="101" t="s">
        <v>228</v>
      </c>
      <c r="G795" s="102" t="s">
        <v>34</v>
      </c>
      <c r="H795" s="111" t="s">
        <v>1716</v>
      </c>
      <c r="I795" s="104">
        <v>46156</v>
      </c>
      <c r="J795" s="97">
        <f t="shared" ca="1" si="1612"/>
        <v>28</v>
      </c>
      <c r="K795" s="97" t="str">
        <f t="shared" si="1613"/>
        <v>Pending</v>
      </c>
      <c r="L795" s="101" t="s">
        <v>1484</v>
      </c>
      <c r="M795" s="97">
        <v>17800</v>
      </c>
      <c r="N795" s="97">
        <v>15800</v>
      </c>
      <c r="O795" s="104">
        <v>46158</v>
      </c>
      <c r="P795" s="97">
        <f t="shared" si="1614"/>
        <v>2000</v>
      </c>
      <c r="Q795" s="97" t="s">
        <v>33</v>
      </c>
      <c r="R795" s="97" t="s">
        <v>112</v>
      </c>
      <c r="S795" s="97">
        <v>20050</v>
      </c>
      <c r="T795" s="64" t="s">
        <v>33</v>
      </c>
      <c r="U795" s="65" t="s">
        <v>33</v>
      </c>
      <c r="V795" s="97" t="s">
        <v>28</v>
      </c>
      <c r="W795" s="97">
        <f t="shared" si="1615"/>
        <v>2250</v>
      </c>
      <c r="X795" s="97" t="s">
        <v>36</v>
      </c>
      <c r="Y795" s="97" t="s">
        <v>29</v>
      </c>
      <c r="Z795" s="105">
        <f t="shared" si="1616"/>
        <v>12.640449438202246</v>
      </c>
      <c r="AA795" s="93"/>
    </row>
    <row r="796" spans="1:27" s="101" customFormat="1" hidden="1">
      <c r="A796" s="97">
        <f>SUBTOTAL(3,C$2:C796)</f>
        <v>467</v>
      </c>
      <c r="B796" s="97" t="s">
        <v>1086</v>
      </c>
      <c r="C796" s="97" t="s">
        <v>1031</v>
      </c>
      <c r="D796" s="97" t="s">
        <v>32</v>
      </c>
      <c r="E796" s="97" t="s">
        <v>33</v>
      </c>
      <c r="F796" s="101" t="s">
        <v>1670</v>
      </c>
      <c r="G796" s="102" t="s">
        <v>34</v>
      </c>
      <c r="H796" s="103" t="s">
        <v>1717</v>
      </c>
      <c r="I796" s="104">
        <v>46157</v>
      </c>
      <c r="J796" s="97">
        <f t="shared" ca="1" si="1612"/>
        <v>27</v>
      </c>
      <c r="K796" s="97">
        <f t="shared" si="1613"/>
        <v>46169</v>
      </c>
      <c r="L796" s="101" t="s">
        <v>1024</v>
      </c>
      <c r="M796" s="97">
        <v>19000</v>
      </c>
      <c r="N796" s="97">
        <v>17000</v>
      </c>
      <c r="O796" s="104">
        <v>46158</v>
      </c>
      <c r="P796" s="97">
        <f t="shared" si="1614"/>
        <v>2000</v>
      </c>
      <c r="Q796" s="97" t="s">
        <v>33</v>
      </c>
      <c r="R796" s="97" t="s">
        <v>39</v>
      </c>
      <c r="S796" s="97">
        <v>21800</v>
      </c>
      <c r="T796" s="64" t="s">
        <v>2694</v>
      </c>
      <c r="U796" s="65">
        <v>46169</v>
      </c>
      <c r="V796" s="97" t="s">
        <v>28</v>
      </c>
      <c r="W796" s="97">
        <f t="shared" si="1615"/>
        <v>2800</v>
      </c>
      <c r="X796" s="97" t="s">
        <v>963</v>
      </c>
      <c r="Y796" s="97" t="s">
        <v>29</v>
      </c>
      <c r="Z796" s="105">
        <f t="shared" si="1616"/>
        <v>14.736842105263158</v>
      </c>
      <c r="AA796" s="93"/>
    </row>
    <row r="797" spans="1:27" s="101" customFormat="1" hidden="1">
      <c r="A797" s="97">
        <f>SUBTOTAL(3,C$2:C797)</f>
        <v>467</v>
      </c>
      <c r="B797" s="97" t="s">
        <v>1086</v>
      </c>
      <c r="C797" s="97" t="s">
        <v>44</v>
      </c>
      <c r="D797" s="97" t="s">
        <v>32</v>
      </c>
      <c r="E797" s="97" t="s">
        <v>33</v>
      </c>
      <c r="F797" s="101" t="s">
        <v>301</v>
      </c>
      <c r="G797" s="102" t="s">
        <v>607</v>
      </c>
      <c r="H797" s="103" t="s">
        <v>1718</v>
      </c>
      <c r="I797" s="104">
        <v>46157</v>
      </c>
      <c r="J797" s="97">
        <f t="shared" ref="J797:J801" ca="1" si="1617">+TODAY()-I797</f>
        <v>27</v>
      </c>
      <c r="K797" s="97" t="str">
        <f t="shared" ref="K797:K801" si="1618">+U797</f>
        <v>Pending</v>
      </c>
      <c r="L797" s="101" t="s">
        <v>397</v>
      </c>
      <c r="M797" s="97">
        <v>38500</v>
      </c>
      <c r="N797" s="97">
        <v>35500</v>
      </c>
      <c r="O797" s="104">
        <v>46158</v>
      </c>
      <c r="P797" s="97">
        <f t="shared" ref="P797:P801" si="1619">+M797-N797</f>
        <v>3000</v>
      </c>
      <c r="Q797" s="97" t="s">
        <v>33</v>
      </c>
      <c r="R797" s="97" t="s">
        <v>52</v>
      </c>
      <c r="S797" s="97">
        <v>41500</v>
      </c>
      <c r="T797" s="64" t="s">
        <v>33</v>
      </c>
      <c r="U797" s="65" t="s">
        <v>33</v>
      </c>
      <c r="V797" s="97" t="s">
        <v>28</v>
      </c>
      <c r="W797" s="97">
        <f t="shared" ref="W797:W801" si="1620">+S797-M797</f>
        <v>3000</v>
      </c>
      <c r="X797" s="97" t="s">
        <v>36</v>
      </c>
      <c r="Y797" s="97" t="s">
        <v>29</v>
      </c>
      <c r="Z797" s="105">
        <f t="shared" ref="Z797:Z801" si="1621">+W797*100/M797</f>
        <v>7.7922077922077921</v>
      </c>
      <c r="AA797" s="93"/>
    </row>
    <row r="798" spans="1:27" s="101" customFormat="1" hidden="1">
      <c r="A798" s="97">
        <f>SUBTOTAL(3,C$2:C798)</f>
        <v>467</v>
      </c>
      <c r="B798" s="97" t="s">
        <v>1086</v>
      </c>
      <c r="C798" s="97" t="s">
        <v>1031</v>
      </c>
      <c r="D798" s="97" t="s">
        <v>32</v>
      </c>
      <c r="E798" s="97" t="s">
        <v>33</v>
      </c>
      <c r="F798" s="101" t="s">
        <v>1673</v>
      </c>
      <c r="G798" s="102" t="s">
        <v>34</v>
      </c>
      <c r="H798" s="103" t="s">
        <v>1719</v>
      </c>
      <c r="I798" s="104">
        <v>46157</v>
      </c>
      <c r="J798" s="97">
        <f t="shared" ca="1" si="1617"/>
        <v>27</v>
      </c>
      <c r="K798" s="97">
        <f t="shared" si="1618"/>
        <v>46169</v>
      </c>
      <c r="L798" s="101" t="s">
        <v>1024</v>
      </c>
      <c r="M798" s="97">
        <v>19000</v>
      </c>
      <c r="N798" s="97">
        <v>17000</v>
      </c>
      <c r="O798" s="104">
        <v>46158</v>
      </c>
      <c r="P798" s="97">
        <f t="shared" si="1619"/>
        <v>2000</v>
      </c>
      <c r="Q798" s="97" t="s">
        <v>33</v>
      </c>
      <c r="R798" s="97" t="s">
        <v>39</v>
      </c>
      <c r="S798" s="97">
        <v>21800</v>
      </c>
      <c r="T798" s="64" t="s">
        <v>2672</v>
      </c>
      <c r="U798" s="65">
        <v>46169</v>
      </c>
      <c r="V798" s="97" t="s">
        <v>28</v>
      </c>
      <c r="W798" s="97">
        <f t="shared" si="1620"/>
        <v>2800</v>
      </c>
      <c r="X798" s="97" t="s">
        <v>963</v>
      </c>
      <c r="Y798" s="97" t="s">
        <v>29</v>
      </c>
      <c r="Z798" s="105">
        <f t="shared" si="1621"/>
        <v>14.736842105263158</v>
      </c>
      <c r="AA798" s="93"/>
    </row>
    <row r="799" spans="1:27" s="101" customFormat="1" hidden="1">
      <c r="A799" s="97">
        <f>SUBTOTAL(3,C$2:C799)</f>
        <v>467</v>
      </c>
      <c r="B799" s="97" t="s">
        <v>1086</v>
      </c>
      <c r="C799" s="97" t="s">
        <v>31</v>
      </c>
      <c r="D799" s="97" t="s">
        <v>32</v>
      </c>
      <c r="E799" s="97" t="s">
        <v>33</v>
      </c>
      <c r="F799" s="101" t="s">
        <v>248</v>
      </c>
      <c r="G799" s="102" t="s">
        <v>34</v>
      </c>
      <c r="H799" s="111" t="s">
        <v>1720</v>
      </c>
      <c r="I799" s="104">
        <v>46157</v>
      </c>
      <c r="J799" s="97">
        <f t="shared" ca="1" si="1617"/>
        <v>27</v>
      </c>
      <c r="K799" s="97" t="str">
        <f t="shared" si="1618"/>
        <v>Pending</v>
      </c>
      <c r="L799" s="101" t="s">
        <v>355</v>
      </c>
      <c r="M799" s="97">
        <v>19000</v>
      </c>
      <c r="N799" s="97">
        <v>17000</v>
      </c>
      <c r="O799" s="104">
        <v>46158</v>
      </c>
      <c r="P799" s="97">
        <f t="shared" si="1619"/>
        <v>2000</v>
      </c>
      <c r="Q799" s="97" t="s">
        <v>33</v>
      </c>
      <c r="R799" s="97" t="s">
        <v>39</v>
      </c>
      <c r="S799" s="97">
        <v>21800</v>
      </c>
      <c r="T799" s="64" t="s">
        <v>33</v>
      </c>
      <c r="U799" s="65" t="s">
        <v>33</v>
      </c>
      <c r="V799" s="97" t="s">
        <v>28</v>
      </c>
      <c r="W799" s="97">
        <f t="shared" si="1620"/>
        <v>2800</v>
      </c>
      <c r="X799" s="97" t="s">
        <v>963</v>
      </c>
      <c r="Y799" s="97" t="s">
        <v>29</v>
      </c>
      <c r="Z799" s="105">
        <f t="shared" si="1621"/>
        <v>14.736842105263158</v>
      </c>
      <c r="AA799" s="93"/>
    </row>
    <row r="800" spans="1:27" s="101" customFormat="1" hidden="1">
      <c r="A800" s="97">
        <f>SUBTOTAL(3,C$2:C800)</f>
        <v>467</v>
      </c>
      <c r="B800" s="97" t="s">
        <v>1086</v>
      </c>
      <c r="C800" s="97" t="s">
        <v>1031</v>
      </c>
      <c r="D800" s="97" t="s">
        <v>32</v>
      </c>
      <c r="E800" s="97" t="s">
        <v>33</v>
      </c>
      <c r="F800" s="101" t="s">
        <v>1685</v>
      </c>
      <c r="G800" s="102" t="s">
        <v>34</v>
      </c>
      <c r="H800" s="103" t="s">
        <v>1721</v>
      </c>
      <c r="I800" s="104">
        <v>46157</v>
      </c>
      <c r="J800" s="97">
        <f t="shared" ca="1" si="1617"/>
        <v>27</v>
      </c>
      <c r="K800" s="97" t="str">
        <f t="shared" si="1618"/>
        <v>Pending</v>
      </c>
      <c r="L800" s="101" t="s">
        <v>1024</v>
      </c>
      <c r="M800" s="97">
        <v>19000</v>
      </c>
      <c r="N800" s="97">
        <v>17000</v>
      </c>
      <c r="O800" s="104">
        <v>46158</v>
      </c>
      <c r="P800" s="97">
        <f t="shared" si="1619"/>
        <v>2000</v>
      </c>
      <c r="Q800" s="97" t="s">
        <v>33</v>
      </c>
      <c r="R800" s="97" t="s">
        <v>2244</v>
      </c>
      <c r="S800" s="97">
        <v>21500</v>
      </c>
      <c r="T800" s="64" t="s">
        <v>33</v>
      </c>
      <c r="U800" s="65" t="s">
        <v>33</v>
      </c>
      <c r="V800" s="97" t="s">
        <v>28</v>
      </c>
      <c r="W800" s="97">
        <f t="shared" si="1620"/>
        <v>2500</v>
      </c>
      <c r="X800" s="97" t="s">
        <v>963</v>
      </c>
      <c r="Y800" s="97" t="s">
        <v>29</v>
      </c>
      <c r="Z800" s="105">
        <f t="shared" si="1621"/>
        <v>13.157894736842104</v>
      </c>
      <c r="AA800" s="93"/>
    </row>
    <row r="801" spans="1:27" s="101" customFormat="1" hidden="1">
      <c r="A801" s="97">
        <f>SUBTOTAL(3,C$2:C801)</f>
        <v>467</v>
      </c>
      <c r="B801" s="97" t="s">
        <v>1086</v>
      </c>
      <c r="C801" s="97" t="s">
        <v>80</v>
      </c>
      <c r="D801" s="97" t="s">
        <v>32</v>
      </c>
      <c r="E801" s="97" t="s">
        <v>33</v>
      </c>
      <c r="F801" s="101" t="s">
        <v>1674</v>
      </c>
      <c r="G801" s="102" t="s">
        <v>1215</v>
      </c>
      <c r="H801" s="103" t="s">
        <v>1722</v>
      </c>
      <c r="I801" s="104">
        <v>46158</v>
      </c>
      <c r="J801" s="97">
        <f t="shared" ca="1" si="1617"/>
        <v>26</v>
      </c>
      <c r="K801" s="97">
        <f t="shared" si="1618"/>
        <v>46169</v>
      </c>
      <c r="L801" s="101" t="s">
        <v>995</v>
      </c>
      <c r="M801" s="97">
        <v>28000</v>
      </c>
      <c r="N801" s="97">
        <v>26000</v>
      </c>
      <c r="O801" s="104">
        <v>46158</v>
      </c>
      <c r="P801" s="97">
        <f t="shared" si="1619"/>
        <v>2000</v>
      </c>
      <c r="Q801" s="97" t="s">
        <v>33</v>
      </c>
      <c r="R801" s="97" t="s">
        <v>39</v>
      </c>
      <c r="S801" s="97">
        <v>31500</v>
      </c>
      <c r="T801" s="64" t="s">
        <v>2689</v>
      </c>
      <c r="U801" s="65">
        <v>46169</v>
      </c>
      <c r="V801" s="97" t="s">
        <v>28</v>
      </c>
      <c r="W801" s="97">
        <f t="shared" si="1620"/>
        <v>3500</v>
      </c>
      <c r="X801" s="97" t="s">
        <v>36</v>
      </c>
      <c r="Y801" s="97" t="s">
        <v>29</v>
      </c>
      <c r="Z801" s="105">
        <f t="shared" si="1621"/>
        <v>12.5</v>
      </c>
      <c r="AA801" s="93"/>
    </row>
    <row r="802" spans="1:27" s="101" customFormat="1" hidden="1">
      <c r="A802" s="97">
        <f>SUBTOTAL(3,C$2:C802)</f>
        <v>467</v>
      </c>
      <c r="B802" s="97" t="s">
        <v>1086</v>
      </c>
      <c r="C802" s="97" t="s">
        <v>31</v>
      </c>
      <c r="D802" s="97" t="s">
        <v>32</v>
      </c>
      <c r="E802" s="97" t="s">
        <v>33</v>
      </c>
      <c r="F802" s="101" t="s">
        <v>885</v>
      </c>
      <c r="G802" s="102" t="s">
        <v>34</v>
      </c>
      <c r="H802" s="111" t="s">
        <v>1723</v>
      </c>
      <c r="I802" s="104">
        <v>46158</v>
      </c>
      <c r="J802" s="97">
        <f t="shared" ref="J802:J804" ca="1" si="1622">+TODAY()-I802</f>
        <v>26</v>
      </c>
      <c r="K802" s="97" t="str">
        <f t="shared" ref="K802:K804" si="1623">+U802</f>
        <v>Pending</v>
      </c>
      <c r="L802" s="101" t="s">
        <v>355</v>
      </c>
      <c r="M802" s="97">
        <v>19000</v>
      </c>
      <c r="N802" s="97">
        <v>17000</v>
      </c>
      <c r="O802" s="104">
        <v>46158</v>
      </c>
      <c r="P802" s="97">
        <f t="shared" ref="P802:P804" si="1624">+M802-N802</f>
        <v>2000</v>
      </c>
      <c r="Q802" s="97" t="s">
        <v>33</v>
      </c>
      <c r="R802" s="97" t="s">
        <v>39</v>
      </c>
      <c r="S802" s="97">
        <v>21800</v>
      </c>
      <c r="T802" s="64" t="s">
        <v>33</v>
      </c>
      <c r="U802" s="65" t="s">
        <v>33</v>
      </c>
      <c r="V802" s="97" t="s">
        <v>28</v>
      </c>
      <c r="W802" s="97">
        <f t="shared" ref="W802:W804" si="1625">+S802-M802</f>
        <v>2800</v>
      </c>
      <c r="X802" s="97" t="s">
        <v>963</v>
      </c>
      <c r="Y802" s="97" t="s">
        <v>29</v>
      </c>
      <c r="Z802" s="105">
        <f t="shared" ref="Z802:Z804" si="1626">+W802*100/M802</f>
        <v>14.736842105263158</v>
      </c>
      <c r="AA802" s="93"/>
    </row>
    <row r="803" spans="1:27" s="101" customFormat="1" hidden="1">
      <c r="A803" s="97">
        <f>SUBTOTAL(3,C$2:C803)</f>
        <v>467</v>
      </c>
      <c r="B803" s="97" t="s">
        <v>1086</v>
      </c>
      <c r="C803" s="97" t="s">
        <v>80</v>
      </c>
      <c r="D803" s="97" t="s">
        <v>32</v>
      </c>
      <c r="E803" s="97" t="s">
        <v>33</v>
      </c>
      <c r="F803" s="101" t="s">
        <v>1675</v>
      </c>
      <c r="G803" s="102" t="s">
        <v>1215</v>
      </c>
      <c r="H803" s="111" t="s">
        <v>1724</v>
      </c>
      <c r="I803" s="104">
        <v>46158</v>
      </c>
      <c r="J803" s="97">
        <f t="shared" ca="1" si="1622"/>
        <v>26</v>
      </c>
      <c r="K803" s="97" t="str">
        <f t="shared" si="1623"/>
        <v>Pending</v>
      </c>
      <c r="L803" s="101" t="s">
        <v>995</v>
      </c>
      <c r="M803" s="97">
        <v>28000</v>
      </c>
      <c r="N803" s="97">
        <v>26000</v>
      </c>
      <c r="O803" s="104">
        <v>46158</v>
      </c>
      <c r="P803" s="97">
        <f t="shared" si="1624"/>
        <v>2000</v>
      </c>
      <c r="Q803" s="97" t="s">
        <v>33</v>
      </c>
      <c r="R803" s="97" t="s">
        <v>37</v>
      </c>
      <c r="S803" s="97">
        <v>31000</v>
      </c>
      <c r="T803" s="64" t="s">
        <v>33</v>
      </c>
      <c r="U803" s="65" t="s">
        <v>33</v>
      </c>
      <c r="V803" s="97" t="s">
        <v>28</v>
      </c>
      <c r="W803" s="97">
        <f t="shared" si="1625"/>
        <v>3000</v>
      </c>
      <c r="X803" s="97" t="s">
        <v>36</v>
      </c>
      <c r="Y803" s="97" t="s">
        <v>29</v>
      </c>
      <c r="Z803" s="105">
        <f t="shared" si="1626"/>
        <v>10.714285714285714</v>
      </c>
      <c r="AA803" s="93"/>
    </row>
    <row r="804" spans="1:27" s="101" customFormat="1" hidden="1">
      <c r="A804" s="97">
        <f>SUBTOTAL(3,C$2:C804)</f>
        <v>467</v>
      </c>
      <c r="B804" s="97" t="s">
        <v>1086</v>
      </c>
      <c r="C804" s="97" t="s">
        <v>1031</v>
      </c>
      <c r="D804" s="97" t="s">
        <v>32</v>
      </c>
      <c r="E804" s="97" t="s">
        <v>33</v>
      </c>
      <c r="F804" s="101" t="s">
        <v>781</v>
      </c>
      <c r="G804" s="102" t="s">
        <v>34</v>
      </c>
      <c r="H804" s="103" t="s">
        <v>1725</v>
      </c>
      <c r="I804" s="104">
        <v>46158</v>
      </c>
      <c r="J804" s="97">
        <f t="shared" ca="1" si="1622"/>
        <v>26</v>
      </c>
      <c r="K804" s="97">
        <f t="shared" si="1623"/>
        <v>46169</v>
      </c>
      <c r="L804" s="101" t="s">
        <v>1024</v>
      </c>
      <c r="M804" s="97">
        <v>19000</v>
      </c>
      <c r="N804" s="97">
        <v>17000</v>
      </c>
      <c r="O804" s="104">
        <v>46158</v>
      </c>
      <c r="P804" s="97">
        <f t="shared" si="1624"/>
        <v>2000</v>
      </c>
      <c r="Q804" s="97" t="s">
        <v>33</v>
      </c>
      <c r="R804" s="97" t="s">
        <v>39</v>
      </c>
      <c r="S804" s="97">
        <v>21800</v>
      </c>
      <c r="T804" s="64" t="s">
        <v>2672</v>
      </c>
      <c r="U804" s="65">
        <v>46169</v>
      </c>
      <c r="V804" s="97" t="s">
        <v>28</v>
      </c>
      <c r="W804" s="97">
        <f t="shared" si="1625"/>
        <v>2800</v>
      </c>
      <c r="X804" s="97" t="s">
        <v>963</v>
      </c>
      <c r="Y804" s="97" t="s">
        <v>29</v>
      </c>
      <c r="Z804" s="105">
        <f t="shared" si="1626"/>
        <v>14.736842105263158</v>
      </c>
      <c r="AA804" s="93"/>
    </row>
    <row r="805" spans="1:27" s="101" customFormat="1" hidden="1">
      <c r="A805" s="97">
        <f>SUBTOTAL(3,C$2:C805)</f>
        <v>467</v>
      </c>
      <c r="B805" s="97" t="s">
        <v>1086</v>
      </c>
      <c r="C805" s="97" t="s">
        <v>80</v>
      </c>
      <c r="D805" s="97" t="s">
        <v>32</v>
      </c>
      <c r="E805" s="97" t="s">
        <v>33</v>
      </c>
      <c r="F805" s="101" t="s">
        <v>1147</v>
      </c>
      <c r="G805" s="102" t="s">
        <v>1215</v>
      </c>
      <c r="H805" s="111" t="s">
        <v>1726</v>
      </c>
      <c r="I805" s="104">
        <v>46158</v>
      </c>
      <c r="J805" s="97">
        <f t="shared" ref="J805:J808" ca="1" si="1627">+TODAY()-I805</f>
        <v>26</v>
      </c>
      <c r="K805" s="97" t="str">
        <f t="shared" ref="K805:K808" si="1628">+U805</f>
        <v>Pending</v>
      </c>
      <c r="L805" s="101" t="s">
        <v>995</v>
      </c>
      <c r="M805" s="97">
        <v>28000</v>
      </c>
      <c r="N805" s="97">
        <v>26000</v>
      </c>
      <c r="O805" s="104">
        <v>46158</v>
      </c>
      <c r="P805" s="97">
        <f t="shared" ref="P805:P807" si="1629">+M805-N805</f>
        <v>2000</v>
      </c>
      <c r="Q805" s="97" t="s">
        <v>33</v>
      </c>
      <c r="R805" s="97" t="s">
        <v>39</v>
      </c>
      <c r="S805" s="97">
        <v>31000</v>
      </c>
      <c r="T805" s="64" t="s">
        <v>33</v>
      </c>
      <c r="U805" s="65" t="s">
        <v>33</v>
      </c>
      <c r="V805" s="97" t="s">
        <v>28</v>
      </c>
      <c r="W805" s="97">
        <f t="shared" ref="W805:W808" si="1630">+S805-M805</f>
        <v>3000</v>
      </c>
      <c r="X805" s="97" t="s">
        <v>36</v>
      </c>
      <c r="Y805" s="97" t="s">
        <v>29</v>
      </c>
      <c r="Z805" s="105">
        <f t="shared" ref="Z805:Z808" si="1631">+W805*100/M805</f>
        <v>10.714285714285714</v>
      </c>
      <c r="AA805" s="93"/>
    </row>
    <row r="806" spans="1:27" s="101" customFormat="1" hidden="1">
      <c r="A806" s="97">
        <f>SUBTOTAL(3,C$2:C806)</f>
        <v>467</v>
      </c>
      <c r="B806" s="97" t="s">
        <v>1086</v>
      </c>
      <c r="C806" s="97" t="s">
        <v>1031</v>
      </c>
      <c r="D806" s="97" t="s">
        <v>32</v>
      </c>
      <c r="E806" s="97" t="s">
        <v>33</v>
      </c>
      <c r="F806" s="101" t="s">
        <v>1676</v>
      </c>
      <c r="G806" s="102" t="s">
        <v>34</v>
      </c>
      <c r="H806" s="103" t="s">
        <v>1727</v>
      </c>
      <c r="I806" s="104">
        <v>46158</v>
      </c>
      <c r="J806" s="97">
        <f t="shared" ca="1" si="1627"/>
        <v>26</v>
      </c>
      <c r="K806" s="97" t="str">
        <f t="shared" si="1628"/>
        <v>Pending</v>
      </c>
      <c r="L806" s="101" t="s">
        <v>1677</v>
      </c>
      <c r="M806" s="97">
        <v>18300</v>
      </c>
      <c r="N806" s="97">
        <v>16500</v>
      </c>
      <c r="O806" s="104">
        <v>46158</v>
      </c>
      <c r="P806" s="97">
        <f t="shared" si="1629"/>
        <v>1800</v>
      </c>
      <c r="Q806" s="97" t="s">
        <v>33</v>
      </c>
      <c r="R806" s="97" t="s">
        <v>37</v>
      </c>
      <c r="S806" s="97">
        <v>21500</v>
      </c>
      <c r="T806" s="64" t="s">
        <v>33</v>
      </c>
      <c r="U806" s="65" t="s">
        <v>33</v>
      </c>
      <c r="V806" s="97" t="s">
        <v>28</v>
      </c>
      <c r="W806" s="97">
        <f t="shared" si="1630"/>
        <v>3200</v>
      </c>
      <c r="X806" s="97" t="s">
        <v>963</v>
      </c>
      <c r="Y806" s="97" t="s">
        <v>29</v>
      </c>
      <c r="Z806" s="105">
        <f t="shared" si="1631"/>
        <v>17.486338797814209</v>
      </c>
      <c r="AA806" s="93"/>
    </row>
    <row r="807" spans="1:27" s="101" customFormat="1" hidden="1">
      <c r="A807" s="97">
        <f>SUBTOTAL(3,C$2:C807)</f>
        <v>467</v>
      </c>
      <c r="B807" s="97" t="s">
        <v>1086</v>
      </c>
      <c r="C807" s="97" t="s">
        <v>31</v>
      </c>
      <c r="D807" s="97" t="s">
        <v>32</v>
      </c>
      <c r="E807" s="97" t="s">
        <v>33</v>
      </c>
      <c r="F807" s="101" t="s">
        <v>1437</v>
      </c>
      <c r="G807" s="102" t="s">
        <v>34</v>
      </c>
      <c r="H807" s="103" t="s">
        <v>1728</v>
      </c>
      <c r="I807" s="104">
        <v>46158</v>
      </c>
      <c r="J807" s="97">
        <f t="shared" ca="1" si="1627"/>
        <v>26</v>
      </c>
      <c r="K807" s="97" t="str">
        <f t="shared" si="1628"/>
        <v>Pending</v>
      </c>
      <c r="L807" s="101" t="s">
        <v>355</v>
      </c>
      <c r="M807" s="97">
        <v>19000</v>
      </c>
      <c r="N807" s="97">
        <v>17000</v>
      </c>
      <c r="O807" s="104">
        <v>46158</v>
      </c>
      <c r="P807" s="97">
        <f t="shared" si="1629"/>
        <v>2000</v>
      </c>
      <c r="Q807" s="97" t="s">
        <v>33</v>
      </c>
      <c r="R807" s="97" t="s">
        <v>39</v>
      </c>
      <c r="S807" s="97">
        <v>21800</v>
      </c>
      <c r="T807" s="64" t="s">
        <v>33</v>
      </c>
      <c r="U807" s="65" t="s">
        <v>33</v>
      </c>
      <c r="V807" s="97" t="s">
        <v>28</v>
      </c>
      <c r="W807" s="97">
        <f t="shared" si="1630"/>
        <v>2800</v>
      </c>
      <c r="X807" s="97" t="s">
        <v>963</v>
      </c>
      <c r="Y807" s="97" t="s">
        <v>29</v>
      </c>
      <c r="Z807" s="105">
        <f t="shared" si="1631"/>
        <v>14.736842105263158</v>
      </c>
      <c r="AA807" s="93"/>
    </row>
    <row r="808" spans="1:27" s="101" customFormat="1" hidden="1">
      <c r="A808" s="97">
        <f>SUBTOTAL(3,C$2:C808)</f>
        <v>467</v>
      </c>
      <c r="B808" s="97" t="s">
        <v>1086</v>
      </c>
      <c r="C808" s="97" t="s">
        <v>124</v>
      </c>
      <c r="D808" s="97" t="s">
        <v>32</v>
      </c>
      <c r="E808" s="97" t="s">
        <v>33</v>
      </c>
      <c r="F808" s="101" t="s">
        <v>122</v>
      </c>
      <c r="G808" s="102" t="s">
        <v>67</v>
      </c>
      <c r="H808" s="103" t="s">
        <v>1729</v>
      </c>
      <c r="I808" s="104">
        <v>46158</v>
      </c>
      <c r="J808" s="97">
        <f t="shared" ca="1" si="1627"/>
        <v>26</v>
      </c>
      <c r="K808" s="97" t="str">
        <f t="shared" si="1628"/>
        <v>Pending</v>
      </c>
      <c r="L808" s="101" t="s">
        <v>1678</v>
      </c>
      <c r="M808" s="97">
        <v>38500</v>
      </c>
      <c r="N808" s="97">
        <v>35500</v>
      </c>
      <c r="O808" s="104">
        <v>46158</v>
      </c>
      <c r="P808" s="97">
        <f>+M808-N808</f>
        <v>3000</v>
      </c>
      <c r="Q808" s="97" t="s">
        <v>33</v>
      </c>
      <c r="R808" s="97" t="s">
        <v>52</v>
      </c>
      <c r="S808" s="97">
        <v>42000</v>
      </c>
      <c r="T808" s="64" t="s">
        <v>33</v>
      </c>
      <c r="U808" s="65" t="s">
        <v>33</v>
      </c>
      <c r="V808" s="97" t="s">
        <v>28</v>
      </c>
      <c r="W808" s="97">
        <f t="shared" si="1630"/>
        <v>3500</v>
      </c>
      <c r="X808" s="97" t="s">
        <v>36</v>
      </c>
      <c r="Y808" s="97" t="s">
        <v>29</v>
      </c>
      <c r="Z808" s="105">
        <f t="shared" si="1631"/>
        <v>9.0909090909090917</v>
      </c>
      <c r="AA808" s="93"/>
    </row>
    <row r="809" spans="1:27" s="101" customFormat="1" hidden="1">
      <c r="A809" s="97">
        <f>SUBTOTAL(3,C$2:C809)</f>
        <v>467</v>
      </c>
      <c r="B809" s="97" t="s">
        <v>1086</v>
      </c>
      <c r="C809" s="97" t="s">
        <v>1031</v>
      </c>
      <c r="D809" s="97" t="s">
        <v>32</v>
      </c>
      <c r="E809" s="97" t="s">
        <v>33</v>
      </c>
      <c r="F809" s="101" t="s">
        <v>1679</v>
      </c>
      <c r="G809" s="102" t="s">
        <v>34</v>
      </c>
      <c r="H809" s="111" t="s">
        <v>1730</v>
      </c>
      <c r="I809" s="104">
        <v>46158</v>
      </c>
      <c r="J809" s="97">
        <f t="shared" ref="J809:J812" ca="1" si="1632">+TODAY()-I809</f>
        <v>26</v>
      </c>
      <c r="K809" s="97" t="str">
        <f t="shared" ref="K809:K812" si="1633">+U809</f>
        <v>Pending</v>
      </c>
      <c r="L809" s="101" t="s">
        <v>698</v>
      </c>
      <c r="M809" s="97">
        <v>18000</v>
      </c>
      <c r="N809" s="97">
        <v>16000</v>
      </c>
      <c r="O809" s="104">
        <v>46158</v>
      </c>
      <c r="P809" s="97">
        <f t="shared" ref="P809:P812" si="1634">+M809-N809</f>
        <v>2000</v>
      </c>
      <c r="Q809" s="97" t="s">
        <v>33</v>
      </c>
      <c r="R809" s="97" t="s">
        <v>56</v>
      </c>
      <c r="S809" s="97">
        <v>20500</v>
      </c>
      <c r="T809" s="64" t="s">
        <v>33</v>
      </c>
      <c r="U809" s="65" t="s">
        <v>33</v>
      </c>
      <c r="V809" s="97" t="s">
        <v>28</v>
      </c>
      <c r="W809" s="97">
        <f t="shared" ref="W809:W812" si="1635">+S809-M809</f>
        <v>2500</v>
      </c>
      <c r="X809" s="97" t="s">
        <v>963</v>
      </c>
      <c r="Y809" s="97" t="s">
        <v>29</v>
      </c>
      <c r="Z809" s="105">
        <f t="shared" ref="Z809:Z812" si="1636">+W809*100/M809</f>
        <v>13.888888888888889</v>
      </c>
      <c r="AA809" s="93"/>
    </row>
    <row r="810" spans="1:27" s="101" customFormat="1" hidden="1">
      <c r="A810" s="97">
        <f>SUBTOTAL(3,C$2:C810)</f>
        <v>467</v>
      </c>
      <c r="B810" s="97" t="s">
        <v>1086</v>
      </c>
      <c r="C810" s="97" t="s">
        <v>216</v>
      </c>
      <c r="D810" s="97" t="s">
        <v>32</v>
      </c>
      <c r="E810" s="97" t="s">
        <v>33</v>
      </c>
      <c r="F810" s="101" t="s">
        <v>215</v>
      </c>
      <c r="G810" s="102" t="s">
        <v>67</v>
      </c>
      <c r="H810" s="103" t="s">
        <v>1731</v>
      </c>
      <c r="I810" s="104">
        <v>46158</v>
      </c>
      <c r="J810" s="97">
        <f t="shared" ca="1" si="1632"/>
        <v>26</v>
      </c>
      <c r="K810" s="97" t="str">
        <f t="shared" si="1633"/>
        <v>Pending</v>
      </c>
      <c r="L810" s="101" t="s">
        <v>217</v>
      </c>
      <c r="M810" s="97">
        <v>38500</v>
      </c>
      <c r="N810" s="97">
        <v>35500</v>
      </c>
      <c r="O810" s="104">
        <v>46158</v>
      </c>
      <c r="P810" s="97">
        <f t="shared" si="1634"/>
        <v>3000</v>
      </c>
      <c r="Q810" s="97" t="s">
        <v>33</v>
      </c>
      <c r="R810" s="97" t="s">
        <v>52</v>
      </c>
      <c r="S810" s="97">
        <v>42000</v>
      </c>
      <c r="T810" s="64" t="s">
        <v>33</v>
      </c>
      <c r="U810" s="65" t="s">
        <v>33</v>
      </c>
      <c r="V810" s="97" t="s">
        <v>28</v>
      </c>
      <c r="W810" s="97">
        <f t="shared" si="1635"/>
        <v>3500</v>
      </c>
      <c r="X810" s="97" t="s">
        <v>36</v>
      </c>
      <c r="Y810" s="97" t="s">
        <v>29</v>
      </c>
      <c r="Z810" s="105">
        <f t="shared" si="1636"/>
        <v>9.0909090909090917</v>
      </c>
      <c r="AA810" s="93"/>
    </row>
    <row r="811" spans="1:27" s="101" customFormat="1" hidden="1">
      <c r="A811" s="97">
        <f>SUBTOTAL(3,C$2:C811)</f>
        <v>467</v>
      </c>
      <c r="B811" s="97" t="s">
        <v>1086</v>
      </c>
      <c r="C811" s="97" t="s">
        <v>44</v>
      </c>
      <c r="D811" s="97" t="s">
        <v>32</v>
      </c>
      <c r="E811" s="97" t="s">
        <v>33</v>
      </c>
      <c r="F811" s="101" t="s">
        <v>1680</v>
      </c>
      <c r="G811" s="102" t="s">
        <v>46</v>
      </c>
      <c r="H811" s="103" t="s">
        <v>1732</v>
      </c>
      <c r="I811" s="104">
        <v>46158</v>
      </c>
      <c r="J811" s="97">
        <f t="shared" ca="1" si="1632"/>
        <v>26</v>
      </c>
      <c r="K811" s="97">
        <f t="shared" si="1633"/>
        <v>46169</v>
      </c>
      <c r="L811" s="101" t="s">
        <v>397</v>
      </c>
      <c r="M811" s="97">
        <v>19000</v>
      </c>
      <c r="N811" s="97">
        <v>17000</v>
      </c>
      <c r="O811" s="104">
        <v>46158</v>
      </c>
      <c r="P811" s="97">
        <f t="shared" si="1634"/>
        <v>2000</v>
      </c>
      <c r="Q811" s="97" t="s">
        <v>33</v>
      </c>
      <c r="R811" s="97" t="s">
        <v>39</v>
      </c>
      <c r="S811" s="97">
        <v>21800</v>
      </c>
      <c r="T811" s="64" t="s">
        <v>2672</v>
      </c>
      <c r="U811" s="65">
        <v>46169</v>
      </c>
      <c r="V811" s="97" t="s">
        <v>28</v>
      </c>
      <c r="W811" s="97">
        <f t="shared" si="1635"/>
        <v>2800</v>
      </c>
      <c r="X811" s="97" t="s">
        <v>36</v>
      </c>
      <c r="Y811" s="97" t="s">
        <v>29</v>
      </c>
      <c r="Z811" s="105">
        <f t="shared" si="1636"/>
        <v>14.736842105263158</v>
      </c>
      <c r="AA811" s="93"/>
    </row>
    <row r="812" spans="1:27" s="101" customFormat="1" hidden="1">
      <c r="A812" s="97">
        <f>SUBTOTAL(3,C$2:C812)</f>
        <v>467</v>
      </c>
      <c r="B812" s="97" t="s">
        <v>1086</v>
      </c>
      <c r="C812" s="97" t="s">
        <v>119</v>
      </c>
      <c r="D812" s="97" t="s">
        <v>32</v>
      </c>
      <c r="E812" s="97" t="s">
        <v>33</v>
      </c>
      <c r="F812" s="101" t="s">
        <v>429</v>
      </c>
      <c r="G812" s="102" t="s">
        <v>914</v>
      </c>
      <c r="H812" s="111" t="s">
        <v>1733</v>
      </c>
      <c r="I812" s="104">
        <v>46158</v>
      </c>
      <c r="J812" s="97">
        <f t="shared" ca="1" si="1632"/>
        <v>26</v>
      </c>
      <c r="K812" s="97" t="str">
        <f t="shared" si="1633"/>
        <v>Pending</v>
      </c>
      <c r="L812" s="101" t="s">
        <v>1681</v>
      </c>
      <c r="M812" s="97">
        <v>39500</v>
      </c>
      <c r="N812" s="97">
        <v>36500</v>
      </c>
      <c r="O812" s="104">
        <v>46158</v>
      </c>
      <c r="P812" s="97">
        <f t="shared" si="1634"/>
        <v>3000</v>
      </c>
      <c r="Q812" s="97" t="s">
        <v>33</v>
      </c>
      <c r="R812" s="97" t="s">
        <v>112</v>
      </c>
      <c r="S812" s="97">
        <v>44000</v>
      </c>
      <c r="T812" s="64" t="s">
        <v>33</v>
      </c>
      <c r="U812" s="65" t="s">
        <v>33</v>
      </c>
      <c r="V812" s="97" t="s">
        <v>28</v>
      </c>
      <c r="W812" s="97">
        <f t="shared" si="1635"/>
        <v>4500</v>
      </c>
      <c r="X812" s="97" t="s">
        <v>36</v>
      </c>
      <c r="Y812" s="97" t="s">
        <v>29</v>
      </c>
      <c r="Z812" s="105">
        <f t="shared" si="1636"/>
        <v>11.39240506329114</v>
      </c>
      <c r="AA812" s="93"/>
    </row>
    <row r="813" spans="1:27" s="101" customFormat="1" hidden="1">
      <c r="A813" s="97">
        <f>SUBTOTAL(3,C$2:C813)</f>
        <v>467</v>
      </c>
      <c r="B813" s="97" t="s">
        <v>1086</v>
      </c>
      <c r="C813" s="97" t="s">
        <v>1031</v>
      </c>
      <c r="D813" s="97" t="s">
        <v>32</v>
      </c>
      <c r="E813" s="97" t="s">
        <v>33</v>
      </c>
      <c r="F813" s="101" t="s">
        <v>1682</v>
      </c>
      <c r="G813" s="102" t="s">
        <v>34</v>
      </c>
      <c r="H813" s="103" t="s">
        <v>1734</v>
      </c>
      <c r="I813" s="104">
        <v>46158</v>
      </c>
      <c r="J813" s="97">
        <f t="shared" ref="J813" ca="1" si="1637">+TODAY()-I813</f>
        <v>26</v>
      </c>
      <c r="K813" s="97" t="str">
        <f t="shared" ref="K813" si="1638">+U813</f>
        <v>Pending</v>
      </c>
      <c r="L813" s="101" t="s">
        <v>698</v>
      </c>
      <c r="M813" s="97">
        <v>18000</v>
      </c>
      <c r="N813" s="97">
        <v>16000</v>
      </c>
      <c r="O813" s="104">
        <v>46158</v>
      </c>
      <c r="P813" s="97">
        <f t="shared" ref="P813" si="1639">+M813-N813</f>
        <v>2000</v>
      </c>
      <c r="Q813" s="97" t="s">
        <v>33</v>
      </c>
      <c r="R813" s="97" t="s">
        <v>56</v>
      </c>
      <c r="S813" s="97">
        <v>20500</v>
      </c>
      <c r="T813" s="64" t="s">
        <v>33</v>
      </c>
      <c r="U813" s="65" t="s">
        <v>33</v>
      </c>
      <c r="V813" s="97" t="s">
        <v>28</v>
      </c>
      <c r="W813" s="97">
        <f t="shared" ref="W813" si="1640">+S813-M813</f>
        <v>2500</v>
      </c>
      <c r="X813" s="97" t="s">
        <v>963</v>
      </c>
      <c r="Y813" s="97" t="s">
        <v>29</v>
      </c>
      <c r="Z813" s="105">
        <f t="shared" ref="Z813" si="1641">+W813*100/M813</f>
        <v>13.888888888888889</v>
      </c>
      <c r="AA813" s="93"/>
    </row>
    <row r="814" spans="1:27" s="101" customFormat="1" hidden="1">
      <c r="A814" s="97">
        <f>SUBTOTAL(3,C$2:C814)</f>
        <v>467</v>
      </c>
      <c r="B814" s="97" t="s">
        <v>1086</v>
      </c>
      <c r="C814" s="97" t="s">
        <v>1031</v>
      </c>
      <c r="D814" s="97" t="s">
        <v>32</v>
      </c>
      <c r="E814" s="97" t="s">
        <v>33</v>
      </c>
      <c r="F814" s="101" t="s">
        <v>1683</v>
      </c>
      <c r="G814" s="102" t="s">
        <v>34</v>
      </c>
      <c r="H814" s="111" t="s">
        <v>2266</v>
      </c>
      <c r="I814" s="104">
        <v>46158</v>
      </c>
      <c r="J814" s="97">
        <f t="shared" ref="J814" ca="1" si="1642">+TODAY()-I814</f>
        <v>26</v>
      </c>
      <c r="K814" s="97" t="str">
        <f t="shared" ref="K814" si="1643">+U814</f>
        <v>Pending</v>
      </c>
      <c r="L814" s="101" t="s">
        <v>1024</v>
      </c>
      <c r="M814" s="97">
        <v>19000</v>
      </c>
      <c r="N814" s="97">
        <v>17000</v>
      </c>
      <c r="O814" s="104">
        <v>46158</v>
      </c>
      <c r="P814" s="97">
        <f t="shared" ref="P814" si="1644">+M814-N814</f>
        <v>2000</v>
      </c>
      <c r="Q814" s="97" t="s">
        <v>33</v>
      </c>
      <c r="R814" s="97" t="s">
        <v>39</v>
      </c>
      <c r="S814" s="97">
        <v>21800</v>
      </c>
      <c r="T814" s="64" t="s">
        <v>33</v>
      </c>
      <c r="U814" s="65" t="s">
        <v>33</v>
      </c>
      <c r="V814" s="97" t="s">
        <v>28</v>
      </c>
      <c r="W814" s="97">
        <f t="shared" ref="W814" si="1645">+S814-M814</f>
        <v>2800</v>
      </c>
      <c r="X814" s="97" t="s">
        <v>963</v>
      </c>
      <c r="Y814" s="97" t="s">
        <v>29</v>
      </c>
      <c r="Z814" s="105">
        <f t="shared" ref="Z814" si="1646">+W814*100/M814</f>
        <v>14.736842105263158</v>
      </c>
      <c r="AA814" s="93"/>
    </row>
    <row r="815" spans="1:27" s="101" customFormat="1" hidden="1">
      <c r="A815" s="97">
        <f>SUBTOTAL(3,C$2:C815)</f>
        <v>467</v>
      </c>
      <c r="B815" s="97" t="s">
        <v>1086</v>
      </c>
      <c r="C815" s="97" t="s">
        <v>1031</v>
      </c>
      <c r="D815" s="97" t="s">
        <v>32</v>
      </c>
      <c r="E815" s="97" t="s">
        <v>33</v>
      </c>
      <c r="F815" s="101" t="s">
        <v>306</v>
      </c>
      <c r="G815" s="102" t="s">
        <v>34</v>
      </c>
      <c r="H815" s="103" t="s">
        <v>1735</v>
      </c>
      <c r="I815" s="104">
        <v>46157</v>
      </c>
      <c r="J815" s="97">
        <f t="shared" ref="J815:J816" ca="1" si="1647">+TODAY()-I815</f>
        <v>27</v>
      </c>
      <c r="K815" s="97">
        <f t="shared" ref="K815:K816" si="1648">+U815</f>
        <v>46169</v>
      </c>
      <c r="L815" s="101" t="s">
        <v>783</v>
      </c>
      <c r="M815" s="97">
        <v>18000</v>
      </c>
      <c r="N815" s="97">
        <v>16000</v>
      </c>
      <c r="O815" s="104">
        <v>46159</v>
      </c>
      <c r="P815" s="97">
        <f t="shared" ref="P815:P816" si="1649">+M815-N815</f>
        <v>2000</v>
      </c>
      <c r="Q815" s="97" t="s">
        <v>33</v>
      </c>
      <c r="R815" s="97" t="s">
        <v>56</v>
      </c>
      <c r="S815" s="97">
        <v>20500</v>
      </c>
      <c r="T815" s="64" t="s">
        <v>2691</v>
      </c>
      <c r="U815" s="65">
        <v>46169</v>
      </c>
      <c r="V815" s="97" t="s">
        <v>28</v>
      </c>
      <c r="W815" s="97">
        <f t="shared" ref="W815:W816" si="1650">+S815-M815</f>
        <v>2500</v>
      </c>
      <c r="X815" s="97" t="s">
        <v>963</v>
      </c>
      <c r="Y815" s="97" t="s">
        <v>29</v>
      </c>
      <c r="Z815" s="105">
        <f t="shared" ref="Z815:Z816" si="1651">+W815*100/M815</f>
        <v>13.888888888888889</v>
      </c>
      <c r="AA815" s="93"/>
    </row>
    <row r="816" spans="1:27" s="101" customFormat="1" hidden="1">
      <c r="A816" s="97">
        <f>SUBTOTAL(3,C$2:C816)</f>
        <v>467</v>
      </c>
      <c r="B816" s="97" t="s">
        <v>1086</v>
      </c>
      <c r="C816" s="97" t="s">
        <v>44</v>
      </c>
      <c r="D816" s="97" t="s">
        <v>32</v>
      </c>
      <c r="E816" s="97" t="s">
        <v>33</v>
      </c>
      <c r="F816" s="101" t="s">
        <v>331</v>
      </c>
      <c r="G816" s="102" t="s">
        <v>46</v>
      </c>
      <c r="H816" s="103" t="s">
        <v>1736</v>
      </c>
      <c r="I816" s="104">
        <v>46156</v>
      </c>
      <c r="J816" s="97">
        <f t="shared" ca="1" si="1647"/>
        <v>28</v>
      </c>
      <c r="K816" s="97">
        <f t="shared" si="1648"/>
        <v>46170</v>
      </c>
      <c r="L816" s="101" t="s">
        <v>1288</v>
      </c>
      <c r="M816" s="97">
        <v>18500</v>
      </c>
      <c r="N816" s="97">
        <v>18500</v>
      </c>
      <c r="O816" s="104">
        <v>46159</v>
      </c>
      <c r="P816" s="97">
        <f t="shared" si="1649"/>
        <v>0</v>
      </c>
      <c r="Q816" s="97" t="s">
        <v>33</v>
      </c>
      <c r="R816" s="97" t="s">
        <v>78</v>
      </c>
      <c r="S816" s="97">
        <v>21000</v>
      </c>
      <c r="T816" s="64" t="s">
        <v>2681</v>
      </c>
      <c r="U816" s="65">
        <v>46170</v>
      </c>
      <c r="V816" s="97" t="s">
        <v>28</v>
      </c>
      <c r="W816" s="97">
        <f t="shared" si="1650"/>
        <v>2500</v>
      </c>
      <c r="X816" s="97" t="s">
        <v>36</v>
      </c>
      <c r="Y816" s="97" t="s">
        <v>29</v>
      </c>
      <c r="Z816" s="105">
        <f t="shared" si="1651"/>
        <v>13.513513513513514</v>
      </c>
      <c r="AA816" s="93"/>
    </row>
    <row r="817" spans="1:27" s="101" customFormat="1" hidden="1">
      <c r="A817" s="97">
        <f>SUBTOTAL(3,C$2:C817)</f>
        <v>467</v>
      </c>
      <c r="B817" s="97" t="s">
        <v>1086</v>
      </c>
      <c r="C817" s="97" t="s">
        <v>1031</v>
      </c>
      <c r="D817" s="97" t="s">
        <v>32</v>
      </c>
      <c r="E817" s="97" t="s">
        <v>33</v>
      </c>
      <c r="F817" s="101" t="s">
        <v>1692</v>
      </c>
      <c r="G817" s="102" t="s">
        <v>34</v>
      </c>
      <c r="H817" s="103" t="s">
        <v>1737</v>
      </c>
      <c r="I817" s="104">
        <v>46158</v>
      </c>
      <c r="J817" s="97">
        <f t="shared" ref="J817:J821" ca="1" si="1652">+TODAY()-I817</f>
        <v>26</v>
      </c>
      <c r="K817" s="97" t="str">
        <f t="shared" ref="K817:K821" si="1653">+U817</f>
        <v>Pending</v>
      </c>
      <c r="L817" s="101" t="s">
        <v>783</v>
      </c>
      <c r="M817" s="97">
        <v>18000</v>
      </c>
      <c r="N817" s="97">
        <v>16000</v>
      </c>
      <c r="O817" s="104">
        <v>46159</v>
      </c>
      <c r="P817" s="97">
        <f t="shared" ref="P817:P821" si="1654">+M817-N817</f>
        <v>2000</v>
      </c>
      <c r="Q817" s="97" t="s">
        <v>33</v>
      </c>
      <c r="R817" s="97" t="s">
        <v>56</v>
      </c>
      <c r="S817" s="97">
        <v>20500</v>
      </c>
      <c r="T817" s="64" t="s">
        <v>33</v>
      </c>
      <c r="U817" s="65" t="s">
        <v>33</v>
      </c>
      <c r="V817" s="97" t="s">
        <v>28</v>
      </c>
      <c r="W817" s="97">
        <f t="shared" ref="W817:W821" si="1655">+S817-M817</f>
        <v>2500</v>
      </c>
      <c r="X817" s="97" t="s">
        <v>963</v>
      </c>
      <c r="Y817" s="97" t="s">
        <v>29</v>
      </c>
      <c r="Z817" s="105">
        <f t="shared" ref="Z817:Z821" si="1656">+W817*100/M817</f>
        <v>13.888888888888889</v>
      </c>
      <c r="AA817" s="93"/>
    </row>
    <row r="818" spans="1:27" s="101" customFormat="1" hidden="1">
      <c r="A818" s="97">
        <f>SUBTOTAL(3,C$2:C818)</f>
        <v>467</v>
      </c>
      <c r="B818" s="97" t="s">
        <v>1086</v>
      </c>
      <c r="C818" s="97" t="s">
        <v>80</v>
      </c>
      <c r="D818" s="97" t="s">
        <v>32</v>
      </c>
      <c r="E818" s="97" t="s">
        <v>33</v>
      </c>
      <c r="F818" s="101" t="s">
        <v>1693</v>
      </c>
      <c r="G818" s="102" t="s">
        <v>1215</v>
      </c>
      <c r="H818" s="103" t="s">
        <v>1738</v>
      </c>
      <c r="I818" s="104">
        <v>46158</v>
      </c>
      <c r="J818" s="97">
        <f t="shared" ca="1" si="1652"/>
        <v>26</v>
      </c>
      <c r="K818" s="97" t="str">
        <f t="shared" si="1653"/>
        <v>Pending</v>
      </c>
      <c r="L818" s="101" t="s">
        <v>995</v>
      </c>
      <c r="M818" s="97">
        <v>28000</v>
      </c>
      <c r="N818" s="97">
        <v>26000</v>
      </c>
      <c r="O818" s="104">
        <v>46159</v>
      </c>
      <c r="P818" s="97">
        <f t="shared" si="1654"/>
        <v>2000</v>
      </c>
      <c r="Q818" s="97" t="s">
        <v>33</v>
      </c>
      <c r="R818" s="97" t="s">
        <v>2749</v>
      </c>
      <c r="S818" s="97">
        <v>44000</v>
      </c>
      <c r="T818" s="64" t="s">
        <v>33</v>
      </c>
      <c r="U818" s="65" t="s">
        <v>33</v>
      </c>
      <c r="V818" s="97" t="s">
        <v>28</v>
      </c>
      <c r="W818" s="97">
        <f t="shared" si="1655"/>
        <v>16000</v>
      </c>
      <c r="X818" s="97" t="s">
        <v>36</v>
      </c>
      <c r="Y818" s="97" t="s">
        <v>29</v>
      </c>
      <c r="Z818" s="105">
        <f t="shared" si="1656"/>
        <v>57.142857142857146</v>
      </c>
      <c r="AA818" s="93"/>
    </row>
    <row r="819" spans="1:27" s="101" customFormat="1" hidden="1">
      <c r="A819" s="97">
        <f>SUBTOTAL(3,C$2:C819)</f>
        <v>467</v>
      </c>
      <c r="B819" s="97" t="s">
        <v>1086</v>
      </c>
      <c r="C819" s="97" t="s">
        <v>44</v>
      </c>
      <c r="D819" s="97" t="s">
        <v>32</v>
      </c>
      <c r="E819" s="97" t="s">
        <v>33</v>
      </c>
      <c r="F819" s="101" t="s">
        <v>1694</v>
      </c>
      <c r="G819" s="102">
        <v>407</v>
      </c>
      <c r="H819" s="103" t="s">
        <v>1739</v>
      </c>
      <c r="I819" s="104">
        <v>46158</v>
      </c>
      <c r="J819" s="97">
        <f t="shared" ca="1" si="1652"/>
        <v>26</v>
      </c>
      <c r="K819" s="97">
        <f t="shared" si="1653"/>
        <v>46170</v>
      </c>
      <c r="L819" s="101" t="s">
        <v>84</v>
      </c>
      <c r="M819" s="97">
        <v>28500</v>
      </c>
      <c r="N819" s="97">
        <v>25500</v>
      </c>
      <c r="O819" s="104">
        <v>46159</v>
      </c>
      <c r="P819" s="97">
        <f t="shared" si="1654"/>
        <v>3000</v>
      </c>
      <c r="Q819" s="97" t="s">
        <v>33</v>
      </c>
      <c r="R819" s="97" t="s">
        <v>118</v>
      </c>
      <c r="S819" s="97">
        <v>30500</v>
      </c>
      <c r="T819" s="64" t="s">
        <v>2687</v>
      </c>
      <c r="U819" s="65">
        <v>46170</v>
      </c>
      <c r="V819" s="97" t="s">
        <v>28</v>
      </c>
      <c r="W819" s="97">
        <f t="shared" si="1655"/>
        <v>2000</v>
      </c>
      <c r="X819" s="97" t="s">
        <v>36</v>
      </c>
      <c r="Y819" s="97" t="s">
        <v>29</v>
      </c>
      <c r="Z819" s="105">
        <f t="shared" si="1656"/>
        <v>7.0175438596491224</v>
      </c>
      <c r="AA819" s="93"/>
    </row>
    <row r="820" spans="1:27" s="101" customFormat="1" hidden="1">
      <c r="A820" s="97">
        <f>SUBTOTAL(3,C$2:C820)</f>
        <v>467</v>
      </c>
      <c r="B820" s="97" t="s">
        <v>1086</v>
      </c>
      <c r="C820" s="97" t="s">
        <v>31</v>
      </c>
      <c r="D820" s="97" t="s">
        <v>32</v>
      </c>
      <c r="E820" s="97" t="s">
        <v>33</v>
      </c>
      <c r="F820" s="101" t="s">
        <v>110</v>
      </c>
      <c r="G820" s="102" t="s">
        <v>34</v>
      </c>
      <c r="H820" s="111" t="s">
        <v>1740</v>
      </c>
      <c r="I820" s="104">
        <v>46158</v>
      </c>
      <c r="J820" s="97">
        <f t="shared" ca="1" si="1652"/>
        <v>26</v>
      </c>
      <c r="K820" s="97" t="str">
        <f t="shared" si="1653"/>
        <v>Pending</v>
      </c>
      <c r="L820" s="101" t="s">
        <v>152</v>
      </c>
      <c r="M820" s="97">
        <v>11700</v>
      </c>
      <c r="N820" s="97">
        <v>10700</v>
      </c>
      <c r="O820" s="104">
        <v>46159</v>
      </c>
      <c r="P820" s="97">
        <f t="shared" si="1654"/>
        <v>1000</v>
      </c>
      <c r="Q820" s="97" t="s">
        <v>33</v>
      </c>
      <c r="R820" s="97" t="s">
        <v>112</v>
      </c>
      <c r="S820" s="97">
        <v>13500</v>
      </c>
      <c r="T820" s="64" t="s">
        <v>33</v>
      </c>
      <c r="U820" s="65" t="s">
        <v>33</v>
      </c>
      <c r="V820" s="97" t="s">
        <v>28</v>
      </c>
      <c r="W820" s="97">
        <f t="shared" si="1655"/>
        <v>1800</v>
      </c>
      <c r="X820" s="97" t="s">
        <v>963</v>
      </c>
      <c r="Y820" s="97" t="s">
        <v>29</v>
      </c>
      <c r="Z820" s="105">
        <f t="shared" si="1656"/>
        <v>15.384615384615385</v>
      </c>
      <c r="AA820" s="93"/>
    </row>
    <row r="821" spans="1:27" s="101" customFormat="1" hidden="1">
      <c r="A821" s="97">
        <f>SUBTOTAL(3,C$2:C821)</f>
        <v>467</v>
      </c>
      <c r="B821" s="97" t="s">
        <v>1086</v>
      </c>
      <c r="C821" s="97" t="s">
        <v>227</v>
      </c>
      <c r="D821" s="97" t="s">
        <v>32</v>
      </c>
      <c r="E821" s="97" t="s">
        <v>33</v>
      </c>
      <c r="F821" s="101" t="s">
        <v>228</v>
      </c>
      <c r="G821" s="102" t="s">
        <v>34</v>
      </c>
      <c r="H821" s="111" t="s">
        <v>1741</v>
      </c>
      <c r="I821" s="104">
        <v>46158</v>
      </c>
      <c r="J821" s="97">
        <f t="shared" ca="1" si="1652"/>
        <v>26</v>
      </c>
      <c r="K821" s="97" t="str">
        <f t="shared" si="1653"/>
        <v>Pending</v>
      </c>
      <c r="L821" s="101" t="s">
        <v>1484</v>
      </c>
      <c r="M821" s="97">
        <v>17800</v>
      </c>
      <c r="N821" s="97">
        <v>15800</v>
      </c>
      <c r="O821" s="104">
        <v>46159</v>
      </c>
      <c r="P821" s="97">
        <f t="shared" si="1654"/>
        <v>2000</v>
      </c>
      <c r="Q821" s="97" t="s">
        <v>33</v>
      </c>
      <c r="R821" s="97" t="s">
        <v>112</v>
      </c>
      <c r="S821" s="97">
        <v>20050</v>
      </c>
      <c r="T821" s="64" t="s">
        <v>33</v>
      </c>
      <c r="U821" s="65" t="s">
        <v>33</v>
      </c>
      <c r="V821" s="97" t="s">
        <v>28</v>
      </c>
      <c r="W821" s="97">
        <f t="shared" si="1655"/>
        <v>2250</v>
      </c>
      <c r="X821" s="97" t="s">
        <v>36</v>
      </c>
      <c r="Y821" s="97" t="s">
        <v>29</v>
      </c>
      <c r="Z821" s="105">
        <f t="shared" si="1656"/>
        <v>12.640449438202246</v>
      </c>
      <c r="AA821" s="93"/>
    </row>
    <row r="822" spans="1:27" s="101" customFormat="1" hidden="1">
      <c r="A822" s="97">
        <f>SUBTOTAL(3,C$2:C822)</f>
        <v>467</v>
      </c>
      <c r="B822" s="97" t="s">
        <v>1086</v>
      </c>
      <c r="C822" s="97" t="s">
        <v>80</v>
      </c>
      <c r="D822" s="97" t="s">
        <v>32</v>
      </c>
      <c r="E822" s="97" t="s">
        <v>33</v>
      </c>
      <c r="F822" s="101" t="s">
        <v>1695</v>
      </c>
      <c r="G822" s="102" t="s">
        <v>59</v>
      </c>
      <c r="H822" s="103" t="s">
        <v>1742</v>
      </c>
      <c r="I822" s="104">
        <v>46151</v>
      </c>
      <c r="J822" s="97">
        <f t="shared" ref="J822:J823" ca="1" si="1657">+TODAY()-I822</f>
        <v>33</v>
      </c>
      <c r="K822" s="97">
        <f t="shared" ref="K822:K823" si="1658">+U822</f>
        <v>46167</v>
      </c>
      <c r="L822" s="101" t="s">
        <v>1696</v>
      </c>
      <c r="M822" s="97">
        <v>25500</v>
      </c>
      <c r="N822" s="97">
        <v>25500</v>
      </c>
      <c r="O822" s="104">
        <v>46159</v>
      </c>
      <c r="P822" s="97">
        <f t="shared" ref="P822:P823" si="1659">+M822-N822</f>
        <v>0</v>
      </c>
      <c r="Q822" s="97" t="s">
        <v>33</v>
      </c>
      <c r="R822" s="97" t="s">
        <v>112</v>
      </c>
      <c r="S822" s="97">
        <v>32000</v>
      </c>
      <c r="T822" s="97" t="s">
        <v>2074</v>
      </c>
      <c r="U822" s="104">
        <v>46167</v>
      </c>
      <c r="V822" s="97" t="s">
        <v>28</v>
      </c>
      <c r="W822" s="97">
        <f t="shared" ref="W822:W823" si="1660">+S822-M822</f>
        <v>6500</v>
      </c>
      <c r="X822" s="97" t="s">
        <v>36</v>
      </c>
      <c r="Y822" s="97" t="s">
        <v>29</v>
      </c>
      <c r="Z822" s="105">
        <f t="shared" ref="Z822:Z823" si="1661">+W822*100/M822</f>
        <v>25.490196078431371</v>
      </c>
      <c r="AA822" s="93"/>
    </row>
    <row r="823" spans="1:27" s="101" customFormat="1" hidden="1">
      <c r="A823" s="97">
        <f>SUBTOTAL(3,C$2:C823)</f>
        <v>467</v>
      </c>
      <c r="B823" s="97" t="s">
        <v>1086</v>
      </c>
      <c r="C823" s="97" t="s">
        <v>44</v>
      </c>
      <c r="D823" s="97" t="s">
        <v>32</v>
      </c>
      <c r="E823" s="97" t="s">
        <v>33</v>
      </c>
      <c r="F823" s="101" t="s">
        <v>380</v>
      </c>
      <c r="G823" s="102">
        <v>407</v>
      </c>
      <c r="H823" s="103" t="s">
        <v>1743</v>
      </c>
      <c r="I823" s="104">
        <v>46158</v>
      </c>
      <c r="J823" s="97">
        <f t="shared" ca="1" si="1657"/>
        <v>26</v>
      </c>
      <c r="K823" s="97" t="str">
        <f t="shared" si="1658"/>
        <v>Pending</v>
      </c>
      <c r="L823" s="101" t="s">
        <v>84</v>
      </c>
      <c r="M823" s="97">
        <v>27000</v>
      </c>
      <c r="N823" s="97">
        <v>25000</v>
      </c>
      <c r="O823" s="104">
        <v>46159</v>
      </c>
      <c r="P823" s="97">
        <f t="shared" si="1659"/>
        <v>2000</v>
      </c>
      <c r="Q823" s="97" t="s">
        <v>33</v>
      </c>
      <c r="R823" s="97" t="s">
        <v>78</v>
      </c>
      <c r="S823" s="97">
        <v>29800</v>
      </c>
      <c r="T823" s="64" t="s">
        <v>33</v>
      </c>
      <c r="U823" s="65" t="s">
        <v>33</v>
      </c>
      <c r="V823" s="97" t="s">
        <v>28</v>
      </c>
      <c r="W823" s="97">
        <f t="shared" si="1660"/>
        <v>2800</v>
      </c>
      <c r="X823" s="97" t="s">
        <v>36</v>
      </c>
      <c r="Y823" s="97" t="s">
        <v>29</v>
      </c>
      <c r="Z823" s="105">
        <f t="shared" si="1661"/>
        <v>10.37037037037037</v>
      </c>
      <c r="AA823" s="93"/>
    </row>
    <row r="824" spans="1:27" s="101" customFormat="1" hidden="1">
      <c r="A824" s="97">
        <f>SUBTOTAL(3,C$2:C824)</f>
        <v>467</v>
      </c>
      <c r="B824" s="97" t="s">
        <v>1086</v>
      </c>
      <c r="C824" s="97" t="s">
        <v>44</v>
      </c>
      <c r="D824" s="97" t="s">
        <v>32</v>
      </c>
      <c r="E824" s="97" t="s">
        <v>33</v>
      </c>
      <c r="F824" s="101" t="s">
        <v>414</v>
      </c>
      <c r="G824" s="102">
        <v>407</v>
      </c>
      <c r="H824" s="103" t="s">
        <v>1744</v>
      </c>
      <c r="I824" s="104">
        <v>46157</v>
      </c>
      <c r="J824" s="97">
        <f t="shared" ref="J824:J827" ca="1" si="1662">+TODAY()-I824</f>
        <v>27</v>
      </c>
      <c r="K824" s="97">
        <f t="shared" ref="K824:K827" si="1663">+U824</f>
        <v>46170</v>
      </c>
      <c r="L824" s="101" t="s">
        <v>84</v>
      </c>
      <c r="M824" s="97">
        <v>27000</v>
      </c>
      <c r="N824" s="97">
        <v>25000</v>
      </c>
      <c r="O824" s="104">
        <v>46159</v>
      </c>
      <c r="P824" s="97">
        <f t="shared" ref="P824:P827" si="1664">+M824-N824</f>
        <v>2000</v>
      </c>
      <c r="Q824" s="97" t="s">
        <v>33</v>
      </c>
      <c r="R824" s="97" t="s">
        <v>78</v>
      </c>
      <c r="S824" s="97">
        <v>29800</v>
      </c>
      <c r="T824" s="64" t="s">
        <v>2678</v>
      </c>
      <c r="U824" s="65">
        <v>46170</v>
      </c>
      <c r="V824" s="97" t="s">
        <v>28</v>
      </c>
      <c r="W824" s="97">
        <f t="shared" ref="W824:W827" si="1665">+S824-M824</f>
        <v>2800</v>
      </c>
      <c r="X824" s="97" t="s">
        <v>36</v>
      </c>
      <c r="Y824" s="97" t="s">
        <v>29</v>
      </c>
      <c r="Z824" s="105">
        <f t="shared" ref="Z824:Z827" si="1666">+W824*100/M824</f>
        <v>10.37037037037037</v>
      </c>
      <c r="AA824" s="93"/>
    </row>
    <row r="825" spans="1:27" s="101" customFormat="1" hidden="1">
      <c r="A825" s="97">
        <f>SUBTOTAL(3,C$2:C825)</f>
        <v>467</v>
      </c>
      <c r="B825" s="97" t="s">
        <v>1086</v>
      </c>
      <c r="C825" s="97" t="s">
        <v>1031</v>
      </c>
      <c r="D825" s="97" t="s">
        <v>32</v>
      </c>
      <c r="E825" s="97" t="s">
        <v>33</v>
      </c>
      <c r="F825" s="101" t="s">
        <v>1487</v>
      </c>
      <c r="G825" s="102" t="s">
        <v>34</v>
      </c>
      <c r="H825" s="103" t="s">
        <v>1745</v>
      </c>
      <c r="I825" s="104">
        <v>46158</v>
      </c>
      <c r="J825" s="97">
        <f t="shared" ca="1" si="1662"/>
        <v>26</v>
      </c>
      <c r="K825" s="97" t="str">
        <f t="shared" si="1663"/>
        <v>Pending</v>
      </c>
      <c r="L825" s="101" t="s">
        <v>1024</v>
      </c>
      <c r="M825" s="97">
        <v>19000</v>
      </c>
      <c r="N825" s="97">
        <v>17000</v>
      </c>
      <c r="O825" s="104">
        <v>46159</v>
      </c>
      <c r="P825" s="97">
        <f t="shared" si="1664"/>
        <v>2000</v>
      </c>
      <c r="Q825" s="97" t="s">
        <v>33</v>
      </c>
      <c r="R825" s="97" t="s">
        <v>39</v>
      </c>
      <c r="S825" s="97">
        <v>21800</v>
      </c>
      <c r="T825" s="64" t="s">
        <v>33</v>
      </c>
      <c r="U825" s="65" t="s">
        <v>33</v>
      </c>
      <c r="V825" s="97" t="s">
        <v>28</v>
      </c>
      <c r="W825" s="97">
        <f t="shared" si="1665"/>
        <v>2800</v>
      </c>
      <c r="X825" s="97" t="s">
        <v>963</v>
      </c>
      <c r="Y825" s="97" t="s">
        <v>29</v>
      </c>
      <c r="Z825" s="105">
        <f t="shared" si="1666"/>
        <v>14.736842105263158</v>
      </c>
      <c r="AA825" s="93"/>
    </row>
    <row r="826" spans="1:27" s="101" customFormat="1" hidden="1">
      <c r="A826" s="97">
        <f>SUBTOTAL(3,C$2:C826)</f>
        <v>467</v>
      </c>
      <c r="B826" s="97" t="s">
        <v>1086</v>
      </c>
      <c r="C826" s="97" t="s">
        <v>31</v>
      </c>
      <c r="D826" s="97" t="s">
        <v>32</v>
      </c>
      <c r="E826" s="97" t="s">
        <v>33</v>
      </c>
      <c r="F826" s="101" t="s">
        <v>191</v>
      </c>
      <c r="G826" s="102" t="s">
        <v>34</v>
      </c>
      <c r="H826" s="103" t="s">
        <v>1746</v>
      </c>
      <c r="I826" s="104">
        <v>46159</v>
      </c>
      <c r="J826" s="97">
        <f t="shared" ca="1" si="1662"/>
        <v>25</v>
      </c>
      <c r="K826" s="97" t="str">
        <f t="shared" si="1663"/>
        <v>Pending</v>
      </c>
      <c r="L826" s="101" t="s">
        <v>1697</v>
      </c>
      <c r="M826" s="97">
        <v>18300</v>
      </c>
      <c r="N826" s="97">
        <v>16500</v>
      </c>
      <c r="O826" s="104">
        <v>46159</v>
      </c>
      <c r="P826" s="97">
        <f t="shared" si="1664"/>
        <v>1800</v>
      </c>
      <c r="Q826" s="97" t="s">
        <v>33</v>
      </c>
      <c r="R826" s="97" t="s">
        <v>37</v>
      </c>
      <c r="S826" s="97">
        <v>21500</v>
      </c>
      <c r="T826" s="64" t="s">
        <v>33</v>
      </c>
      <c r="U826" s="65" t="s">
        <v>33</v>
      </c>
      <c r="V826" s="97" t="s">
        <v>28</v>
      </c>
      <c r="W826" s="97">
        <f t="shared" si="1665"/>
        <v>3200</v>
      </c>
      <c r="X826" s="97" t="s">
        <v>963</v>
      </c>
      <c r="Y826" s="97" t="s">
        <v>29</v>
      </c>
      <c r="Z826" s="105">
        <f t="shared" si="1666"/>
        <v>17.486338797814209</v>
      </c>
      <c r="AA826" s="93"/>
    </row>
    <row r="827" spans="1:27" s="101" customFormat="1" hidden="1">
      <c r="A827" s="97">
        <f>SUBTOTAL(3,C$2:C827)</f>
        <v>467</v>
      </c>
      <c r="B827" s="97" t="s">
        <v>1086</v>
      </c>
      <c r="C827" s="97" t="s">
        <v>48</v>
      </c>
      <c r="D827" s="97" t="s">
        <v>32</v>
      </c>
      <c r="E827" s="97" t="s">
        <v>33</v>
      </c>
      <c r="F827" s="101" t="s">
        <v>49</v>
      </c>
      <c r="G827" s="102" t="s">
        <v>50</v>
      </c>
      <c r="H827" s="103" t="s">
        <v>1747</v>
      </c>
      <c r="I827" s="104">
        <v>46159</v>
      </c>
      <c r="J827" s="97">
        <f t="shared" ca="1" si="1662"/>
        <v>25</v>
      </c>
      <c r="K827" s="97" t="str">
        <f t="shared" si="1663"/>
        <v>Pending</v>
      </c>
      <c r="L827" s="101" t="s">
        <v>1698</v>
      </c>
      <c r="M827" s="97">
        <v>44000</v>
      </c>
      <c r="N827" s="97">
        <v>40000</v>
      </c>
      <c r="O827" s="104">
        <v>46159</v>
      </c>
      <c r="P827" s="97">
        <f t="shared" si="1664"/>
        <v>4000</v>
      </c>
      <c r="Q827" s="97" t="s">
        <v>33</v>
      </c>
      <c r="R827" s="97" t="s">
        <v>52</v>
      </c>
      <c r="S827" s="97">
        <v>48000</v>
      </c>
      <c r="T827" s="64" t="s">
        <v>33</v>
      </c>
      <c r="U827" s="65" t="s">
        <v>33</v>
      </c>
      <c r="V827" s="97" t="s">
        <v>28</v>
      </c>
      <c r="W827" s="97">
        <f t="shared" si="1665"/>
        <v>4000</v>
      </c>
      <c r="X827" s="97" t="s">
        <v>36</v>
      </c>
      <c r="Y827" s="97" t="s">
        <v>29</v>
      </c>
      <c r="Z827" s="105">
        <f t="shared" si="1666"/>
        <v>9.0909090909090917</v>
      </c>
      <c r="AA827" s="93"/>
    </row>
    <row r="828" spans="1:27" s="101" customFormat="1" hidden="1">
      <c r="A828" s="97">
        <f>SUBTOTAL(3,C$2:C828)</f>
        <v>467</v>
      </c>
      <c r="B828" s="97" t="s">
        <v>1086</v>
      </c>
      <c r="C828" s="97" t="s">
        <v>44</v>
      </c>
      <c r="D828" s="97" t="s">
        <v>32</v>
      </c>
      <c r="E828" s="97" t="s">
        <v>33</v>
      </c>
      <c r="F828" s="101" t="s">
        <v>1699</v>
      </c>
      <c r="G828" s="102" t="s">
        <v>46</v>
      </c>
      <c r="H828" s="111" t="s">
        <v>1748</v>
      </c>
      <c r="I828" s="104">
        <v>46159</v>
      </c>
      <c r="J828" s="97">
        <f t="shared" ref="J828:J832" ca="1" si="1667">+TODAY()-I828</f>
        <v>25</v>
      </c>
      <c r="K828" s="97" t="str">
        <f t="shared" ref="K828:K832" si="1668">+U828</f>
        <v>Pending</v>
      </c>
      <c r="L828" s="101" t="s">
        <v>995</v>
      </c>
      <c r="M828" s="97">
        <v>28000</v>
      </c>
      <c r="N828" s="97">
        <v>26000</v>
      </c>
      <c r="O828" s="104">
        <v>46159</v>
      </c>
      <c r="P828" s="97">
        <f t="shared" ref="P828:P832" si="1669">+M828-N828</f>
        <v>2000</v>
      </c>
      <c r="Q828" s="97" t="s">
        <v>33</v>
      </c>
      <c r="R828" s="97" t="s">
        <v>37</v>
      </c>
      <c r="S828" s="97">
        <v>31000</v>
      </c>
      <c r="T828" s="64" t="s">
        <v>33</v>
      </c>
      <c r="U828" s="65" t="s">
        <v>33</v>
      </c>
      <c r="V828" s="97" t="s">
        <v>28</v>
      </c>
      <c r="W828" s="97">
        <f t="shared" ref="W828:W832" si="1670">+S828-M828</f>
        <v>3000</v>
      </c>
      <c r="X828" s="97" t="s">
        <v>36</v>
      </c>
      <c r="Y828" s="97" t="s">
        <v>29</v>
      </c>
      <c r="Z828" s="105">
        <f t="shared" ref="Z828:Z832" si="1671">+W828*100/M828</f>
        <v>10.714285714285714</v>
      </c>
      <c r="AA828" s="93"/>
    </row>
    <row r="829" spans="1:27" s="101" customFormat="1" hidden="1">
      <c r="A829" s="97">
        <f>SUBTOTAL(3,C$2:C829)</f>
        <v>467</v>
      </c>
      <c r="B829" s="97" t="s">
        <v>1086</v>
      </c>
      <c r="C829" s="97" t="s">
        <v>44</v>
      </c>
      <c r="D829" s="97" t="s">
        <v>32</v>
      </c>
      <c r="E829" s="97" t="s">
        <v>33</v>
      </c>
      <c r="F829" s="101" t="s">
        <v>1700</v>
      </c>
      <c r="G829" s="102" t="s">
        <v>143</v>
      </c>
      <c r="H829" s="103" t="s">
        <v>1749</v>
      </c>
      <c r="I829" s="104">
        <v>46159</v>
      </c>
      <c r="J829" s="97">
        <f t="shared" ca="1" si="1667"/>
        <v>25</v>
      </c>
      <c r="K829" s="97">
        <f t="shared" si="1668"/>
        <v>46169</v>
      </c>
      <c r="L829" s="101" t="s">
        <v>144</v>
      </c>
      <c r="M829" s="97">
        <v>31500</v>
      </c>
      <c r="N829" s="97">
        <v>28500</v>
      </c>
      <c r="O829" s="104">
        <v>46159</v>
      </c>
      <c r="P829" s="97">
        <f t="shared" si="1669"/>
        <v>3000</v>
      </c>
      <c r="Q829" s="97" t="s">
        <v>33</v>
      </c>
      <c r="R829" s="97" t="s">
        <v>39</v>
      </c>
      <c r="S829" s="97">
        <v>35000</v>
      </c>
      <c r="T829" s="64" t="s">
        <v>2699</v>
      </c>
      <c r="U829" s="65">
        <v>46169</v>
      </c>
      <c r="V829" s="97" t="s">
        <v>28</v>
      </c>
      <c r="W829" s="97">
        <f t="shared" si="1670"/>
        <v>3500</v>
      </c>
      <c r="X829" s="97" t="s">
        <v>36</v>
      </c>
      <c r="Y829" s="97" t="s">
        <v>29</v>
      </c>
      <c r="Z829" s="105">
        <f t="shared" si="1671"/>
        <v>11.111111111111111</v>
      </c>
      <c r="AA829" s="93"/>
    </row>
    <row r="830" spans="1:27" s="101" customFormat="1" hidden="1">
      <c r="A830" s="97">
        <f>SUBTOTAL(3,C$2:C830)</f>
        <v>467</v>
      </c>
      <c r="B830" s="97" t="s">
        <v>1086</v>
      </c>
      <c r="C830" s="97" t="s">
        <v>31</v>
      </c>
      <c r="D830" s="97" t="s">
        <v>32</v>
      </c>
      <c r="E830" s="97" t="s">
        <v>33</v>
      </c>
      <c r="F830" s="101" t="s">
        <v>1701</v>
      </c>
      <c r="G830" s="102" t="s">
        <v>34</v>
      </c>
      <c r="H830" s="103" t="s">
        <v>1750</v>
      </c>
      <c r="I830" s="104">
        <v>46159</v>
      </c>
      <c r="J830" s="97">
        <f t="shared" ca="1" si="1667"/>
        <v>25</v>
      </c>
      <c r="K830" s="97" t="str">
        <f t="shared" si="1668"/>
        <v>Pending</v>
      </c>
      <c r="L830" s="101" t="s">
        <v>1702</v>
      </c>
      <c r="M830" s="97">
        <v>23300</v>
      </c>
      <c r="N830" s="97">
        <v>21500</v>
      </c>
      <c r="O830" s="104">
        <v>46159</v>
      </c>
      <c r="P830" s="97">
        <f t="shared" si="1669"/>
        <v>1800</v>
      </c>
      <c r="Q830" s="97" t="s">
        <v>33</v>
      </c>
      <c r="R830" s="97" t="s">
        <v>37</v>
      </c>
      <c r="S830" s="97">
        <v>26000</v>
      </c>
      <c r="T830" s="64" t="s">
        <v>33</v>
      </c>
      <c r="U830" s="65" t="s">
        <v>33</v>
      </c>
      <c r="V830" s="97" t="s">
        <v>28</v>
      </c>
      <c r="W830" s="97">
        <f t="shared" si="1670"/>
        <v>2700</v>
      </c>
      <c r="X830" s="97" t="s">
        <v>963</v>
      </c>
      <c r="Y830" s="97" t="s">
        <v>29</v>
      </c>
      <c r="Z830" s="105">
        <f t="shared" si="1671"/>
        <v>11.587982832618026</v>
      </c>
      <c r="AA830" s="93"/>
    </row>
    <row r="831" spans="1:27" s="101" customFormat="1" hidden="1">
      <c r="A831" s="97">
        <f>SUBTOTAL(3,C$2:C831)</f>
        <v>467</v>
      </c>
      <c r="B831" s="97" t="s">
        <v>1086</v>
      </c>
      <c r="C831" s="97" t="s">
        <v>1031</v>
      </c>
      <c r="D831" s="97" t="s">
        <v>32</v>
      </c>
      <c r="E831" s="97" t="s">
        <v>33</v>
      </c>
      <c r="F831" s="101" t="s">
        <v>1026</v>
      </c>
      <c r="G831" s="102" t="s">
        <v>34</v>
      </c>
      <c r="H831" s="103" t="s">
        <v>1751</v>
      </c>
      <c r="I831" s="104">
        <v>46159</v>
      </c>
      <c r="J831" s="97">
        <f t="shared" ca="1" si="1667"/>
        <v>25</v>
      </c>
      <c r="K831" s="97" t="str">
        <f t="shared" si="1668"/>
        <v>Pending</v>
      </c>
      <c r="L831" s="101" t="s">
        <v>1024</v>
      </c>
      <c r="M831" s="97">
        <v>19000</v>
      </c>
      <c r="N831" s="97">
        <v>17000</v>
      </c>
      <c r="O831" s="104">
        <v>46159</v>
      </c>
      <c r="P831" s="97">
        <f t="shared" si="1669"/>
        <v>2000</v>
      </c>
      <c r="Q831" s="97" t="s">
        <v>33</v>
      </c>
      <c r="R831" s="97" t="s">
        <v>39</v>
      </c>
      <c r="S831" s="97">
        <v>21800</v>
      </c>
      <c r="T831" s="64" t="s">
        <v>33</v>
      </c>
      <c r="U831" s="65" t="s">
        <v>33</v>
      </c>
      <c r="V831" s="97" t="s">
        <v>28</v>
      </c>
      <c r="W831" s="97">
        <f t="shared" si="1670"/>
        <v>2800</v>
      </c>
      <c r="X831" s="97" t="s">
        <v>963</v>
      </c>
      <c r="Y831" s="97" t="s">
        <v>29</v>
      </c>
      <c r="Z831" s="105">
        <f t="shared" si="1671"/>
        <v>14.736842105263158</v>
      </c>
      <c r="AA831" s="93"/>
    </row>
    <row r="832" spans="1:27" s="101" customFormat="1" hidden="1">
      <c r="A832" s="97">
        <f>SUBTOTAL(3,C$2:C832)</f>
        <v>467</v>
      </c>
      <c r="B832" s="97" t="s">
        <v>1086</v>
      </c>
      <c r="C832" s="97" t="s">
        <v>80</v>
      </c>
      <c r="D832" s="97" t="s">
        <v>32</v>
      </c>
      <c r="E832" s="97" t="s">
        <v>33</v>
      </c>
      <c r="F832" s="101" t="s">
        <v>1703</v>
      </c>
      <c r="G832" s="102" t="s">
        <v>1215</v>
      </c>
      <c r="H832" s="103" t="s">
        <v>1752</v>
      </c>
      <c r="I832" s="104">
        <v>46159</v>
      </c>
      <c r="J832" s="97">
        <f t="shared" ca="1" si="1667"/>
        <v>25</v>
      </c>
      <c r="K832" s="97">
        <f t="shared" si="1668"/>
        <v>46169</v>
      </c>
      <c r="L832" s="101" t="s">
        <v>995</v>
      </c>
      <c r="M832" s="97">
        <v>28000</v>
      </c>
      <c r="N832" s="97">
        <v>26000</v>
      </c>
      <c r="O832" s="104">
        <v>46159</v>
      </c>
      <c r="P832" s="97">
        <f t="shared" si="1669"/>
        <v>2000</v>
      </c>
      <c r="Q832" s="97" t="s">
        <v>33</v>
      </c>
      <c r="R832" s="97" t="s">
        <v>39</v>
      </c>
      <c r="S832" s="97">
        <v>31500</v>
      </c>
      <c r="T832" s="64" t="s">
        <v>2689</v>
      </c>
      <c r="U832" s="65">
        <v>46169</v>
      </c>
      <c r="V832" s="97" t="s">
        <v>28</v>
      </c>
      <c r="W832" s="97">
        <f t="shared" si="1670"/>
        <v>3500</v>
      </c>
      <c r="X832" s="97" t="s">
        <v>36</v>
      </c>
      <c r="Y832" s="97" t="s">
        <v>29</v>
      </c>
      <c r="Z832" s="105">
        <f t="shared" si="1671"/>
        <v>12.5</v>
      </c>
      <c r="AA832" s="93"/>
    </row>
    <row r="833" spans="1:27" s="101" customFormat="1" hidden="1">
      <c r="A833" s="97">
        <f>SUBTOTAL(3,C$2:C833)</f>
        <v>467</v>
      </c>
      <c r="B833" s="97" t="s">
        <v>1086</v>
      </c>
      <c r="C833" s="97" t="s">
        <v>1031</v>
      </c>
      <c r="D833" s="97" t="s">
        <v>32</v>
      </c>
      <c r="E833" s="97" t="s">
        <v>33</v>
      </c>
      <c r="F833" s="101" t="s">
        <v>592</v>
      </c>
      <c r="G833" s="102" t="s">
        <v>34</v>
      </c>
      <c r="H833" s="103" t="s">
        <v>1753</v>
      </c>
      <c r="I833" s="104">
        <v>46159</v>
      </c>
      <c r="J833" s="97">
        <f t="shared" ref="J833:J834" ca="1" si="1672">+TODAY()-I833</f>
        <v>25</v>
      </c>
      <c r="K833" s="97">
        <f t="shared" ref="K833:K834" si="1673">+U833</f>
        <v>46169</v>
      </c>
      <c r="L833" s="101" t="s">
        <v>783</v>
      </c>
      <c r="M833" s="97">
        <v>18000</v>
      </c>
      <c r="N833" s="97">
        <v>16000</v>
      </c>
      <c r="O833" s="104">
        <v>46159</v>
      </c>
      <c r="P833" s="97">
        <f t="shared" ref="P833:P834" si="1674">+M833-N833</f>
        <v>2000</v>
      </c>
      <c r="Q833" s="97" t="s">
        <v>33</v>
      </c>
      <c r="R833" s="97" t="s">
        <v>56</v>
      </c>
      <c r="S833" s="97">
        <v>20500</v>
      </c>
      <c r="T833" s="64" t="s">
        <v>2669</v>
      </c>
      <c r="U833" s="65">
        <v>46169</v>
      </c>
      <c r="V833" s="97" t="s">
        <v>28</v>
      </c>
      <c r="W833" s="97">
        <f t="shared" ref="W833:W834" si="1675">+S833-M833</f>
        <v>2500</v>
      </c>
      <c r="X833" s="97" t="s">
        <v>963</v>
      </c>
      <c r="Y833" s="97" t="s">
        <v>29</v>
      </c>
      <c r="Z833" s="105">
        <f t="shared" ref="Z833:Z834" si="1676">+W833*100/M833</f>
        <v>13.888888888888889</v>
      </c>
      <c r="AA833" s="93"/>
    </row>
    <row r="834" spans="1:27" s="101" customFormat="1" hidden="1">
      <c r="A834" s="97">
        <f>SUBTOTAL(3,C$2:C834)</f>
        <v>467</v>
      </c>
      <c r="B834" s="97" t="s">
        <v>1086</v>
      </c>
      <c r="C834" s="97" t="s">
        <v>31</v>
      </c>
      <c r="D834" s="97" t="s">
        <v>32</v>
      </c>
      <c r="E834" s="97" t="s">
        <v>33</v>
      </c>
      <c r="F834" s="101" t="s">
        <v>149</v>
      </c>
      <c r="G834" s="102" t="s">
        <v>34</v>
      </c>
      <c r="H834" s="103" t="s">
        <v>1754</v>
      </c>
      <c r="I834" s="104">
        <v>46158</v>
      </c>
      <c r="J834" s="97">
        <f t="shared" ca="1" si="1672"/>
        <v>26</v>
      </c>
      <c r="K834" s="97">
        <f t="shared" si="1673"/>
        <v>46169</v>
      </c>
      <c r="L834" s="101" t="s">
        <v>1411</v>
      </c>
      <c r="M834" s="97">
        <v>19000</v>
      </c>
      <c r="N834" s="97">
        <v>17000</v>
      </c>
      <c r="O834" s="104">
        <v>46159</v>
      </c>
      <c r="P834" s="97">
        <f t="shared" si="1674"/>
        <v>2000</v>
      </c>
      <c r="Q834" s="97" t="s">
        <v>33</v>
      </c>
      <c r="R834" s="97" t="s">
        <v>39</v>
      </c>
      <c r="S834" s="97">
        <v>21800</v>
      </c>
      <c r="T834" s="64" t="s">
        <v>2674</v>
      </c>
      <c r="U834" s="65">
        <v>46169</v>
      </c>
      <c r="V834" s="97" t="s">
        <v>28</v>
      </c>
      <c r="W834" s="97">
        <f t="shared" si="1675"/>
        <v>2800</v>
      </c>
      <c r="X834" s="97" t="s">
        <v>963</v>
      </c>
      <c r="Y834" s="97" t="s">
        <v>29</v>
      </c>
      <c r="Z834" s="105">
        <f t="shared" si="1676"/>
        <v>14.736842105263158</v>
      </c>
      <c r="AA834" s="93"/>
    </row>
    <row r="835" spans="1:27" s="101" customFormat="1" hidden="1">
      <c r="A835" s="97">
        <f>SUBTOTAL(3,C$2:C835)</f>
        <v>467</v>
      </c>
      <c r="B835" s="97" t="s">
        <v>1086</v>
      </c>
      <c r="C835" s="97" t="s">
        <v>31</v>
      </c>
      <c r="D835" s="97" t="s">
        <v>32</v>
      </c>
      <c r="E835" s="97" t="s">
        <v>33</v>
      </c>
      <c r="F835" s="101" t="s">
        <v>1704</v>
      </c>
      <c r="G835" s="102" t="s">
        <v>34</v>
      </c>
      <c r="H835" s="111" t="s">
        <v>1755</v>
      </c>
      <c r="I835" s="104">
        <v>46157</v>
      </c>
      <c r="J835" s="97">
        <f t="shared" ref="J835" ca="1" si="1677">+TODAY()-I835</f>
        <v>27</v>
      </c>
      <c r="K835" s="97" t="str">
        <f t="shared" ref="K835" si="1678">+U835</f>
        <v>Pending</v>
      </c>
      <c r="L835" s="101" t="s">
        <v>152</v>
      </c>
      <c r="M835" s="97">
        <v>11700</v>
      </c>
      <c r="N835" s="97">
        <v>10700</v>
      </c>
      <c r="O835" s="104">
        <v>46159</v>
      </c>
      <c r="P835" s="97">
        <f t="shared" ref="P835" si="1679">+M835-N835</f>
        <v>1000</v>
      </c>
      <c r="Q835" s="97" t="s">
        <v>33</v>
      </c>
      <c r="R835" s="97" t="s">
        <v>112</v>
      </c>
      <c r="S835" s="97">
        <v>13500</v>
      </c>
      <c r="T835" s="64" t="s">
        <v>33</v>
      </c>
      <c r="U835" s="65" t="s">
        <v>33</v>
      </c>
      <c r="V835" s="97" t="s">
        <v>28</v>
      </c>
      <c r="W835" s="97">
        <f t="shared" ref="W835" si="1680">+S835-M835</f>
        <v>1800</v>
      </c>
      <c r="X835" s="97" t="s">
        <v>963</v>
      </c>
      <c r="Y835" s="97" t="s">
        <v>29</v>
      </c>
      <c r="Z835" s="105">
        <f t="shared" ref="Z835" si="1681">+W835*100/M835</f>
        <v>15.384615384615385</v>
      </c>
      <c r="AA835" s="93"/>
    </row>
    <row r="836" spans="1:27" s="101" customFormat="1" hidden="1">
      <c r="A836" s="97">
        <f>SUBTOTAL(3,C$2:C836)</f>
        <v>467</v>
      </c>
      <c r="B836" s="97" t="s">
        <v>1086</v>
      </c>
      <c r="C836" s="97" t="s">
        <v>31</v>
      </c>
      <c r="D836" s="97" t="s">
        <v>32</v>
      </c>
      <c r="E836" s="97" t="s">
        <v>33</v>
      </c>
      <c r="F836" s="101" t="s">
        <v>1704</v>
      </c>
      <c r="G836" s="102" t="s">
        <v>34</v>
      </c>
      <c r="H836" s="111" t="s">
        <v>1756</v>
      </c>
      <c r="I836" s="104">
        <v>46159</v>
      </c>
      <c r="J836" s="97">
        <f t="shared" ref="J836:J839" ca="1" si="1682">+TODAY()-I836</f>
        <v>25</v>
      </c>
      <c r="K836" s="97" t="str">
        <f t="shared" ref="K836:K839" si="1683">+U836</f>
        <v>Pending</v>
      </c>
      <c r="L836" s="101" t="s">
        <v>152</v>
      </c>
      <c r="M836" s="97">
        <v>11700</v>
      </c>
      <c r="N836" s="97">
        <v>10700</v>
      </c>
      <c r="O836" s="104">
        <v>46159</v>
      </c>
      <c r="P836" s="97">
        <f t="shared" ref="P836:P839" si="1684">+M836-N836</f>
        <v>1000</v>
      </c>
      <c r="Q836" s="97" t="s">
        <v>33</v>
      </c>
      <c r="R836" s="97" t="s">
        <v>112</v>
      </c>
      <c r="S836" s="97">
        <v>13500</v>
      </c>
      <c r="T836" s="64" t="s">
        <v>33</v>
      </c>
      <c r="U836" s="65" t="s">
        <v>33</v>
      </c>
      <c r="V836" s="97" t="s">
        <v>28</v>
      </c>
      <c r="W836" s="97">
        <f t="shared" ref="W836:W839" si="1685">+S836-M836</f>
        <v>1800</v>
      </c>
      <c r="X836" s="97" t="s">
        <v>963</v>
      </c>
      <c r="Y836" s="97" t="s">
        <v>29</v>
      </c>
      <c r="Z836" s="105">
        <f t="shared" ref="Z836:Z839" si="1686">+W836*100/M836</f>
        <v>15.384615384615385</v>
      </c>
      <c r="AA836" s="93"/>
    </row>
    <row r="837" spans="1:27" s="101" customFormat="1" hidden="1">
      <c r="A837" s="97">
        <f>SUBTOTAL(3,C$2:C837)</f>
        <v>467</v>
      </c>
      <c r="B837" s="97" t="s">
        <v>1086</v>
      </c>
      <c r="C837" s="97" t="s">
        <v>156</v>
      </c>
      <c r="D837" s="97" t="s">
        <v>32</v>
      </c>
      <c r="E837" s="97" t="s">
        <v>33</v>
      </c>
      <c r="F837" s="101" t="s">
        <v>164</v>
      </c>
      <c r="G837" s="102" t="s">
        <v>67</v>
      </c>
      <c r="H837" s="103" t="s">
        <v>1757</v>
      </c>
      <c r="I837" s="104">
        <v>46159</v>
      </c>
      <c r="J837" s="97">
        <f t="shared" ca="1" si="1682"/>
        <v>25</v>
      </c>
      <c r="K837" s="97">
        <f t="shared" si="1683"/>
        <v>46170</v>
      </c>
      <c r="L837" s="101" t="s">
        <v>830</v>
      </c>
      <c r="M837" s="97">
        <v>38500</v>
      </c>
      <c r="N837" s="97">
        <v>35500</v>
      </c>
      <c r="O837" s="104">
        <v>46159</v>
      </c>
      <c r="P837" s="97">
        <f t="shared" si="1684"/>
        <v>3000</v>
      </c>
      <c r="Q837" s="97" t="s">
        <v>33</v>
      </c>
      <c r="R837" s="97" t="s">
        <v>52</v>
      </c>
      <c r="S837" s="97">
        <v>42000</v>
      </c>
      <c r="T837" s="64" t="s">
        <v>2700</v>
      </c>
      <c r="U837" s="65">
        <v>46170</v>
      </c>
      <c r="V837" s="97" t="s">
        <v>28</v>
      </c>
      <c r="W837" s="97">
        <f t="shared" si="1685"/>
        <v>3500</v>
      </c>
      <c r="X837" s="97" t="s">
        <v>36</v>
      </c>
      <c r="Y837" s="97" t="s">
        <v>29</v>
      </c>
      <c r="Z837" s="105">
        <f t="shared" si="1686"/>
        <v>9.0909090909090917</v>
      </c>
      <c r="AA837" s="93"/>
    </row>
    <row r="838" spans="1:27" s="101" customFormat="1" hidden="1">
      <c r="A838" s="97">
        <f>SUBTOTAL(3,C$2:C838)</f>
        <v>467</v>
      </c>
      <c r="B838" s="97" t="s">
        <v>1086</v>
      </c>
      <c r="C838" s="97" t="s">
        <v>44</v>
      </c>
      <c r="D838" s="97" t="s">
        <v>32</v>
      </c>
      <c r="E838" s="97" t="s">
        <v>33</v>
      </c>
      <c r="F838" s="101" t="s">
        <v>157</v>
      </c>
      <c r="G838" s="102">
        <v>407</v>
      </c>
      <c r="H838" s="103" t="s">
        <v>1758</v>
      </c>
      <c r="I838" s="104">
        <v>46159</v>
      </c>
      <c r="J838" s="97">
        <f t="shared" ca="1" si="1682"/>
        <v>25</v>
      </c>
      <c r="K838" s="97" t="str">
        <f t="shared" si="1683"/>
        <v>Pending</v>
      </c>
      <c r="L838" s="101" t="s">
        <v>687</v>
      </c>
      <c r="M838" s="97">
        <v>29000</v>
      </c>
      <c r="N838" s="97">
        <v>27000</v>
      </c>
      <c r="O838" s="104">
        <v>46159</v>
      </c>
      <c r="P838" s="97">
        <f t="shared" si="1684"/>
        <v>2000</v>
      </c>
      <c r="Q838" s="97" t="s">
        <v>33</v>
      </c>
      <c r="R838" s="97" t="s">
        <v>37</v>
      </c>
      <c r="S838" s="97">
        <v>33000</v>
      </c>
      <c r="T838" s="64" t="s">
        <v>33</v>
      </c>
      <c r="U838" s="65" t="s">
        <v>33</v>
      </c>
      <c r="V838" s="97" t="s">
        <v>28</v>
      </c>
      <c r="W838" s="97">
        <f t="shared" si="1685"/>
        <v>4000</v>
      </c>
      <c r="X838" s="97" t="s">
        <v>36</v>
      </c>
      <c r="Y838" s="97" t="s">
        <v>29</v>
      </c>
      <c r="Z838" s="105">
        <f t="shared" si="1686"/>
        <v>13.793103448275861</v>
      </c>
      <c r="AA838" s="93"/>
    </row>
    <row r="839" spans="1:27" s="101" customFormat="1" hidden="1">
      <c r="A839" s="97">
        <f>SUBTOTAL(3,C$2:C839)</f>
        <v>467</v>
      </c>
      <c r="B839" s="97" t="s">
        <v>1086</v>
      </c>
      <c r="C839" s="97" t="s">
        <v>80</v>
      </c>
      <c r="D839" s="97" t="s">
        <v>32</v>
      </c>
      <c r="E839" s="97" t="s">
        <v>33</v>
      </c>
      <c r="F839" s="101" t="s">
        <v>1705</v>
      </c>
      <c r="G839" s="102" t="s">
        <v>1215</v>
      </c>
      <c r="H839" s="103" t="s">
        <v>1759</v>
      </c>
      <c r="I839" s="104">
        <v>46159</v>
      </c>
      <c r="J839" s="97">
        <f t="shared" ca="1" si="1682"/>
        <v>25</v>
      </c>
      <c r="K839" s="97" t="str">
        <f t="shared" si="1683"/>
        <v>Pending</v>
      </c>
      <c r="L839" s="101" t="s">
        <v>995</v>
      </c>
      <c r="M839" s="97">
        <v>28000</v>
      </c>
      <c r="N839" s="97">
        <v>26000</v>
      </c>
      <c r="O839" s="104">
        <v>46159</v>
      </c>
      <c r="P839" s="97">
        <f t="shared" si="1684"/>
        <v>2000</v>
      </c>
      <c r="Q839" s="97" t="s">
        <v>33</v>
      </c>
      <c r="R839" s="97" t="s">
        <v>39</v>
      </c>
      <c r="S839" s="97">
        <v>31000</v>
      </c>
      <c r="T839" s="64" t="s">
        <v>33</v>
      </c>
      <c r="U839" s="65" t="s">
        <v>33</v>
      </c>
      <c r="V839" s="97" t="s">
        <v>28</v>
      </c>
      <c r="W839" s="97">
        <f t="shared" si="1685"/>
        <v>3000</v>
      </c>
      <c r="X839" s="97" t="s">
        <v>36</v>
      </c>
      <c r="Y839" s="97" t="s">
        <v>29</v>
      </c>
      <c r="Z839" s="105">
        <f t="shared" si="1686"/>
        <v>10.714285714285714</v>
      </c>
      <c r="AA839" s="93"/>
    </row>
    <row r="840" spans="1:27" s="101" customFormat="1" hidden="1">
      <c r="A840" s="97">
        <f>SUBTOTAL(3,C$2:C840)</f>
        <v>467</v>
      </c>
      <c r="B840" s="97" t="s">
        <v>1086</v>
      </c>
      <c r="C840" s="97" t="s">
        <v>44</v>
      </c>
      <c r="D840" s="97" t="s">
        <v>32</v>
      </c>
      <c r="E840" s="97" t="s">
        <v>33</v>
      </c>
      <c r="F840" s="101" t="s">
        <v>1706</v>
      </c>
      <c r="G840" s="102" t="s">
        <v>994</v>
      </c>
      <c r="H840" s="111" t="s">
        <v>1760</v>
      </c>
      <c r="I840" s="104">
        <v>46159</v>
      </c>
      <c r="J840" s="97">
        <f t="shared" ref="J840:J841" ca="1" si="1687">+TODAY()-I840</f>
        <v>25</v>
      </c>
      <c r="K840" s="97" t="str">
        <f t="shared" ref="K840:K841" si="1688">+U840</f>
        <v>Pending</v>
      </c>
      <c r="L840" s="101" t="s">
        <v>995</v>
      </c>
      <c r="M840" s="97">
        <v>39000</v>
      </c>
      <c r="N840" s="97">
        <v>36000</v>
      </c>
      <c r="O840" s="104">
        <v>46159</v>
      </c>
      <c r="P840" s="97">
        <f t="shared" ref="P840:P841" si="1689">+M840-N840</f>
        <v>3000</v>
      </c>
      <c r="Q840" s="97" t="s">
        <v>33</v>
      </c>
      <c r="R840" s="97" t="s">
        <v>174</v>
      </c>
      <c r="S840" s="97">
        <v>46500</v>
      </c>
      <c r="T840" s="64" t="s">
        <v>33</v>
      </c>
      <c r="U840" s="65" t="s">
        <v>33</v>
      </c>
      <c r="V840" s="97" t="s">
        <v>28</v>
      </c>
      <c r="W840" s="97">
        <f t="shared" ref="W840:W841" si="1690">+S840-M840</f>
        <v>7500</v>
      </c>
      <c r="X840" s="97" t="s">
        <v>36</v>
      </c>
      <c r="Y840" s="97" t="s">
        <v>29</v>
      </c>
      <c r="Z840" s="105">
        <f t="shared" ref="Z840:Z841" si="1691">+W840*100/M840</f>
        <v>19.23076923076923</v>
      </c>
      <c r="AA840" s="93"/>
    </row>
    <row r="841" spans="1:27" s="101" customFormat="1" hidden="1">
      <c r="A841" s="97">
        <f>SUBTOTAL(3,C$2:C841)</f>
        <v>467</v>
      </c>
      <c r="B841" s="97" t="s">
        <v>1086</v>
      </c>
      <c r="C841" s="97" t="s">
        <v>1031</v>
      </c>
      <c r="D841" s="97" t="s">
        <v>32</v>
      </c>
      <c r="E841" s="97" t="s">
        <v>33</v>
      </c>
      <c r="F841" s="101" t="s">
        <v>1707</v>
      </c>
      <c r="G841" s="102" t="s">
        <v>34</v>
      </c>
      <c r="H841" s="111" t="s">
        <v>1761</v>
      </c>
      <c r="I841" s="104">
        <v>46159</v>
      </c>
      <c r="J841" s="97">
        <f t="shared" ca="1" si="1687"/>
        <v>25</v>
      </c>
      <c r="K841" s="97" t="str">
        <f t="shared" si="1688"/>
        <v>Pending</v>
      </c>
      <c r="L841" s="101" t="s">
        <v>783</v>
      </c>
      <c r="M841" s="97">
        <v>18000</v>
      </c>
      <c r="N841" s="97">
        <v>16000</v>
      </c>
      <c r="O841" s="104">
        <v>46159</v>
      </c>
      <c r="P841" s="97">
        <f t="shared" si="1689"/>
        <v>2000</v>
      </c>
      <c r="Q841" s="97" t="s">
        <v>33</v>
      </c>
      <c r="R841" s="97" t="s">
        <v>56</v>
      </c>
      <c r="S841" s="97">
        <v>20500</v>
      </c>
      <c r="T841" s="64" t="s">
        <v>33</v>
      </c>
      <c r="U841" s="65" t="s">
        <v>33</v>
      </c>
      <c r="V841" s="97" t="s">
        <v>28</v>
      </c>
      <c r="W841" s="97">
        <f t="shared" si="1690"/>
        <v>2500</v>
      </c>
      <c r="X841" s="97" t="s">
        <v>963</v>
      </c>
      <c r="Y841" s="97" t="s">
        <v>29</v>
      </c>
      <c r="Z841" s="105">
        <f t="shared" si="1691"/>
        <v>13.888888888888889</v>
      </c>
      <c r="AA841" s="93"/>
    </row>
    <row r="842" spans="1:27" s="101" customFormat="1" hidden="1">
      <c r="A842" s="97">
        <f>SUBTOTAL(3,C$2:C842)</f>
        <v>467</v>
      </c>
      <c r="B842" s="97" t="s">
        <v>1086</v>
      </c>
      <c r="C842" s="97" t="s">
        <v>1031</v>
      </c>
      <c r="D842" s="97" t="s">
        <v>32</v>
      </c>
      <c r="E842" s="97" t="s">
        <v>33</v>
      </c>
      <c r="F842" s="101" t="s">
        <v>182</v>
      </c>
      <c r="G842" s="102" t="s">
        <v>34</v>
      </c>
      <c r="H842" s="103" t="s">
        <v>1782</v>
      </c>
      <c r="I842" s="104">
        <v>46159</v>
      </c>
      <c r="J842" s="97">
        <f t="shared" ref="J842:J843" ca="1" si="1692">+TODAY()-I842</f>
        <v>25</v>
      </c>
      <c r="K842" s="97">
        <f t="shared" ref="K842:K843" si="1693">+U842</f>
        <v>46169</v>
      </c>
      <c r="L842" s="101" t="s">
        <v>783</v>
      </c>
      <c r="M842" s="97">
        <v>18000</v>
      </c>
      <c r="N842" s="97">
        <v>16000</v>
      </c>
      <c r="O842" s="104">
        <v>46160</v>
      </c>
      <c r="P842" s="97">
        <f t="shared" ref="P842:P843" si="1694">+M842-N842</f>
        <v>2000</v>
      </c>
      <c r="Q842" s="97" t="s">
        <v>33</v>
      </c>
      <c r="R842" s="97" t="s">
        <v>56</v>
      </c>
      <c r="S842" s="97">
        <v>20500</v>
      </c>
      <c r="T842" s="64" t="s">
        <v>2691</v>
      </c>
      <c r="U842" s="65">
        <v>46169</v>
      </c>
      <c r="V842" s="97" t="s">
        <v>28</v>
      </c>
      <c r="W842" s="97">
        <f t="shared" ref="W842:W843" si="1695">+S842-M842</f>
        <v>2500</v>
      </c>
      <c r="X842" s="97" t="s">
        <v>963</v>
      </c>
      <c r="Y842" s="97" t="s">
        <v>29</v>
      </c>
      <c r="Z842" s="105">
        <f t="shared" ref="Z842:Z843" si="1696">+W842*100/M842</f>
        <v>13.888888888888889</v>
      </c>
      <c r="AA842" s="93"/>
    </row>
    <row r="843" spans="1:27" s="101" customFormat="1" hidden="1">
      <c r="A843" s="97">
        <f>SUBTOTAL(3,C$2:C843)</f>
        <v>467</v>
      </c>
      <c r="B843" s="97" t="s">
        <v>1086</v>
      </c>
      <c r="C843" s="97" t="s">
        <v>31</v>
      </c>
      <c r="D843" s="97" t="s">
        <v>32</v>
      </c>
      <c r="E843" s="97" t="s">
        <v>33</v>
      </c>
      <c r="F843" s="101" t="s">
        <v>92</v>
      </c>
      <c r="G843" s="102" t="s">
        <v>34</v>
      </c>
      <c r="H843" s="103" t="s">
        <v>1783</v>
      </c>
      <c r="I843" s="104">
        <v>46159</v>
      </c>
      <c r="J843" s="97">
        <f t="shared" ca="1" si="1692"/>
        <v>25</v>
      </c>
      <c r="K843" s="97" t="str">
        <f t="shared" si="1693"/>
        <v>Pending</v>
      </c>
      <c r="L843" s="101" t="s">
        <v>1411</v>
      </c>
      <c r="M843" s="97">
        <v>19000</v>
      </c>
      <c r="N843" s="97">
        <v>17000</v>
      </c>
      <c r="O843" s="104">
        <v>46160</v>
      </c>
      <c r="P843" s="97">
        <f t="shared" si="1694"/>
        <v>2000</v>
      </c>
      <c r="Q843" s="97" t="s">
        <v>33</v>
      </c>
      <c r="R843" s="97" t="s">
        <v>39</v>
      </c>
      <c r="S843" s="97">
        <v>21800</v>
      </c>
      <c r="T843" s="64" t="s">
        <v>33</v>
      </c>
      <c r="U843" s="65" t="s">
        <v>33</v>
      </c>
      <c r="V843" s="97" t="s">
        <v>28</v>
      </c>
      <c r="W843" s="97">
        <f t="shared" si="1695"/>
        <v>2800</v>
      </c>
      <c r="X843" s="97" t="s">
        <v>963</v>
      </c>
      <c r="Y843" s="97" t="s">
        <v>29</v>
      </c>
      <c r="Z843" s="105">
        <f t="shared" si="1696"/>
        <v>14.736842105263158</v>
      </c>
      <c r="AA843" s="93"/>
    </row>
    <row r="844" spans="1:27" s="101" customFormat="1" hidden="1">
      <c r="A844" s="97">
        <f>SUBTOTAL(3,C$2:C844)</f>
        <v>467</v>
      </c>
      <c r="B844" s="97" t="s">
        <v>1086</v>
      </c>
      <c r="C844" s="97" t="s">
        <v>31</v>
      </c>
      <c r="D844" s="97" t="s">
        <v>32</v>
      </c>
      <c r="E844" s="97" t="s">
        <v>33</v>
      </c>
      <c r="F844" s="101" t="s">
        <v>1772</v>
      </c>
      <c r="G844" s="102" t="s">
        <v>34</v>
      </c>
      <c r="H844" s="103" t="s">
        <v>1784</v>
      </c>
      <c r="I844" s="104">
        <v>46159</v>
      </c>
      <c r="J844" s="97">
        <f t="shared" ref="J844:J845" ca="1" si="1697">+TODAY()-I844</f>
        <v>25</v>
      </c>
      <c r="K844" s="97" t="str">
        <f t="shared" ref="K844:K845" si="1698">+U844</f>
        <v>Pending</v>
      </c>
      <c r="L844" s="101" t="s">
        <v>1411</v>
      </c>
      <c r="M844" s="97">
        <v>19000</v>
      </c>
      <c r="N844" s="97">
        <v>17000</v>
      </c>
      <c r="O844" s="104">
        <v>46160</v>
      </c>
      <c r="P844" s="97">
        <f t="shared" ref="P844:P845" si="1699">+M844-N844</f>
        <v>2000</v>
      </c>
      <c r="Q844" s="97" t="s">
        <v>33</v>
      </c>
      <c r="R844" s="97" t="s">
        <v>39</v>
      </c>
      <c r="S844" s="97">
        <v>21800</v>
      </c>
      <c r="T844" s="64" t="s">
        <v>33</v>
      </c>
      <c r="U844" s="65" t="s">
        <v>33</v>
      </c>
      <c r="V844" s="97" t="s">
        <v>28</v>
      </c>
      <c r="W844" s="97">
        <f t="shared" ref="W844:W845" si="1700">+S844-M844</f>
        <v>2800</v>
      </c>
      <c r="X844" s="97" t="s">
        <v>963</v>
      </c>
      <c r="Y844" s="97" t="s">
        <v>29</v>
      </c>
      <c r="Z844" s="105">
        <f t="shared" ref="Z844:Z845" si="1701">+W844*100/M844</f>
        <v>14.736842105263158</v>
      </c>
      <c r="AA844" s="93"/>
    </row>
    <row r="845" spans="1:27" s="101" customFormat="1" hidden="1">
      <c r="A845" s="97">
        <f>SUBTOTAL(3,C$2:C845)</f>
        <v>467</v>
      </c>
      <c r="B845" s="97" t="s">
        <v>1086</v>
      </c>
      <c r="C845" s="97" t="s">
        <v>1031</v>
      </c>
      <c r="D845" s="97" t="s">
        <v>32</v>
      </c>
      <c r="E845" s="97" t="s">
        <v>33</v>
      </c>
      <c r="F845" s="101" t="s">
        <v>1413</v>
      </c>
      <c r="G845" s="102" t="s">
        <v>34</v>
      </c>
      <c r="H845" s="103" t="s">
        <v>1785</v>
      </c>
      <c r="I845" s="104">
        <v>46159</v>
      </c>
      <c r="J845" s="97">
        <f t="shared" ca="1" si="1697"/>
        <v>25</v>
      </c>
      <c r="K845" s="97" t="str">
        <f t="shared" si="1698"/>
        <v>Pending</v>
      </c>
      <c r="L845" s="101" t="s">
        <v>1677</v>
      </c>
      <c r="M845" s="97">
        <v>18300</v>
      </c>
      <c r="N845" s="97">
        <v>16500</v>
      </c>
      <c r="O845" s="104">
        <v>46160</v>
      </c>
      <c r="P845" s="97">
        <f t="shared" si="1699"/>
        <v>1800</v>
      </c>
      <c r="Q845" s="97" t="s">
        <v>33</v>
      </c>
      <c r="R845" s="97" t="s">
        <v>37</v>
      </c>
      <c r="S845" s="97">
        <v>21500</v>
      </c>
      <c r="T845" s="64" t="s">
        <v>33</v>
      </c>
      <c r="U845" s="65" t="s">
        <v>33</v>
      </c>
      <c r="V845" s="97" t="s">
        <v>28</v>
      </c>
      <c r="W845" s="97">
        <f t="shared" si="1700"/>
        <v>3200</v>
      </c>
      <c r="X845" s="97" t="s">
        <v>963</v>
      </c>
      <c r="Y845" s="97" t="s">
        <v>29</v>
      </c>
      <c r="Z845" s="105">
        <f t="shared" si="1701"/>
        <v>17.486338797814209</v>
      </c>
      <c r="AA845" s="93"/>
    </row>
    <row r="846" spans="1:27" s="101" customFormat="1" hidden="1">
      <c r="A846" s="97">
        <f>SUBTOTAL(3,C$2:C846)</f>
        <v>467</v>
      </c>
      <c r="B846" s="97" t="s">
        <v>1086</v>
      </c>
      <c r="C846" s="97" t="s">
        <v>31</v>
      </c>
      <c r="D846" s="97" t="s">
        <v>32</v>
      </c>
      <c r="E846" s="97" t="s">
        <v>33</v>
      </c>
      <c r="F846" s="101" t="s">
        <v>148</v>
      </c>
      <c r="G846" s="102" t="s">
        <v>34</v>
      </c>
      <c r="H846" s="103" t="s">
        <v>1786</v>
      </c>
      <c r="I846" s="104">
        <v>46159</v>
      </c>
      <c r="J846" s="97">
        <f t="shared" ref="J846" ca="1" si="1702">+TODAY()-I846</f>
        <v>25</v>
      </c>
      <c r="K846" s="97" t="str">
        <f t="shared" ref="K846" si="1703">+U846</f>
        <v>Pending</v>
      </c>
      <c r="L846" s="101" t="s">
        <v>1411</v>
      </c>
      <c r="M846" s="97">
        <v>19000</v>
      </c>
      <c r="N846" s="97">
        <v>17000</v>
      </c>
      <c r="O846" s="104">
        <v>46160</v>
      </c>
      <c r="P846" s="97">
        <f t="shared" ref="P846" si="1704">+M846-N846</f>
        <v>2000</v>
      </c>
      <c r="Q846" s="97" t="s">
        <v>33</v>
      </c>
      <c r="R846" s="97" t="s">
        <v>39</v>
      </c>
      <c r="S846" s="97">
        <v>21800</v>
      </c>
      <c r="T846" s="64" t="s">
        <v>33</v>
      </c>
      <c r="U846" s="65" t="s">
        <v>33</v>
      </c>
      <c r="V846" s="97" t="s">
        <v>28</v>
      </c>
      <c r="W846" s="97">
        <f t="shared" ref="W846" si="1705">+S846-M846</f>
        <v>2800</v>
      </c>
      <c r="X846" s="97" t="s">
        <v>963</v>
      </c>
      <c r="Y846" s="97" t="s">
        <v>29</v>
      </c>
      <c r="Z846" s="105">
        <f t="shared" ref="Z846" si="1706">+W846*100/M846</f>
        <v>14.736842105263158</v>
      </c>
      <c r="AA846" s="93"/>
    </row>
    <row r="847" spans="1:27" s="101" customFormat="1" hidden="1">
      <c r="A847" s="97">
        <f>SUBTOTAL(3,C$2:C847)</f>
        <v>467</v>
      </c>
      <c r="B847" s="97" t="s">
        <v>1086</v>
      </c>
      <c r="C847" s="97" t="s">
        <v>31</v>
      </c>
      <c r="D847" s="97" t="s">
        <v>32</v>
      </c>
      <c r="E847" s="97" t="s">
        <v>33</v>
      </c>
      <c r="F847" s="101" t="s">
        <v>1345</v>
      </c>
      <c r="G847" s="102" t="s">
        <v>34</v>
      </c>
      <c r="H847" s="103" t="s">
        <v>1787</v>
      </c>
      <c r="I847" s="104">
        <v>46160</v>
      </c>
      <c r="J847" s="97">
        <f t="shared" ref="J847" ca="1" si="1707">+TODAY()-I847</f>
        <v>24</v>
      </c>
      <c r="K847" s="97" t="str">
        <f t="shared" ref="K847" si="1708">+U847</f>
        <v>Pending</v>
      </c>
      <c r="L847" s="101" t="s">
        <v>483</v>
      </c>
      <c r="M847" s="97">
        <v>23300</v>
      </c>
      <c r="N847" s="97">
        <v>21500</v>
      </c>
      <c r="O847" s="104">
        <v>46160</v>
      </c>
      <c r="P847" s="97">
        <f t="shared" ref="P847" si="1709">+M847-N847</f>
        <v>1800</v>
      </c>
      <c r="Q847" s="97" t="s">
        <v>33</v>
      </c>
      <c r="R847" s="97" t="s">
        <v>37</v>
      </c>
      <c r="S847" s="97">
        <v>26000</v>
      </c>
      <c r="T847" s="64" t="s">
        <v>33</v>
      </c>
      <c r="U847" s="65" t="s">
        <v>33</v>
      </c>
      <c r="V847" s="97" t="s">
        <v>28</v>
      </c>
      <c r="W847" s="97">
        <f t="shared" ref="W847" si="1710">+S847-M847</f>
        <v>2700</v>
      </c>
      <c r="X847" s="97" t="s">
        <v>963</v>
      </c>
      <c r="Y847" s="97" t="s">
        <v>29</v>
      </c>
      <c r="Z847" s="105">
        <f t="shared" ref="Z847" si="1711">+W847*100/M847</f>
        <v>11.587982832618026</v>
      </c>
      <c r="AA847" s="93"/>
    </row>
    <row r="848" spans="1:27" s="101" customFormat="1" hidden="1">
      <c r="A848" s="97">
        <f>SUBTOTAL(3,C$2:C848)</f>
        <v>467</v>
      </c>
      <c r="B848" s="97" t="s">
        <v>1086</v>
      </c>
      <c r="C848" s="97" t="s">
        <v>31</v>
      </c>
      <c r="D848" s="97" t="s">
        <v>32</v>
      </c>
      <c r="E848" s="97" t="s">
        <v>33</v>
      </c>
      <c r="F848" s="101" t="s">
        <v>271</v>
      </c>
      <c r="G848" s="102">
        <v>407</v>
      </c>
      <c r="H848" s="103" t="s">
        <v>1788</v>
      </c>
      <c r="I848" s="104">
        <v>46160</v>
      </c>
      <c r="J848" s="97">
        <f t="shared" ref="J848:J851" ca="1" si="1712">+TODAY()-I848</f>
        <v>24</v>
      </c>
      <c r="K848" s="97" t="str">
        <f t="shared" ref="K848:K851" si="1713">+U848</f>
        <v>Pending</v>
      </c>
      <c r="L848" s="101" t="s">
        <v>687</v>
      </c>
      <c r="M848" s="97">
        <v>28000</v>
      </c>
      <c r="N848" s="97">
        <v>26000</v>
      </c>
      <c r="O848" s="104">
        <v>46160</v>
      </c>
      <c r="P848" s="97">
        <f t="shared" ref="P848:P851" si="1714">+M848-N848</f>
        <v>2000</v>
      </c>
      <c r="Q848" s="97" t="s">
        <v>33</v>
      </c>
      <c r="R848" s="97" t="s">
        <v>37</v>
      </c>
      <c r="S848" s="97">
        <v>33000</v>
      </c>
      <c r="T848" s="64" t="s">
        <v>33</v>
      </c>
      <c r="U848" s="65" t="s">
        <v>33</v>
      </c>
      <c r="V848" s="97" t="s">
        <v>28</v>
      </c>
      <c r="W848" s="97">
        <f t="shared" ref="W848:W851" si="1715">+S848-M848</f>
        <v>5000</v>
      </c>
      <c r="X848" s="97" t="s">
        <v>963</v>
      </c>
      <c r="Y848" s="97" t="s">
        <v>29</v>
      </c>
      <c r="Z848" s="105">
        <f t="shared" ref="Z848:Z851" si="1716">+W848*100/M848</f>
        <v>17.857142857142858</v>
      </c>
      <c r="AA848" s="93"/>
    </row>
    <row r="849" spans="1:27" s="101" customFormat="1" hidden="1">
      <c r="A849" s="97">
        <f>SUBTOTAL(3,C$2:C849)</f>
        <v>467</v>
      </c>
      <c r="B849" s="97" t="s">
        <v>1086</v>
      </c>
      <c r="C849" s="97" t="s">
        <v>80</v>
      </c>
      <c r="D849" s="97" t="s">
        <v>32</v>
      </c>
      <c r="E849" s="97" t="s">
        <v>33</v>
      </c>
      <c r="F849" s="101" t="s">
        <v>1773</v>
      </c>
      <c r="G849" s="102" t="s">
        <v>1215</v>
      </c>
      <c r="H849" s="103" t="s">
        <v>1789</v>
      </c>
      <c r="I849" s="104">
        <v>46160</v>
      </c>
      <c r="J849" s="97">
        <f t="shared" ca="1" si="1712"/>
        <v>24</v>
      </c>
      <c r="K849" s="97" t="str">
        <f t="shared" si="1713"/>
        <v>Pending</v>
      </c>
      <c r="L849" s="101" t="s">
        <v>995</v>
      </c>
      <c r="M849" s="97">
        <v>28000</v>
      </c>
      <c r="N849" s="97">
        <v>26000</v>
      </c>
      <c r="O849" s="104">
        <v>46160</v>
      </c>
      <c r="P849" s="97">
        <f t="shared" si="1714"/>
        <v>2000</v>
      </c>
      <c r="Q849" s="97" t="s">
        <v>33</v>
      </c>
      <c r="R849" s="97" t="s">
        <v>39</v>
      </c>
      <c r="S849" s="97">
        <v>31000</v>
      </c>
      <c r="T849" s="64" t="s">
        <v>33</v>
      </c>
      <c r="U849" s="65" t="s">
        <v>33</v>
      </c>
      <c r="V849" s="97" t="s">
        <v>28</v>
      </c>
      <c r="W849" s="97">
        <f t="shared" si="1715"/>
        <v>3000</v>
      </c>
      <c r="X849" s="97" t="s">
        <v>36</v>
      </c>
      <c r="Y849" s="97" t="s">
        <v>29</v>
      </c>
      <c r="Z849" s="105">
        <f t="shared" si="1716"/>
        <v>10.714285714285714</v>
      </c>
      <c r="AA849" s="93"/>
    </row>
    <row r="850" spans="1:27" s="101" customFormat="1" hidden="1">
      <c r="A850" s="97">
        <f>SUBTOTAL(3,C$2:C850)</f>
        <v>467</v>
      </c>
      <c r="B850" s="97" t="s">
        <v>1086</v>
      </c>
      <c r="C850" s="97" t="s">
        <v>1031</v>
      </c>
      <c r="D850" s="97" t="s">
        <v>32</v>
      </c>
      <c r="E850" s="97" t="s">
        <v>33</v>
      </c>
      <c r="F850" s="101" t="s">
        <v>669</v>
      </c>
      <c r="G850" s="102" t="s">
        <v>34</v>
      </c>
      <c r="H850" s="103" t="s">
        <v>1790</v>
      </c>
      <c r="I850" s="104">
        <v>46160</v>
      </c>
      <c r="J850" s="97">
        <f t="shared" ca="1" si="1712"/>
        <v>24</v>
      </c>
      <c r="K850" s="97" t="str">
        <f t="shared" si="1713"/>
        <v>Pending</v>
      </c>
      <c r="L850" s="101" t="s">
        <v>1677</v>
      </c>
      <c r="M850" s="97">
        <v>18300</v>
      </c>
      <c r="N850" s="97">
        <v>16500</v>
      </c>
      <c r="O850" s="104">
        <v>46160</v>
      </c>
      <c r="P850" s="97">
        <f t="shared" si="1714"/>
        <v>1800</v>
      </c>
      <c r="Q850" s="97" t="s">
        <v>33</v>
      </c>
      <c r="R850" s="97" t="s">
        <v>37</v>
      </c>
      <c r="S850" s="97">
        <v>21500</v>
      </c>
      <c r="T850" s="64" t="s">
        <v>33</v>
      </c>
      <c r="U850" s="65" t="s">
        <v>33</v>
      </c>
      <c r="V850" s="97" t="s">
        <v>28</v>
      </c>
      <c r="W850" s="97">
        <f t="shared" si="1715"/>
        <v>3200</v>
      </c>
      <c r="X850" s="97" t="s">
        <v>963</v>
      </c>
      <c r="Y850" s="97" t="s">
        <v>29</v>
      </c>
      <c r="Z850" s="105">
        <f t="shared" si="1716"/>
        <v>17.486338797814209</v>
      </c>
      <c r="AA850" s="93"/>
    </row>
    <row r="851" spans="1:27" s="101" customFormat="1" hidden="1">
      <c r="A851" s="97">
        <f>SUBTOTAL(3,C$2:C851)</f>
        <v>467</v>
      </c>
      <c r="B851" s="97" t="s">
        <v>1086</v>
      </c>
      <c r="C851" s="97" t="s">
        <v>31</v>
      </c>
      <c r="D851" s="97" t="s">
        <v>32</v>
      </c>
      <c r="E851" s="97" t="s">
        <v>33</v>
      </c>
      <c r="F851" s="101" t="s">
        <v>1102</v>
      </c>
      <c r="G851" s="102" t="s">
        <v>34</v>
      </c>
      <c r="H851" s="103" t="s">
        <v>1791</v>
      </c>
      <c r="I851" s="104">
        <v>46160</v>
      </c>
      <c r="J851" s="97">
        <f t="shared" ca="1" si="1712"/>
        <v>24</v>
      </c>
      <c r="K851" s="97">
        <f t="shared" si="1713"/>
        <v>46169</v>
      </c>
      <c r="L851" s="101" t="s">
        <v>1411</v>
      </c>
      <c r="M851" s="97">
        <v>18300</v>
      </c>
      <c r="N851" s="97">
        <v>17000</v>
      </c>
      <c r="O851" s="104">
        <v>46160</v>
      </c>
      <c r="P851" s="97">
        <f t="shared" si="1714"/>
        <v>1300</v>
      </c>
      <c r="Q851" s="97" t="s">
        <v>33</v>
      </c>
      <c r="R851" s="97" t="s">
        <v>39</v>
      </c>
      <c r="S851" s="97">
        <v>21800</v>
      </c>
      <c r="T851" s="64" t="s">
        <v>2672</v>
      </c>
      <c r="U851" s="65">
        <v>46169</v>
      </c>
      <c r="V851" s="97" t="s">
        <v>28</v>
      </c>
      <c r="W851" s="97">
        <f t="shared" si="1715"/>
        <v>3500</v>
      </c>
      <c r="X851" s="97" t="s">
        <v>963</v>
      </c>
      <c r="Y851" s="97" t="s">
        <v>29</v>
      </c>
      <c r="Z851" s="105">
        <f t="shared" si="1716"/>
        <v>19.125683060109289</v>
      </c>
      <c r="AA851" s="93"/>
    </row>
    <row r="852" spans="1:27" s="101" customFormat="1" hidden="1">
      <c r="A852" s="97">
        <f>SUBTOTAL(3,C$2:C852)</f>
        <v>467</v>
      </c>
      <c r="B852" s="97" t="s">
        <v>1086</v>
      </c>
      <c r="C852" s="97" t="s">
        <v>1031</v>
      </c>
      <c r="D852" s="97" t="s">
        <v>32</v>
      </c>
      <c r="E852" s="97" t="s">
        <v>33</v>
      </c>
      <c r="F852" s="101" t="s">
        <v>601</v>
      </c>
      <c r="G852" s="102" t="s">
        <v>34</v>
      </c>
      <c r="H852" s="111" t="s">
        <v>1792</v>
      </c>
      <c r="I852" s="104">
        <v>46160</v>
      </c>
      <c r="J852" s="97">
        <f t="shared" ref="J852" ca="1" si="1717">+TODAY()-I852</f>
        <v>24</v>
      </c>
      <c r="K852" s="97" t="str">
        <f t="shared" ref="K852" si="1718">+U852</f>
        <v>Pending</v>
      </c>
      <c r="L852" s="101" t="s">
        <v>1024</v>
      </c>
      <c r="M852" s="97">
        <v>19000</v>
      </c>
      <c r="N852" s="97">
        <v>17000</v>
      </c>
      <c r="O852" s="104">
        <v>46160</v>
      </c>
      <c r="P852" s="97">
        <f t="shared" ref="P852" si="1719">+M852-N852</f>
        <v>2000</v>
      </c>
      <c r="Q852" s="97" t="s">
        <v>33</v>
      </c>
      <c r="R852" s="97" t="s">
        <v>39</v>
      </c>
      <c r="S852" s="97">
        <v>21800</v>
      </c>
      <c r="T852" s="64" t="s">
        <v>33</v>
      </c>
      <c r="U852" s="65" t="s">
        <v>33</v>
      </c>
      <c r="V852" s="97" t="s">
        <v>28</v>
      </c>
      <c r="W852" s="97">
        <f t="shared" ref="W852" si="1720">+S852-M852</f>
        <v>2800</v>
      </c>
      <c r="X852" s="97" t="s">
        <v>963</v>
      </c>
      <c r="Y852" s="97" t="s">
        <v>29</v>
      </c>
      <c r="Z852" s="105">
        <f t="shared" ref="Z852" si="1721">+W852*100/M852</f>
        <v>14.736842105263158</v>
      </c>
      <c r="AA852" s="93"/>
    </row>
    <row r="853" spans="1:27" s="101" customFormat="1" hidden="1">
      <c r="A853" s="97">
        <f>SUBTOTAL(3,C$2:C853)</f>
        <v>467</v>
      </c>
      <c r="B853" s="97" t="s">
        <v>1086</v>
      </c>
      <c r="C853" s="97" t="s">
        <v>31</v>
      </c>
      <c r="D853" s="97" t="s">
        <v>32</v>
      </c>
      <c r="E853" s="97" t="s">
        <v>33</v>
      </c>
      <c r="F853" s="101" t="s">
        <v>1774</v>
      </c>
      <c r="G853" s="102" t="s">
        <v>34</v>
      </c>
      <c r="H853" s="111" t="s">
        <v>1793</v>
      </c>
      <c r="I853" s="104">
        <v>46160</v>
      </c>
      <c r="J853" s="97">
        <f t="shared" ref="J853" ca="1" si="1722">+TODAY()-I853</f>
        <v>24</v>
      </c>
      <c r="K853" s="97" t="str">
        <f t="shared" ref="K853" si="1723">+U853</f>
        <v>Pending</v>
      </c>
      <c r="L853" s="101" t="s">
        <v>1411</v>
      </c>
      <c r="M853" s="97">
        <v>19000</v>
      </c>
      <c r="N853" s="97">
        <v>17000</v>
      </c>
      <c r="O853" s="104">
        <v>46160</v>
      </c>
      <c r="P853" s="97">
        <f t="shared" ref="P853" si="1724">+M853-N853</f>
        <v>2000</v>
      </c>
      <c r="Q853" s="97" t="s">
        <v>33</v>
      </c>
      <c r="R853" s="97" t="s">
        <v>39</v>
      </c>
      <c r="S853" s="97">
        <v>21800</v>
      </c>
      <c r="T853" s="64" t="s">
        <v>33</v>
      </c>
      <c r="U853" s="65" t="s">
        <v>33</v>
      </c>
      <c r="V853" s="97" t="s">
        <v>28</v>
      </c>
      <c r="W853" s="97">
        <f t="shared" ref="W853" si="1725">+S853-M853</f>
        <v>2800</v>
      </c>
      <c r="X853" s="97" t="s">
        <v>963</v>
      </c>
      <c r="Y853" s="97" t="s">
        <v>29</v>
      </c>
      <c r="Z853" s="105">
        <f t="shared" ref="Z853" si="1726">+W853*100/M853</f>
        <v>14.736842105263158</v>
      </c>
      <c r="AA853" s="93"/>
    </row>
    <row r="854" spans="1:27" s="101" customFormat="1" hidden="1">
      <c r="A854" s="97">
        <f>SUBTOTAL(3,C$2:C854)</f>
        <v>467</v>
      </c>
      <c r="B854" s="97" t="s">
        <v>1086</v>
      </c>
      <c r="C854" s="97" t="s">
        <v>31</v>
      </c>
      <c r="D854" s="97" t="s">
        <v>32</v>
      </c>
      <c r="E854" s="97" t="s">
        <v>33</v>
      </c>
      <c r="F854" s="101" t="s">
        <v>1102</v>
      </c>
      <c r="G854" s="102" t="s">
        <v>34</v>
      </c>
      <c r="H854" s="103" t="s">
        <v>1794</v>
      </c>
      <c r="I854" s="104">
        <v>46160</v>
      </c>
      <c r="J854" s="97">
        <f t="shared" ref="J854:J856" ca="1" si="1727">+TODAY()-I854</f>
        <v>24</v>
      </c>
      <c r="K854" s="97" t="str">
        <f t="shared" ref="K854:K856" si="1728">+U854</f>
        <v>Pending</v>
      </c>
      <c r="L854" s="101" t="s">
        <v>1411</v>
      </c>
      <c r="M854" s="97">
        <v>18300</v>
      </c>
      <c r="N854" s="97">
        <v>16500</v>
      </c>
      <c r="O854" s="104">
        <v>46160</v>
      </c>
      <c r="P854" s="97">
        <f t="shared" ref="P854:P856" si="1729">+M854-N854</f>
        <v>1800</v>
      </c>
      <c r="Q854" s="97" t="s">
        <v>33</v>
      </c>
      <c r="R854" s="97" t="s">
        <v>37</v>
      </c>
      <c r="S854" s="97">
        <v>21500</v>
      </c>
      <c r="T854" s="64" t="s">
        <v>33</v>
      </c>
      <c r="U854" s="65" t="s">
        <v>33</v>
      </c>
      <c r="V854" s="97" t="s">
        <v>28</v>
      </c>
      <c r="W854" s="97">
        <f t="shared" ref="W854:W856" si="1730">+S854-M854</f>
        <v>3200</v>
      </c>
      <c r="X854" s="97" t="s">
        <v>963</v>
      </c>
      <c r="Y854" s="97" t="s">
        <v>29</v>
      </c>
      <c r="Z854" s="105">
        <f t="shared" ref="Z854:Z856" si="1731">+W854*100/M854</f>
        <v>17.486338797814209</v>
      </c>
      <c r="AA854" s="93"/>
    </row>
    <row r="855" spans="1:27" s="101" customFormat="1" hidden="1">
      <c r="A855" s="97">
        <f>SUBTOTAL(3,C$2:C855)</f>
        <v>467</v>
      </c>
      <c r="B855" s="97" t="s">
        <v>1086</v>
      </c>
      <c r="C855" s="97" t="s">
        <v>80</v>
      </c>
      <c r="D855" s="97" t="s">
        <v>32</v>
      </c>
      <c r="E855" s="97" t="s">
        <v>33</v>
      </c>
      <c r="F855" s="101" t="s">
        <v>1216</v>
      </c>
      <c r="G855" s="102" t="s">
        <v>1215</v>
      </c>
      <c r="H855" s="103" t="s">
        <v>1795</v>
      </c>
      <c r="I855" s="104">
        <v>46160</v>
      </c>
      <c r="J855" s="97">
        <f t="shared" ca="1" si="1727"/>
        <v>24</v>
      </c>
      <c r="K855" s="97">
        <f t="shared" si="1728"/>
        <v>46169</v>
      </c>
      <c r="L855" s="101" t="s">
        <v>995</v>
      </c>
      <c r="M855" s="97">
        <v>28000</v>
      </c>
      <c r="N855" s="97">
        <v>26000</v>
      </c>
      <c r="O855" s="104">
        <v>46160</v>
      </c>
      <c r="P855" s="97">
        <f t="shared" si="1729"/>
        <v>2000</v>
      </c>
      <c r="Q855" s="97" t="s">
        <v>33</v>
      </c>
      <c r="R855" s="97" t="s">
        <v>39</v>
      </c>
      <c r="S855" s="97">
        <v>31500</v>
      </c>
      <c r="T855" s="64" t="s">
        <v>2689</v>
      </c>
      <c r="U855" s="65">
        <v>46169</v>
      </c>
      <c r="V855" s="97" t="s">
        <v>28</v>
      </c>
      <c r="W855" s="97">
        <f t="shared" si="1730"/>
        <v>3500</v>
      </c>
      <c r="X855" s="97" t="s">
        <v>36</v>
      </c>
      <c r="Y855" s="97" t="s">
        <v>29</v>
      </c>
      <c r="Z855" s="105">
        <f t="shared" si="1731"/>
        <v>12.5</v>
      </c>
      <c r="AA855" s="93"/>
    </row>
    <row r="856" spans="1:27" s="101" customFormat="1" hidden="1">
      <c r="A856" s="97">
        <f>SUBTOTAL(3,C$2:C856)</f>
        <v>467</v>
      </c>
      <c r="B856" s="97" t="s">
        <v>1086</v>
      </c>
      <c r="C856" s="97" t="s">
        <v>1031</v>
      </c>
      <c r="D856" s="97" t="s">
        <v>32</v>
      </c>
      <c r="E856" s="97" t="s">
        <v>33</v>
      </c>
      <c r="F856" s="101" t="s">
        <v>1775</v>
      </c>
      <c r="G856" s="102" t="s">
        <v>34</v>
      </c>
      <c r="H856" s="111" t="s">
        <v>1796</v>
      </c>
      <c r="I856" s="104">
        <v>46160</v>
      </c>
      <c r="J856" s="97">
        <f t="shared" ca="1" si="1727"/>
        <v>24</v>
      </c>
      <c r="K856" s="97" t="str">
        <f t="shared" si="1728"/>
        <v>Pending</v>
      </c>
      <c r="L856" s="101" t="s">
        <v>698</v>
      </c>
      <c r="M856" s="97">
        <v>18000</v>
      </c>
      <c r="N856" s="97">
        <v>16000</v>
      </c>
      <c r="O856" s="104">
        <v>46160</v>
      </c>
      <c r="P856" s="97">
        <f t="shared" si="1729"/>
        <v>2000</v>
      </c>
      <c r="Q856" s="97" t="s">
        <v>33</v>
      </c>
      <c r="R856" s="97" t="s">
        <v>56</v>
      </c>
      <c r="S856" s="97">
        <v>20500</v>
      </c>
      <c r="T856" s="64" t="s">
        <v>33</v>
      </c>
      <c r="U856" s="65" t="s">
        <v>33</v>
      </c>
      <c r="V856" s="97" t="s">
        <v>28</v>
      </c>
      <c r="W856" s="97">
        <f t="shared" si="1730"/>
        <v>2500</v>
      </c>
      <c r="X856" s="97" t="s">
        <v>963</v>
      </c>
      <c r="Y856" s="97" t="s">
        <v>29</v>
      </c>
      <c r="Z856" s="105">
        <f t="shared" si="1731"/>
        <v>13.888888888888889</v>
      </c>
      <c r="AA856" s="93"/>
    </row>
    <row r="857" spans="1:27" s="101" customFormat="1" hidden="1">
      <c r="A857" s="97">
        <f>SUBTOTAL(3,C$2:C857)</f>
        <v>467</v>
      </c>
      <c r="B857" s="97" t="s">
        <v>1086</v>
      </c>
      <c r="C857" s="97" t="s">
        <v>1031</v>
      </c>
      <c r="D857" s="97" t="s">
        <v>32</v>
      </c>
      <c r="E857" s="97" t="s">
        <v>33</v>
      </c>
      <c r="F857" s="101" t="s">
        <v>1776</v>
      </c>
      <c r="G857" s="102" t="s">
        <v>34</v>
      </c>
      <c r="H857" s="111" t="s">
        <v>1797</v>
      </c>
      <c r="I857" s="104">
        <v>46159</v>
      </c>
      <c r="J857" s="97">
        <f t="shared" ref="J857:J858" ca="1" si="1732">+TODAY()-I857</f>
        <v>25</v>
      </c>
      <c r="K857" s="97" t="str">
        <f t="shared" ref="K857:K858" si="1733">+U857</f>
        <v>Pending</v>
      </c>
      <c r="L857" s="101" t="s">
        <v>698</v>
      </c>
      <c r="M857" s="97">
        <v>18000</v>
      </c>
      <c r="N857" s="97">
        <v>16000</v>
      </c>
      <c r="O857" s="104">
        <v>46160</v>
      </c>
      <c r="P857" s="97">
        <f t="shared" ref="P857:P858" si="1734">+M857-N857</f>
        <v>2000</v>
      </c>
      <c r="Q857" s="97" t="s">
        <v>33</v>
      </c>
      <c r="R857" s="97" t="s">
        <v>56</v>
      </c>
      <c r="S857" s="97">
        <v>20500</v>
      </c>
      <c r="T857" s="64" t="s">
        <v>33</v>
      </c>
      <c r="U857" s="65" t="s">
        <v>33</v>
      </c>
      <c r="V857" s="97" t="s">
        <v>28</v>
      </c>
      <c r="W857" s="97">
        <f t="shared" ref="W857:W858" si="1735">+S857-M857</f>
        <v>2500</v>
      </c>
      <c r="X857" s="97" t="s">
        <v>963</v>
      </c>
      <c r="Y857" s="97" t="s">
        <v>29</v>
      </c>
      <c r="Z857" s="105">
        <f t="shared" ref="Z857:Z858" si="1736">+W857*100/M857</f>
        <v>13.888888888888889</v>
      </c>
      <c r="AA857" s="93"/>
    </row>
    <row r="858" spans="1:27" s="101" customFormat="1" hidden="1">
      <c r="A858" s="97">
        <f>SUBTOTAL(3,C$2:C858)</f>
        <v>467</v>
      </c>
      <c r="B858" s="97" t="s">
        <v>1086</v>
      </c>
      <c r="C858" s="97" t="s">
        <v>44</v>
      </c>
      <c r="D858" s="97" t="s">
        <v>32</v>
      </c>
      <c r="E858" s="97" t="s">
        <v>33</v>
      </c>
      <c r="F858" s="101" t="s">
        <v>1801</v>
      </c>
      <c r="G858" s="102" t="s">
        <v>46</v>
      </c>
      <c r="H858" s="111" t="s">
        <v>1811</v>
      </c>
      <c r="I858" s="104">
        <v>46159</v>
      </c>
      <c r="J858" s="97">
        <f t="shared" ca="1" si="1732"/>
        <v>25</v>
      </c>
      <c r="K858" s="97" t="str">
        <f t="shared" si="1733"/>
        <v>Pending</v>
      </c>
      <c r="L858" s="101" t="s">
        <v>995</v>
      </c>
      <c r="M858" s="97">
        <v>28000</v>
      </c>
      <c r="N858" s="97">
        <v>26000</v>
      </c>
      <c r="O858" s="104">
        <v>46161</v>
      </c>
      <c r="P858" s="97">
        <f t="shared" si="1734"/>
        <v>2000</v>
      </c>
      <c r="Q858" s="97" t="s">
        <v>33</v>
      </c>
      <c r="R858" s="97" t="s">
        <v>37</v>
      </c>
      <c r="S858" s="97">
        <v>31500</v>
      </c>
      <c r="T858" s="64" t="s">
        <v>33</v>
      </c>
      <c r="U858" s="65" t="s">
        <v>33</v>
      </c>
      <c r="V858" s="97" t="s">
        <v>28</v>
      </c>
      <c r="W858" s="97">
        <f t="shared" si="1735"/>
        <v>3500</v>
      </c>
      <c r="X858" s="97" t="s">
        <v>36</v>
      </c>
      <c r="Y858" s="97" t="s">
        <v>29</v>
      </c>
      <c r="Z858" s="105">
        <f t="shared" si="1736"/>
        <v>12.5</v>
      </c>
      <c r="AA858" s="93"/>
    </row>
    <row r="859" spans="1:27" s="101" customFormat="1" hidden="1">
      <c r="A859" s="97">
        <f>SUBTOTAL(3,C$2:C859)</f>
        <v>467</v>
      </c>
      <c r="B859" s="97" t="s">
        <v>1086</v>
      </c>
      <c r="C859" s="97" t="s">
        <v>44</v>
      </c>
      <c r="D859" s="97" t="s">
        <v>32</v>
      </c>
      <c r="E859" s="97" t="s">
        <v>33</v>
      </c>
      <c r="F859" s="101" t="s">
        <v>235</v>
      </c>
      <c r="G859" s="102" t="s">
        <v>46</v>
      </c>
      <c r="H859" s="103" t="s">
        <v>1812</v>
      </c>
      <c r="I859" s="104">
        <v>46158</v>
      </c>
      <c r="J859" s="97">
        <f t="shared" ref="J859:J860" ca="1" si="1737">+TODAY()-I859</f>
        <v>26</v>
      </c>
      <c r="K859" s="97" t="str">
        <f t="shared" ref="K859:K860" si="1738">+U859</f>
        <v>Pending</v>
      </c>
      <c r="L859" s="101" t="s">
        <v>1802</v>
      </c>
      <c r="M859" s="97">
        <v>18500</v>
      </c>
      <c r="N859" s="97">
        <v>18500</v>
      </c>
      <c r="O859" s="104">
        <v>46161</v>
      </c>
      <c r="P859" s="97">
        <f t="shared" ref="P859:P860" si="1739">+M859-N859</f>
        <v>0</v>
      </c>
      <c r="Q859" s="97" t="s">
        <v>33</v>
      </c>
      <c r="R859" s="97" t="s">
        <v>78</v>
      </c>
      <c r="S859" s="97">
        <v>21000</v>
      </c>
      <c r="T859" s="64" t="s">
        <v>33</v>
      </c>
      <c r="U859" s="65" t="s">
        <v>33</v>
      </c>
      <c r="V859" s="97" t="s">
        <v>28</v>
      </c>
      <c r="W859" s="97">
        <f t="shared" ref="W859:W860" si="1740">+S859-M859</f>
        <v>2500</v>
      </c>
      <c r="X859" s="97" t="s">
        <v>36</v>
      </c>
      <c r="Y859" s="97" t="s">
        <v>29</v>
      </c>
      <c r="Z859" s="105">
        <f t="shared" ref="Z859:Z860" si="1741">+W859*100/M859</f>
        <v>13.513513513513514</v>
      </c>
      <c r="AA859" s="93"/>
    </row>
    <row r="860" spans="1:27" s="101" customFormat="1" hidden="1">
      <c r="A860" s="97">
        <f>SUBTOTAL(3,C$2:C860)</f>
        <v>467</v>
      </c>
      <c r="B860" s="97" t="s">
        <v>1086</v>
      </c>
      <c r="C860" s="97" t="s">
        <v>31</v>
      </c>
      <c r="D860" s="97" t="s">
        <v>32</v>
      </c>
      <c r="E860" s="97" t="s">
        <v>33</v>
      </c>
      <c r="F860" s="101" t="s">
        <v>87</v>
      </c>
      <c r="G860" s="102" t="s">
        <v>34</v>
      </c>
      <c r="H860" s="111" t="s">
        <v>1822</v>
      </c>
      <c r="I860" s="104">
        <v>46161</v>
      </c>
      <c r="J860" s="97">
        <f t="shared" ca="1" si="1737"/>
        <v>23</v>
      </c>
      <c r="K860" s="97" t="str">
        <f t="shared" si="1738"/>
        <v>Pending</v>
      </c>
      <c r="L860" s="101" t="s">
        <v>483</v>
      </c>
      <c r="M860" s="97">
        <v>23300</v>
      </c>
      <c r="N860" s="97">
        <v>21500</v>
      </c>
      <c r="O860" s="104">
        <v>46161</v>
      </c>
      <c r="P860" s="97">
        <f t="shared" si="1739"/>
        <v>1800</v>
      </c>
      <c r="Q860" s="97" t="s">
        <v>33</v>
      </c>
      <c r="R860" s="97" t="s">
        <v>37</v>
      </c>
      <c r="S860" s="97">
        <v>26000</v>
      </c>
      <c r="T860" s="64" t="s">
        <v>33</v>
      </c>
      <c r="U860" s="65" t="s">
        <v>33</v>
      </c>
      <c r="V860" s="97" t="s">
        <v>28</v>
      </c>
      <c r="W860" s="97">
        <f t="shared" si="1740"/>
        <v>2700</v>
      </c>
      <c r="X860" s="97" t="s">
        <v>963</v>
      </c>
      <c r="Y860" s="97" t="s">
        <v>29</v>
      </c>
      <c r="Z860" s="105">
        <f t="shared" si="1741"/>
        <v>11.587982832618026</v>
      </c>
      <c r="AA860" s="93"/>
    </row>
    <row r="861" spans="1:27" s="101" customFormat="1" hidden="1">
      <c r="A861" s="97">
        <f>SUBTOTAL(3,C$2:C861)</f>
        <v>467</v>
      </c>
      <c r="B861" s="97" t="s">
        <v>1086</v>
      </c>
      <c r="C861" s="97" t="s">
        <v>44</v>
      </c>
      <c r="D861" s="97" t="s">
        <v>32</v>
      </c>
      <c r="E861" s="97" t="s">
        <v>33</v>
      </c>
      <c r="F861" s="101" t="s">
        <v>1194</v>
      </c>
      <c r="G861" s="102" t="s">
        <v>46</v>
      </c>
      <c r="H861" s="103" t="s">
        <v>1813</v>
      </c>
      <c r="I861" s="104">
        <v>46159</v>
      </c>
      <c r="J861" s="97">
        <f t="shared" ref="J861:J862" ca="1" si="1742">+TODAY()-I861</f>
        <v>25</v>
      </c>
      <c r="K861" s="97">
        <f t="shared" ref="K861:K862" si="1743">+U861</f>
        <v>46170</v>
      </c>
      <c r="L861" s="101" t="s">
        <v>1802</v>
      </c>
      <c r="M861" s="97">
        <v>18500</v>
      </c>
      <c r="N861" s="97">
        <v>18500</v>
      </c>
      <c r="O861" s="104">
        <v>46161</v>
      </c>
      <c r="P861" s="97">
        <f t="shared" ref="P861:P862" si="1744">+M861-N861</f>
        <v>0</v>
      </c>
      <c r="Q861" s="97" t="s">
        <v>33</v>
      </c>
      <c r="R861" s="97" t="s">
        <v>78</v>
      </c>
      <c r="S861" s="97">
        <v>21000</v>
      </c>
      <c r="T861" s="64" t="s">
        <v>2681</v>
      </c>
      <c r="U861" s="65">
        <v>46170</v>
      </c>
      <c r="V861" s="97" t="s">
        <v>28</v>
      </c>
      <c r="W861" s="97">
        <f t="shared" ref="W861:W862" si="1745">+S861-M861</f>
        <v>2500</v>
      </c>
      <c r="X861" s="97" t="s">
        <v>36</v>
      </c>
      <c r="Y861" s="97" t="s">
        <v>29</v>
      </c>
      <c r="Z861" s="105">
        <f t="shared" ref="Z861:Z862" si="1746">+W861*100/M861</f>
        <v>13.513513513513514</v>
      </c>
      <c r="AA861" s="93"/>
    </row>
    <row r="862" spans="1:27" s="101" customFormat="1" hidden="1">
      <c r="A862" s="97">
        <f>SUBTOTAL(3,C$2:C862)</f>
        <v>467</v>
      </c>
      <c r="B862" s="97" t="s">
        <v>1086</v>
      </c>
      <c r="C862" s="97" t="s">
        <v>31</v>
      </c>
      <c r="D862" s="97" t="s">
        <v>32</v>
      </c>
      <c r="E862" s="97" t="s">
        <v>33</v>
      </c>
      <c r="F862" s="101" t="s">
        <v>42</v>
      </c>
      <c r="G862" s="102" t="s">
        <v>34</v>
      </c>
      <c r="H862" s="103" t="s">
        <v>1814</v>
      </c>
      <c r="I862" s="104">
        <v>46160</v>
      </c>
      <c r="J862" s="97">
        <f t="shared" ca="1" si="1742"/>
        <v>24</v>
      </c>
      <c r="K862" s="97">
        <f t="shared" si="1743"/>
        <v>46169</v>
      </c>
      <c r="L862" s="101" t="s">
        <v>1411</v>
      </c>
      <c r="M862" s="97">
        <v>19000</v>
      </c>
      <c r="N862" s="97">
        <v>17000</v>
      </c>
      <c r="O862" s="104">
        <v>46161</v>
      </c>
      <c r="P862" s="97">
        <f t="shared" si="1744"/>
        <v>2000</v>
      </c>
      <c r="Q862" s="97" t="s">
        <v>33</v>
      </c>
      <c r="R862" s="97" t="s">
        <v>39</v>
      </c>
      <c r="S862" s="97">
        <v>21800</v>
      </c>
      <c r="T862" s="64" t="s">
        <v>2699</v>
      </c>
      <c r="U862" s="65">
        <v>46169</v>
      </c>
      <c r="V862" s="97" t="s">
        <v>28</v>
      </c>
      <c r="W862" s="97">
        <f t="shared" si="1745"/>
        <v>2800</v>
      </c>
      <c r="X862" s="97" t="s">
        <v>963</v>
      </c>
      <c r="Y862" s="97" t="s">
        <v>29</v>
      </c>
      <c r="Z862" s="105">
        <f t="shared" si="1746"/>
        <v>14.736842105263158</v>
      </c>
      <c r="AA862" s="93"/>
    </row>
    <row r="863" spans="1:27" s="101" customFormat="1" hidden="1">
      <c r="A863" s="97">
        <f>SUBTOTAL(3,C$2:C863)</f>
        <v>467</v>
      </c>
      <c r="B863" s="97" t="s">
        <v>1086</v>
      </c>
      <c r="C863" s="97" t="s">
        <v>31</v>
      </c>
      <c r="D863" s="97" t="s">
        <v>32</v>
      </c>
      <c r="E863" s="97" t="s">
        <v>33</v>
      </c>
      <c r="F863" s="101" t="s">
        <v>205</v>
      </c>
      <c r="G863" s="102" t="s">
        <v>34</v>
      </c>
      <c r="H863" s="103" t="s">
        <v>1815</v>
      </c>
      <c r="I863" s="104">
        <v>46160</v>
      </c>
      <c r="J863" s="97">
        <f t="shared" ref="J863:J865" ca="1" si="1747">+TODAY()-I863</f>
        <v>24</v>
      </c>
      <c r="K863" s="97">
        <f t="shared" ref="K863:K865" si="1748">+U863</f>
        <v>46169</v>
      </c>
      <c r="L863" s="101" t="s">
        <v>1411</v>
      </c>
      <c r="M863" s="97">
        <v>19000</v>
      </c>
      <c r="N863" s="97">
        <v>17000</v>
      </c>
      <c r="O863" s="104">
        <v>46161</v>
      </c>
      <c r="P863" s="97">
        <f t="shared" ref="P863:P865" si="1749">+M863-N863</f>
        <v>2000</v>
      </c>
      <c r="Q863" s="97" t="s">
        <v>33</v>
      </c>
      <c r="R863" s="97" t="s">
        <v>39</v>
      </c>
      <c r="S863" s="97">
        <v>21800</v>
      </c>
      <c r="T863" s="64" t="s">
        <v>2699</v>
      </c>
      <c r="U863" s="65">
        <v>46169</v>
      </c>
      <c r="V863" s="97" t="s">
        <v>28</v>
      </c>
      <c r="W863" s="97">
        <f t="shared" ref="W863:W865" si="1750">+S863-M863</f>
        <v>2800</v>
      </c>
      <c r="X863" s="97" t="s">
        <v>963</v>
      </c>
      <c r="Y863" s="97" t="s">
        <v>29</v>
      </c>
      <c r="Z863" s="105">
        <f t="shared" ref="Z863:Z865" si="1751">+W863*100/M863</f>
        <v>14.736842105263158</v>
      </c>
      <c r="AA863" s="93"/>
    </row>
    <row r="864" spans="1:27" s="101" customFormat="1" hidden="1">
      <c r="A864" s="97">
        <f>SUBTOTAL(3,C$2:C864)</f>
        <v>467</v>
      </c>
      <c r="B864" s="97" t="s">
        <v>1086</v>
      </c>
      <c r="C864" s="97" t="s">
        <v>80</v>
      </c>
      <c r="D864" s="97" t="s">
        <v>32</v>
      </c>
      <c r="E864" s="97" t="s">
        <v>33</v>
      </c>
      <c r="F864" s="101" t="s">
        <v>81</v>
      </c>
      <c r="G864" s="102" t="s">
        <v>1215</v>
      </c>
      <c r="H864" s="103" t="s">
        <v>1816</v>
      </c>
      <c r="I864" s="104">
        <v>46157</v>
      </c>
      <c r="J864" s="97">
        <f t="shared" ca="1" si="1747"/>
        <v>27</v>
      </c>
      <c r="K864" s="97">
        <f t="shared" si="1748"/>
        <v>46169</v>
      </c>
      <c r="L864" s="101" t="s">
        <v>82</v>
      </c>
      <c r="M864" s="97">
        <v>22000</v>
      </c>
      <c r="N864" s="97">
        <v>22000</v>
      </c>
      <c r="O864" s="104">
        <v>46161</v>
      </c>
      <c r="P864" s="97">
        <f t="shared" si="1749"/>
        <v>0</v>
      </c>
      <c r="Q864" s="97" t="s">
        <v>33</v>
      </c>
      <c r="R864" s="97" t="s">
        <v>39</v>
      </c>
      <c r="S864" s="97">
        <v>25200</v>
      </c>
      <c r="T864" s="64" t="s">
        <v>2676</v>
      </c>
      <c r="U864" s="65">
        <v>46169</v>
      </c>
      <c r="V864" s="97" t="s">
        <v>28</v>
      </c>
      <c r="W864" s="97">
        <f t="shared" si="1750"/>
        <v>3200</v>
      </c>
      <c r="X864" s="97" t="s">
        <v>36</v>
      </c>
      <c r="Y864" s="97" t="s">
        <v>29</v>
      </c>
      <c r="Z864" s="105">
        <f t="shared" si="1751"/>
        <v>14.545454545454545</v>
      </c>
      <c r="AA864" s="93"/>
    </row>
    <row r="865" spans="1:27" s="101" customFormat="1" hidden="1">
      <c r="A865" s="97">
        <f>SUBTOTAL(3,C$2:C865)</f>
        <v>467</v>
      </c>
      <c r="B865" s="97" t="s">
        <v>1086</v>
      </c>
      <c r="C865" s="97" t="s">
        <v>31</v>
      </c>
      <c r="D865" s="97" t="s">
        <v>32</v>
      </c>
      <c r="E865" s="97" t="s">
        <v>33</v>
      </c>
      <c r="F865" s="101" t="s">
        <v>1834</v>
      </c>
      <c r="G865" s="102" t="s">
        <v>34</v>
      </c>
      <c r="H865" s="111" t="s">
        <v>1835</v>
      </c>
      <c r="I865" s="104">
        <v>46159</v>
      </c>
      <c r="J865" s="97">
        <f t="shared" ca="1" si="1747"/>
        <v>25</v>
      </c>
      <c r="K865" s="97" t="str">
        <f t="shared" si="1748"/>
        <v>Pending</v>
      </c>
      <c r="L865" s="101" t="s">
        <v>111</v>
      </c>
      <c r="M865" s="97">
        <v>11700</v>
      </c>
      <c r="N865" s="97">
        <v>10700</v>
      </c>
      <c r="O865" s="104">
        <v>46161</v>
      </c>
      <c r="P865" s="97">
        <f t="shared" si="1749"/>
        <v>1000</v>
      </c>
      <c r="Q865" s="97" t="s">
        <v>33</v>
      </c>
      <c r="R865" s="97" t="s">
        <v>112</v>
      </c>
      <c r="S865" s="97">
        <v>13500</v>
      </c>
      <c r="T865" s="64" t="s">
        <v>33</v>
      </c>
      <c r="U865" s="65" t="s">
        <v>33</v>
      </c>
      <c r="V865" s="97" t="s">
        <v>28</v>
      </c>
      <c r="W865" s="97">
        <f t="shared" si="1750"/>
        <v>1800</v>
      </c>
      <c r="X865" s="97" t="s">
        <v>963</v>
      </c>
      <c r="Y865" s="97" t="s">
        <v>29</v>
      </c>
      <c r="Z865" s="105">
        <f t="shared" si="1751"/>
        <v>15.384615384615385</v>
      </c>
      <c r="AA865" s="93"/>
    </row>
    <row r="866" spans="1:27" s="101" customFormat="1" hidden="1">
      <c r="A866" s="97">
        <f>SUBTOTAL(3,C$2:C866)</f>
        <v>467</v>
      </c>
      <c r="B866" s="97" t="s">
        <v>1086</v>
      </c>
      <c r="C866" s="97" t="s">
        <v>31</v>
      </c>
      <c r="D866" s="97" t="s">
        <v>32</v>
      </c>
      <c r="E866" s="97" t="s">
        <v>33</v>
      </c>
      <c r="F866" s="101" t="s">
        <v>1803</v>
      </c>
      <c r="G866" s="102" t="s">
        <v>34</v>
      </c>
      <c r="H866" s="111" t="s">
        <v>1817</v>
      </c>
      <c r="I866" s="104">
        <v>46160</v>
      </c>
      <c r="J866" s="97">
        <f t="shared" ref="J866:J868" ca="1" si="1752">+TODAY()-I866</f>
        <v>24</v>
      </c>
      <c r="K866" s="97" t="str">
        <f t="shared" ref="K866:K868" si="1753">+U866</f>
        <v>Pending</v>
      </c>
      <c r="L866" s="101" t="s">
        <v>111</v>
      </c>
      <c r="M866" s="97">
        <v>11700</v>
      </c>
      <c r="N866" s="97">
        <v>10700</v>
      </c>
      <c r="O866" s="104">
        <v>46161</v>
      </c>
      <c r="P866" s="97">
        <f t="shared" ref="P866:P868" si="1754">+M866-N866</f>
        <v>1000</v>
      </c>
      <c r="Q866" s="97" t="s">
        <v>33</v>
      </c>
      <c r="R866" s="97" t="s">
        <v>112</v>
      </c>
      <c r="S866" s="97">
        <v>13500</v>
      </c>
      <c r="T866" s="64" t="s">
        <v>33</v>
      </c>
      <c r="U866" s="65" t="s">
        <v>33</v>
      </c>
      <c r="V866" s="97" t="s">
        <v>28</v>
      </c>
      <c r="W866" s="97">
        <f t="shared" ref="W866:W868" si="1755">+S866-M866</f>
        <v>1800</v>
      </c>
      <c r="X866" s="97" t="s">
        <v>963</v>
      </c>
      <c r="Y866" s="97" t="s">
        <v>29</v>
      </c>
      <c r="Z866" s="105">
        <f t="shared" ref="Z866:Z868" si="1756">+W866*100/M866</f>
        <v>15.384615384615385</v>
      </c>
      <c r="AA866" s="93"/>
    </row>
    <row r="867" spans="1:27" s="101" customFormat="1" hidden="1">
      <c r="A867" s="97">
        <f>SUBTOTAL(3,C$2:C867)</f>
        <v>467</v>
      </c>
      <c r="B867" s="97" t="s">
        <v>1086</v>
      </c>
      <c r="C867" s="97" t="s">
        <v>1031</v>
      </c>
      <c r="D867" s="97" t="s">
        <v>32</v>
      </c>
      <c r="E867" s="97" t="s">
        <v>33</v>
      </c>
      <c r="F867" s="101" t="s">
        <v>1804</v>
      </c>
      <c r="G867" s="102" t="s">
        <v>34</v>
      </c>
      <c r="H867" s="103" t="s">
        <v>1818</v>
      </c>
      <c r="I867" s="104">
        <v>46160</v>
      </c>
      <c r="J867" s="97">
        <f t="shared" ca="1" si="1752"/>
        <v>24</v>
      </c>
      <c r="K867" s="97" t="str">
        <f t="shared" si="1753"/>
        <v>Pending</v>
      </c>
      <c r="L867" s="101" t="s">
        <v>1677</v>
      </c>
      <c r="M867" s="97">
        <v>18300</v>
      </c>
      <c r="N867" s="97">
        <v>16500</v>
      </c>
      <c r="O867" s="104">
        <v>46161</v>
      </c>
      <c r="P867" s="97">
        <f t="shared" si="1754"/>
        <v>1800</v>
      </c>
      <c r="Q867" s="97" t="s">
        <v>33</v>
      </c>
      <c r="R867" s="97" t="s">
        <v>37</v>
      </c>
      <c r="S867" s="97">
        <v>21500</v>
      </c>
      <c r="T867" s="64" t="s">
        <v>33</v>
      </c>
      <c r="U867" s="65" t="s">
        <v>33</v>
      </c>
      <c r="V867" s="97" t="s">
        <v>28</v>
      </c>
      <c r="W867" s="97">
        <f t="shared" si="1755"/>
        <v>3200</v>
      </c>
      <c r="X867" s="97" t="s">
        <v>963</v>
      </c>
      <c r="Y867" s="97" t="s">
        <v>29</v>
      </c>
      <c r="Z867" s="105">
        <f t="shared" si="1756"/>
        <v>17.486338797814209</v>
      </c>
      <c r="AA867" s="93"/>
    </row>
    <row r="868" spans="1:27" s="101" customFormat="1" hidden="1">
      <c r="A868" s="97">
        <f>SUBTOTAL(3,C$2:C868)</f>
        <v>467</v>
      </c>
      <c r="B868" s="97" t="s">
        <v>1086</v>
      </c>
      <c r="C868" s="97" t="s">
        <v>80</v>
      </c>
      <c r="D868" s="97" t="s">
        <v>32</v>
      </c>
      <c r="E868" s="97" t="s">
        <v>33</v>
      </c>
      <c r="F868" s="101" t="s">
        <v>1805</v>
      </c>
      <c r="G868" s="102" t="s">
        <v>59</v>
      </c>
      <c r="H868" s="103" t="s">
        <v>1819</v>
      </c>
      <c r="I868" s="104">
        <v>46152</v>
      </c>
      <c r="J868" s="97">
        <f t="shared" ca="1" si="1752"/>
        <v>32</v>
      </c>
      <c r="K868" s="97" t="str">
        <f t="shared" si="1753"/>
        <v>Pending</v>
      </c>
      <c r="L868" s="101" t="s">
        <v>82</v>
      </c>
      <c r="M868" s="97">
        <v>22000</v>
      </c>
      <c r="N868" s="97">
        <v>22000</v>
      </c>
      <c r="O868" s="104">
        <v>46161</v>
      </c>
      <c r="P868" s="97">
        <f t="shared" si="1754"/>
        <v>0</v>
      </c>
      <c r="Q868" s="97" t="s">
        <v>33</v>
      </c>
      <c r="R868" s="97" t="s">
        <v>39</v>
      </c>
      <c r="S868" s="97">
        <v>25200</v>
      </c>
      <c r="T868" s="64" t="s">
        <v>33</v>
      </c>
      <c r="U868" s="65" t="s">
        <v>33</v>
      </c>
      <c r="V868" s="97" t="s">
        <v>28</v>
      </c>
      <c r="W868" s="97">
        <f t="shared" si="1755"/>
        <v>3200</v>
      </c>
      <c r="X868" s="97" t="s">
        <v>36</v>
      </c>
      <c r="Y868" s="97" t="s">
        <v>29</v>
      </c>
      <c r="Z868" s="105">
        <f t="shared" si="1756"/>
        <v>14.545454545454545</v>
      </c>
      <c r="AA868" s="93"/>
    </row>
    <row r="869" spans="1:27" s="101" customFormat="1" hidden="1">
      <c r="A869" s="97">
        <f>SUBTOTAL(3,C$2:C869)</f>
        <v>467</v>
      </c>
      <c r="B869" s="97" t="s">
        <v>1086</v>
      </c>
      <c r="C869" s="97" t="s">
        <v>1031</v>
      </c>
      <c r="D869" s="97" t="s">
        <v>32</v>
      </c>
      <c r="E869" s="97" t="s">
        <v>33</v>
      </c>
      <c r="F869" s="101" t="s">
        <v>194</v>
      </c>
      <c r="G869" s="102" t="s">
        <v>34</v>
      </c>
      <c r="H869" s="103" t="s">
        <v>1820</v>
      </c>
      <c r="I869" s="104">
        <v>46160</v>
      </c>
      <c r="J869" s="97">
        <f t="shared" ref="J869:J870" ca="1" si="1757">+TODAY()-I869</f>
        <v>24</v>
      </c>
      <c r="K869" s="97" t="str">
        <f t="shared" ref="K869:K870" si="1758">+U869</f>
        <v>Pending</v>
      </c>
      <c r="L869" s="101" t="s">
        <v>783</v>
      </c>
      <c r="M869" s="97">
        <v>18000</v>
      </c>
      <c r="N869" s="97">
        <v>16000</v>
      </c>
      <c r="O869" s="104">
        <v>46161</v>
      </c>
      <c r="P869" s="97">
        <f t="shared" ref="P869:P870" si="1759">+M869-N869</f>
        <v>2000</v>
      </c>
      <c r="Q869" s="97" t="s">
        <v>33</v>
      </c>
      <c r="R869" s="97" t="s">
        <v>56</v>
      </c>
      <c r="S869" s="97">
        <v>20500</v>
      </c>
      <c r="T869" s="64" t="s">
        <v>33</v>
      </c>
      <c r="U869" s="65" t="s">
        <v>33</v>
      </c>
      <c r="V869" s="97" t="s">
        <v>28</v>
      </c>
      <c r="W869" s="97">
        <f t="shared" ref="W869:W870" si="1760">+S869-M869</f>
        <v>2500</v>
      </c>
      <c r="X869" s="97" t="s">
        <v>963</v>
      </c>
      <c r="Y869" s="97" t="s">
        <v>29</v>
      </c>
      <c r="Z869" s="105">
        <f t="shared" ref="Z869:Z870" si="1761">+W869*100/M869</f>
        <v>13.888888888888889</v>
      </c>
      <c r="AA869" s="93"/>
    </row>
    <row r="870" spans="1:27" s="101" customFormat="1" hidden="1">
      <c r="A870" s="97">
        <f>SUBTOTAL(3,C$2:C870)</f>
        <v>467</v>
      </c>
      <c r="B870" s="97" t="s">
        <v>1086</v>
      </c>
      <c r="C870" s="97" t="s">
        <v>31</v>
      </c>
      <c r="D870" s="97" t="s">
        <v>32</v>
      </c>
      <c r="E870" s="97" t="s">
        <v>33</v>
      </c>
      <c r="F870" s="101" t="s">
        <v>191</v>
      </c>
      <c r="G870" s="102" t="s">
        <v>34</v>
      </c>
      <c r="H870" s="103" t="s">
        <v>1821</v>
      </c>
      <c r="I870" s="104">
        <v>46161</v>
      </c>
      <c r="J870" s="97">
        <f t="shared" ca="1" si="1757"/>
        <v>23</v>
      </c>
      <c r="K870" s="97" t="str">
        <f t="shared" si="1758"/>
        <v>Pending</v>
      </c>
      <c r="L870" s="101" t="s">
        <v>483</v>
      </c>
      <c r="M870" s="97">
        <v>23300</v>
      </c>
      <c r="N870" s="97">
        <v>21500</v>
      </c>
      <c r="O870" s="104">
        <v>46161</v>
      </c>
      <c r="P870" s="97">
        <f t="shared" si="1759"/>
        <v>1800</v>
      </c>
      <c r="Q870" s="97" t="s">
        <v>33</v>
      </c>
      <c r="R870" s="97" t="s">
        <v>37</v>
      </c>
      <c r="S870" s="97">
        <v>26000</v>
      </c>
      <c r="T870" s="64" t="s">
        <v>33</v>
      </c>
      <c r="U870" s="65" t="s">
        <v>33</v>
      </c>
      <c r="V870" s="97" t="s">
        <v>28</v>
      </c>
      <c r="W870" s="97">
        <f t="shared" si="1760"/>
        <v>2700</v>
      </c>
      <c r="X870" s="97" t="s">
        <v>963</v>
      </c>
      <c r="Y870" s="97" t="s">
        <v>29</v>
      </c>
      <c r="Z870" s="105">
        <f t="shared" si="1761"/>
        <v>11.587982832618026</v>
      </c>
      <c r="AA870" s="93"/>
    </row>
    <row r="871" spans="1:27" s="101" customFormat="1" hidden="1">
      <c r="A871" s="97">
        <f>SUBTOTAL(3,C$2:C871)</f>
        <v>467</v>
      </c>
      <c r="B871" s="97" t="s">
        <v>1086</v>
      </c>
      <c r="C871" s="97" t="s">
        <v>80</v>
      </c>
      <c r="D871" s="97" t="s">
        <v>32</v>
      </c>
      <c r="E871" s="97" t="s">
        <v>33</v>
      </c>
      <c r="F871" s="101" t="s">
        <v>1806</v>
      </c>
      <c r="G871" s="102" t="s">
        <v>1215</v>
      </c>
      <c r="H871" s="111" t="s">
        <v>1823</v>
      </c>
      <c r="I871" s="104">
        <v>46161</v>
      </c>
      <c r="J871" s="97">
        <f t="shared" ref="J871" ca="1" si="1762">+TODAY()-I871</f>
        <v>23</v>
      </c>
      <c r="K871" s="97" t="str">
        <f t="shared" ref="K871" si="1763">+U871</f>
        <v>Pending</v>
      </c>
      <c r="L871" s="101" t="s">
        <v>995</v>
      </c>
      <c r="M871" s="97">
        <v>28000</v>
      </c>
      <c r="N871" s="97">
        <v>26000</v>
      </c>
      <c r="O871" s="104">
        <v>46161</v>
      </c>
      <c r="P871" s="97">
        <f t="shared" ref="P871" si="1764">+M871-N871</f>
        <v>2000</v>
      </c>
      <c r="Q871" s="97" t="s">
        <v>33</v>
      </c>
      <c r="R871" s="97" t="s">
        <v>39</v>
      </c>
      <c r="S871" s="97">
        <v>31500</v>
      </c>
      <c r="T871" s="64" t="s">
        <v>33</v>
      </c>
      <c r="U871" s="65" t="s">
        <v>33</v>
      </c>
      <c r="V871" s="97" t="s">
        <v>28</v>
      </c>
      <c r="W871" s="97">
        <f t="shared" ref="W871" si="1765">+S871-M871</f>
        <v>3500</v>
      </c>
      <c r="X871" s="97" t="s">
        <v>36</v>
      </c>
      <c r="Y871" s="97" t="s">
        <v>29</v>
      </c>
      <c r="Z871" s="105">
        <f t="shared" ref="Z871" si="1766">+W871*100/M871</f>
        <v>12.5</v>
      </c>
      <c r="AA871" s="93"/>
    </row>
    <row r="872" spans="1:27" s="101" customFormat="1" hidden="1">
      <c r="A872" s="97">
        <f>SUBTOTAL(3,C$2:C872)</f>
        <v>467</v>
      </c>
      <c r="B872" s="97" t="s">
        <v>1086</v>
      </c>
      <c r="C872" s="97" t="s">
        <v>31</v>
      </c>
      <c r="D872" s="97" t="s">
        <v>32</v>
      </c>
      <c r="E872" s="97" t="s">
        <v>33</v>
      </c>
      <c r="F872" s="101" t="s">
        <v>515</v>
      </c>
      <c r="G872" s="102" t="s">
        <v>34</v>
      </c>
      <c r="H872" s="103" t="s">
        <v>1824</v>
      </c>
      <c r="I872" s="104">
        <v>46161</v>
      </c>
      <c r="J872" s="97">
        <f t="shared" ref="J872:J874" ca="1" si="1767">+TODAY()-I872</f>
        <v>23</v>
      </c>
      <c r="K872" s="97">
        <f t="shared" ref="K872:K874" si="1768">+U872</f>
        <v>46169</v>
      </c>
      <c r="L872" s="101" t="s">
        <v>1411</v>
      </c>
      <c r="M872" s="97">
        <v>19000</v>
      </c>
      <c r="N872" s="97">
        <v>17000</v>
      </c>
      <c r="O872" s="104">
        <v>46161</v>
      </c>
      <c r="P872" s="97">
        <f t="shared" ref="P872:P874" si="1769">+M872-N872</f>
        <v>2000</v>
      </c>
      <c r="Q872" s="97" t="s">
        <v>33</v>
      </c>
      <c r="R872" s="97" t="s">
        <v>39</v>
      </c>
      <c r="S872" s="97">
        <v>21800</v>
      </c>
      <c r="T872" s="64" t="s">
        <v>2672</v>
      </c>
      <c r="U872" s="65">
        <v>46169</v>
      </c>
      <c r="V872" s="97" t="s">
        <v>28</v>
      </c>
      <c r="W872" s="97">
        <f t="shared" ref="W872:W874" si="1770">+S872-M872</f>
        <v>2800</v>
      </c>
      <c r="X872" s="97" t="s">
        <v>963</v>
      </c>
      <c r="Y872" s="97" t="s">
        <v>29</v>
      </c>
      <c r="Z872" s="105">
        <f t="shared" ref="Z872:Z874" si="1771">+W872*100/M872</f>
        <v>14.736842105263158</v>
      </c>
      <c r="AA872" s="93"/>
    </row>
    <row r="873" spans="1:27" s="101" customFormat="1" hidden="1">
      <c r="A873" s="97">
        <f>SUBTOTAL(3,C$2:C873)</f>
        <v>467</v>
      </c>
      <c r="B873" s="97" t="s">
        <v>1086</v>
      </c>
      <c r="C873" s="97" t="s">
        <v>44</v>
      </c>
      <c r="D873" s="97" t="s">
        <v>32</v>
      </c>
      <c r="E873" s="97" t="s">
        <v>33</v>
      </c>
      <c r="F873" s="101" t="s">
        <v>1807</v>
      </c>
      <c r="G873" s="102" t="s">
        <v>143</v>
      </c>
      <c r="H873" s="103" t="s">
        <v>1825</v>
      </c>
      <c r="I873" s="104">
        <v>46161</v>
      </c>
      <c r="J873" s="97">
        <f t="shared" ca="1" si="1767"/>
        <v>23</v>
      </c>
      <c r="K873" s="97">
        <f t="shared" si="1768"/>
        <v>46169</v>
      </c>
      <c r="L873" s="101" t="s">
        <v>144</v>
      </c>
      <c r="M873" s="97">
        <v>31500</v>
      </c>
      <c r="N873" s="97">
        <v>28500</v>
      </c>
      <c r="O873" s="104">
        <v>46161</v>
      </c>
      <c r="P873" s="97">
        <f t="shared" si="1769"/>
        <v>3000</v>
      </c>
      <c r="Q873" s="97" t="s">
        <v>33</v>
      </c>
      <c r="R873" s="97" t="s">
        <v>39</v>
      </c>
      <c r="S873" s="97">
        <v>35000</v>
      </c>
      <c r="T873" s="64" t="s">
        <v>2699</v>
      </c>
      <c r="U873" s="65">
        <v>46169</v>
      </c>
      <c r="V873" s="97" t="s">
        <v>28</v>
      </c>
      <c r="W873" s="97">
        <f t="shared" si="1770"/>
        <v>3500</v>
      </c>
      <c r="X873" s="97" t="s">
        <v>36</v>
      </c>
      <c r="Y873" s="97" t="s">
        <v>29</v>
      </c>
      <c r="Z873" s="105">
        <f t="shared" si="1771"/>
        <v>11.111111111111111</v>
      </c>
      <c r="AA873" s="93"/>
    </row>
    <row r="874" spans="1:27" s="101" customFormat="1" hidden="1">
      <c r="A874" s="97">
        <f>SUBTOTAL(3,C$2:C874)</f>
        <v>467</v>
      </c>
      <c r="B874" s="97" t="s">
        <v>1086</v>
      </c>
      <c r="C874" s="97" t="s">
        <v>80</v>
      </c>
      <c r="D874" s="97" t="s">
        <v>32</v>
      </c>
      <c r="E874" s="97" t="s">
        <v>33</v>
      </c>
      <c r="F874" s="101" t="s">
        <v>1365</v>
      </c>
      <c r="G874" s="102" t="s">
        <v>50</v>
      </c>
      <c r="H874" s="111" t="s">
        <v>1827</v>
      </c>
      <c r="I874" s="104">
        <v>46161</v>
      </c>
      <c r="J874" s="97">
        <f t="shared" ca="1" si="1767"/>
        <v>23</v>
      </c>
      <c r="K874" s="97" t="str">
        <f t="shared" si="1768"/>
        <v>Pending</v>
      </c>
      <c r="L874" s="101" t="s">
        <v>1826</v>
      </c>
      <c r="M874" s="97">
        <v>44000</v>
      </c>
      <c r="N874" s="97">
        <v>40000</v>
      </c>
      <c r="O874" s="104">
        <v>46161</v>
      </c>
      <c r="P874" s="97">
        <f t="shared" si="1769"/>
        <v>4000</v>
      </c>
      <c r="Q874" s="97" t="s">
        <v>33</v>
      </c>
      <c r="R874" s="97" t="s">
        <v>52</v>
      </c>
      <c r="S874" s="97">
        <v>48000</v>
      </c>
      <c r="T874" s="64" t="s">
        <v>33</v>
      </c>
      <c r="U874" s="65" t="s">
        <v>33</v>
      </c>
      <c r="V874" s="97" t="s">
        <v>28</v>
      </c>
      <c r="W874" s="97">
        <f t="shared" si="1770"/>
        <v>4000</v>
      </c>
      <c r="X874" s="97" t="s">
        <v>36</v>
      </c>
      <c r="Y874" s="97" t="s">
        <v>29</v>
      </c>
      <c r="Z874" s="105">
        <f t="shared" si="1771"/>
        <v>9.0909090909090917</v>
      </c>
      <c r="AA874" s="93"/>
    </row>
    <row r="875" spans="1:27" s="101" customFormat="1" hidden="1">
      <c r="A875" s="97">
        <f>SUBTOTAL(3,C$2:C875)</f>
        <v>467</v>
      </c>
      <c r="B875" s="97" t="s">
        <v>1086</v>
      </c>
      <c r="C875" s="97" t="s">
        <v>44</v>
      </c>
      <c r="D875" s="97" t="s">
        <v>32</v>
      </c>
      <c r="E875" s="97" t="s">
        <v>33</v>
      </c>
      <c r="F875" s="101" t="s">
        <v>281</v>
      </c>
      <c r="G875" s="102">
        <v>407</v>
      </c>
      <c r="H875" s="103" t="s">
        <v>1828</v>
      </c>
      <c r="I875" s="104">
        <v>46160</v>
      </c>
      <c r="J875" s="97">
        <f t="shared" ref="J875:J876" ca="1" si="1772">+TODAY()-I875</f>
        <v>24</v>
      </c>
      <c r="K875" s="97" t="str">
        <f t="shared" ref="K875:K876" si="1773">+U875</f>
        <v>Pending</v>
      </c>
      <c r="L875" s="101" t="s">
        <v>84</v>
      </c>
      <c r="M875" s="97">
        <v>27500</v>
      </c>
      <c r="N875" s="97">
        <v>25500</v>
      </c>
      <c r="O875" s="104">
        <v>46161</v>
      </c>
      <c r="P875" s="97">
        <f t="shared" ref="P875:P876" si="1774">+M875-N875</f>
        <v>2000</v>
      </c>
      <c r="Q875" s="97" t="s">
        <v>33</v>
      </c>
      <c r="R875" s="97" t="s">
        <v>56</v>
      </c>
      <c r="S875" s="97">
        <v>29800</v>
      </c>
      <c r="T875" s="64" t="s">
        <v>33</v>
      </c>
      <c r="U875" s="65" t="s">
        <v>33</v>
      </c>
      <c r="V875" s="97" t="s">
        <v>28</v>
      </c>
      <c r="W875" s="97">
        <f t="shared" ref="W875:W876" si="1775">+S875-M875</f>
        <v>2300</v>
      </c>
      <c r="X875" s="97" t="s">
        <v>36</v>
      </c>
      <c r="Y875" s="97" t="s">
        <v>29</v>
      </c>
      <c r="Z875" s="105">
        <f t="shared" ref="Z875:Z876" si="1776">+W875*100/M875</f>
        <v>8.3636363636363633</v>
      </c>
      <c r="AA875" s="93"/>
    </row>
    <row r="876" spans="1:27" s="101" customFormat="1" hidden="1">
      <c r="A876" s="97">
        <f>SUBTOTAL(3,C$2:C876)</f>
        <v>467</v>
      </c>
      <c r="B876" s="97" t="s">
        <v>1086</v>
      </c>
      <c r="C876" s="97" t="s">
        <v>1031</v>
      </c>
      <c r="D876" s="97" t="s">
        <v>32</v>
      </c>
      <c r="E876" s="97" t="s">
        <v>33</v>
      </c>
      <c r="F876" s="101" t="s">
        <v>221</v>
      </c>
      <c r="G876" s="102" t="s">
        <v>34</v>
      </c>
      <c r="H876" s="103" t="s">
        <v>1829</v>
      </c>
      <c r="I876" s="104">
        <v>46161</v>
      </c>
      <c r="J876" s="97">
        <f t="shared" ca="1" si="1772"/>
        <v>23</v>
      </c>
      <c r="K876" s="97">
        <f t="shared" si="1773"/>
        <v>46169</v>
      </c>
      <c r="L876" s="101" t="s">
        <v>783</v>
      </c>
      <c r="M876" s="97">
        <v>18000</v>
      </c>
      <c r="N876" s="97">
        <v>16000</v>
      </c>
      <c r="O876" s="104">
        <v>46161</v>
      </c>
      <c r="P876" s="97">
        <f t="shared" si="1774"/>
        <v>2000</v>
      </c>
      <c r="Q876" s="97" t="s">
        <v>33</v>
      </c>
      <c r="R876" s="97" t="s">
        <v>56</v>
      </c>
      <c r="S876" s="97">
        <v>20500</v>
      </c>
      <c r="T876" s="64" t="s">
        <v>2691</v>
      </c>
      <c r="U876" s="65">
        <v>46169</v>
      </c>
      <c r="V876" s="97" t="s">
        <v>28</v>
      </c>
      <c r="W876" s="97">
        <f t="shared" si="1775"/>
        <v>2500</v>
      </c>
      <c r="X876" s="97" t="s">
        <v>963</v>
      </c>
      <c r="Y876" s="97" t="s">
        <v>29</v>
      </c>
      <c r="Z876" s="105">
        <f t="shared" si="1776"/>
        <v>13.888888888888889</v>
      </c>
      <c r="AA876" s="93"/>
    </row>
    <row r="877" spans="1:27" s="101" customFormat="1" hidden="1">
      <c r="A877" s="97">
        <f>SUBTOTAL(3,C$2:C877)</f>
        <v>467</v>
      </c>
      <c r="B877" s="97" t="s">
        <v>1086</v>
      </c>
      <c r="C877" s="97" t="s">
        <v>1031</v>
      </c>
      <c r="D877" s="97" t="s">
        <v>32</v>
      </c>
      <c r="E877" s="97" t="s">
        <v>33</v>
      </c>
      <c r="F877" s="101" t="s">
        <v>782</v>
      </c>
      <c r="G877" s="102" t="s">
        <v>34</v>
      </c>
      <c r="H877" s="111" t="s">
        <v>1830</v>
      </c>
      <c r="I877" s="104">
        <v>46161</v>
      </c>
      <c r="J877" s="97">
        <f t="shared" ref="J877:J881" ca="1" si="1777">+TODAY()-I877</f>
        <v>23</v>
      </c>
      <c r="K877" s="97" t="str">
        <f t="shared" ref="K877:K881" si="1778">+U877</f>
        <v>Pending</v>
      </c>
      <c r="L877" s="101" t="s">
        <v>783</v>
      </c>
      <c r="M877" s="97">
        <v>18000</v>
      </c>
      <c r="N877" s="97">
        <v>16000</v>
      </c>
      <c r="O877" s="104">
        <v>46161</v>
      </c>
      <c r="P877" s="97">
        <f t="shared" ref="P877:P881" si="1779">+M877-N877</f>
        <v>2000</v>
      </c>
      <c r="Q877" s="97" t="s">
        <v>33</v>
      </c>
      <c r="R877" s="97" t="s">
        <v>56</v>
      </c>
      <c r="S877" s="97">
        <v>20500</v>
      </c>
      <c r="T877" s="64" t="s">
        <v>33</v>
      </c>
      <c r="U877" s="65" t="s">
        <v>33</v>
      </c>
      <c r="V877" s="97" t="s">
        <v>28</v>
      </c>
      <c r="W877" s="97">
        <f t="shared" ref="W877:W881" si="1780">+S877-M877</f>
        <v>2500</v>
      </c>
      <c r="X877" s="97" t="s">
        <v>963</v>
      </c>
      <c r="Y877" s="97" t="s">
        <v>29</v>
      </c>
      <c r="Z877" s="105">
        <f t="shared" ref="Z877:Z881" si="1781">+W877*100/M877</f>
        <v>13.888888888888889</v>
      </c>
      <c r="AA877" s="93"/>
    </row>
    <row r="878" spans="1:27" s="101" customFormat="1" hidden="1">
      <c r="A878" s="97">
        <f>SUBTOTAL(3,C$2:C878)</f>
        <v>467</v>
      </c>
      <c r="B878" s="97" t="s">
        <v>1086</v>
      </c>
      <c r="C878" s="97" t="s">
        <v>44</v>
      </c>
      <c r="D878" s="97" t="s">
        <v>32</v>
      </c>
      <c r="E878" s="97" t="s">
        <v>33</v>
      </c>
      <c r="F878" s="101" t="s">
        <v>331</v>
      </c>
      <c r="G878" s="102">
        <v>407</v>
      </c>
      <c r="H878" s="103" t="s">
        <v>1831</v>
      </c>
      <c r="I878" s="104">
        <v>46161</v>
      </c>
      <c r="J878" s="97">
        <f t="shared" ca="1" si="1777"/>
        <v>23</v>
      </c>
      <c r="K878" s="97" t="str">
        <f t="shared" si="1778"/>
        <v>Pending</v>
      </c>
      <c r="L878" s="101" t="s">
        <v>687</v>
      </c>
      <c r="M878" s="97">
        <v>29500</v>
      </c>
      <c r="N878" s="97">
        <v>27500</v>
      </c>
      <c r="O878" s="104">
        <v>46161</v>
      </c>
      <c r="P878" s="97">
        <f t="shared" si="1779"/>
        <v>2000</v>
      </c>
      <c r="Q878" s="97" t="s">
        <v>33</v>
      </c>
      <c r="R878" s="97" t="s">
        <v>37</v>
      </c>
      <c r="S878" s="97">
        <v>33000</v>
      </c>
      <c r="T878" s="64" t="s">
        <v>33</v>
      </c>
      <c r="U878" s="65" t="s">
        <v>33</v>
      </c>
      <c r="V878" s="97" t="s">
        <v>28</v>
      </c>
      <c r="W878" s="97">
        <f t="shared" si="1780"/>
        <v>3500</v>
      </c>
      <c r="X878" s="97" t="s">
        <v>36</v>
      </c>
      <c r="Y878" s="97" t="s">
        <v>29</v>
      </c>
      <c r="Z878" s="105">
        <f t="shared" si="1781"/>
        <v>11.864406779661017</v>
      </c>
      <c r="AA878" s="93"/>
    </row>
    <row r="879" spans="1:27" s="101" customFormat="1" hidden="1">
      <c r="A879" s="97">
        <f>SUBTOTAL(3,C$2:C879)</f>
        <v>467</v>
      </c>
      <c r="B879" s="97" t="s">
        <v>1086</v>
      </c>
      <c r="C879" s="97" t="s">
        <v>216</v>
      </c>
      <c r="D879" s="97" t="s">
        <v>32</v>
      </c>
      <c r="E879" s="97" t="s">
        <v>33</v>
      </c>
      <c r="F879" s="101" t="s">
        <v>330</v>
      </c>
      <c r="G879" s="102" t="s">
        <v>50</v>
      </c>
      <c r="H879" s="103" t="s">
        <v>1832</v>
      </c>
      <c r="I879" s="104">
        <v>46161</v>
      </c>
      <c r="J879" s="97">
        <f t="shared" ca="1" si="1777"/>
        <v>23</v>
      </c>
      <c r="K879" s="97" t="str">
        <f t="shared" si="1778"/>
        <v>Pending</v>
      </c>
      <c r="L879" s="101" t="s">
        <v>586</v>
      </c>
      <c r="M879" s="97">
        <f>3000+44000</f>
        <v>47000</v>
      </c>
      <c r="N879" s="97">
        <v>40000</v>
      </c>
      <c r="O879" s="104">
        <v>46161</v>
      </c>
      <c r="P879" s="97">
        <f t="shared" si="1779"/>
        <v>7000</v>
      </c>
      <c r="Q879" s="97" t="s">
        <v>33</v>
      </c>
      <c r="R879" s="97" t="s">
        <v>52</v>
      </c>
      <c r="S879" s="97">
        <f>5000+48000</f>
        <v>53000</v>
      </c>
      <c r="T879" s="64" t="s">
        <v>33</v>
      </c>
      <c r="U879" s="65" t="s">
        <v>33</v>
      </c>
      <c r="V879" s="97" t="s">
        <v>28</v>
      </c>
      <c r="W879" s="97">
        <f t="shared" si="1780"/>
        <v>6000</v>
      </c>
      <c r="X879" s="97" t="s">
        <v>36</v>
      </c>
      <c r="Y879" s="97" t="s">
        <v>29</v>
      </c>
      <c r="Z879" s="105">
        <f t="shared" si="1781"/>
        <v>12.76595744680851</v>
      </c>
      <c r="AA879" s="93"/>
    </row>
    <row r="880" spans="1:27" s="101" customFormat="1" hidden="1">
      <c r="A880" s="97">
        <f>SUBTOTAL(3,C$2:C880)</f>
        <v>467</v>
      </c>
      <c r="B880" s="97" t="s">
        <v>1086</v>
      </c>
      <c r="C880" s="97" t="s">
        <v>31</v>
      </c>
      <c r="D880" s="97" t="s">
        <v>32</v>
      </c>
      <c r="E880" s="97" t="s">
        <v>33</v>
      </c>
      <c r="F880" s="101" t="s">
        <v>1095</v>
      </c>
      <c r="G880" s="102" t="s">
        <v>34</v>
      </c>
      <c r="H880" s="111" t="s">
        <v>1833</v>
      </c>
      <c r="I880" s="104">
        <v>46161</v>
      </c>
      <c r="J880" s="97">
        <f t="shared" ca="1" si="1777"/>
        <v>23</v>
      </c>
      <c r="K880" s="97" t="str">
        <f t="shared" si="1778"/>
        <v>Pending</v>
      </c>
      <c r="L880" s="101" t="s">
        <v>111</v>
      </c>
      <c r="M880" s="97">
        <v>11700</v>
      </c>
      <c r="N880" s="97">
        <v>10700</v>
      </c>
      <c r="O880" s="104">
        <v>46161</v>
      </c>
      <c r="P880" s="97">
        <f t="shared" si="1779"/>
        <v>1000</v>
      </c>
      <c r="Q880" s="97" t="s">
        <v>33</v>
      </c>
      <c r="R880" s="97" t="s">
        <v>112</v>
      </c>
      <c r="S880" s="97">
        <v>13500</v>
      </c>
      <c r="T880" s="64" t="s">
        <v>33</v>
      </c>
      <c r="U880" s="65" t="s">
        <v>33</v>
      </c>
      <c r="V880" s="97" t="s">
        <v>28</v>
      </c>
      <c r="W880" s="97">
        <f t="shared" si="1780"/>
        <v>1800</v>
      </c>
      <c r="X880" s="97" t="s">
        <v>963</v>
      </c>
      <c r="Y880" s="97" t="s">
        <v>29</v>
      </c>
      <c r="Z880" s="105">
        <f t="shared" si="1781"/>
        <v>15.384615384615385</v>
      </c>
      <c r="AA880" s="93"/>
    </row>
    <row r="881" spans="1:27" s="101" customFormat="1" hidden="1">
      <c r="A881" s="97">
        <f>SUBTOTAL(3,C$2:C881)</f>
        <v>467</v>
      </c>
      <c r="B881" s="97" t="s">
        <v>1086</v>
      </c>
      <c r="C881" s="97" t="s">
        <v>31</v>
      </c>
      <c r="D881" s="97" t="s">
        <v>32</v>
      </c>
      <c r="E881" s="97" t="s">
        <v>33</v>
      </c>
      <c r="F881" s="101" t="s">
        <v>375</v>
      </c>
      <c r="G881" s="102" t="s">
        <v>34</v>
      </c>
      <c r="H881" s="111" t="s">
        <v>1863</v>
      </c>
      <c r="I881" s="104">
        <v>46161</v>
      </c>
      <c r="J881" s="97">
        <f t="shared" ca="1" si="1777"/>
        <v>23</v>
      </c>
      <c r="K881" s="97" t="str">
        <f t="shared" si="1778"/>
        <v>Pending</v>
      </c>
      <c r="L881" s="101" t="s">
        <v>1411</v>
      </c>
      <c r="M881" s="97">
        <v>19000</v>
      </c>
      <c r="N881" s="97">
        <v>17000</v>
      </c>
      <c r="O881" s="104">
        <v>46162</v>
      </c>
      <c r="P881" s="97">
        <f t="shared" si="1779"/>
        <v>2000</v>
      </c>
      <c r="Q881" s="97" t="s">
        <v>33</v>
      </c>
      <c r="R881" s="97" t="s">
        <v>39</v>
      </c>
      <c r="S881" s="97">
        <v>21800</v>
      </c>
      <c r="T881" s="64" t="s">
        <v>33</v>
      </c>
      <c r="U881" s="65" t="s">
        <v>33</v>
      </c>
      <c r="V881" s="97" t="s">
        <v>28</v>
      </c>
      <c r="W881" s="97">
        <f t="shared" si="1780"/>
        <v>2800</v>
      </c>
      <c r="X881" s="97" t="s">
        <v>963</v>
      </c>
      <c r="Y881" s="97" t="s">
        <v>29</v>
      </c>
      <c r="Z881" s="105">
        <f t="shared" si="1781"/>
        <v>14.736842105263158</v>
      </c>
      <c r="AA881" s="93"/>
    </row>
    <row r="882" spans="1:27" s="101" customFormat="1" hidden="1">
      <c r="A882" s="97">
        <f>SUBTOTAL(3,C$2:C882)</f>
        <v>467</v>
      </c>
      <c r="B882" s="97" t="s">
        <v>1086</v>
      </c>
      <c r="C882" s="97" t="s">
        <v>1031</v>
      </c>
      <c r="D882" s="97" t="s">
        <v>32</v>
      </c>
      <c r="E882" s="97" t="s">
        <v>33</v>
      </c>
      <c r="F882" s="101" t="s">
        <v>283</v>
      </c>
      <c r="G882" s="102" t="s">
        <v>34</v>
      </c>
      <c r="H882" s="103" t="s">
        <v>1864</v>
      </c>
      <c r="I882" s="104">
        <v>46161</v>
      </c>
      <c r="J882" s="97">
        <f t="shared" ref="J882:J883" ca="1" si="1782">+TODAY()-I882</f>
        <v>23</v>
      </c>
      <c r="K882" s="97" t="str">
        <f t="shared" ref="K882:K883" si="1783">+U882</f>
        <v>Pending</v>
      </c>
      <c r="L882" s="101" t="s">
        <v>1848</v>
      </c>
      <c r="M882" s="97">
        <v>18300</v>
      </c>
      <c r="N882" s="97">
        <v>16500</v>
      </c>
      <c r="O882" s="104">
        <v>46162</v>
      </c>
      <c r="P882" s="97">
        <f t="shared" ref="P882:P883" si="1784">+M882-N882</f>
        <v>1800</v>
      </c>
      <c r="Q882" s="97" t="s">
        <v>33</v>
      </c>
      <c r="R882" s="97" t="s">
        <v>37</v>
      </c>
      <c r="S882" s="97">
        <v>21500</v>
      </c>
      <c r="T882" s="64" t="s">
        <v>33</v>
      </c>
      <c r="U882" s="65" t="s">
        <v>33</v>
      </c>
      <c r="V882" s="97" t="s">
        <v>28</v>
      </c>
      <c r="W882" s="97">
        <f t="shared" ref="W882:W883" si="1785">+S882-M882</f>
        <v>3200</v>
      </c>
      <c r="X882" s="97" t="s">
        <v>963</v>
      </c>
      <c r="Y882" s="97" t="s">
        <v>29</v>
      </c>
      <c r="Z882" s="105">
        <f t="shared" ref="Z882:Z883" si="1786">+W882*100/M882</f>
        <v>17.486338797814209</v>
      </c>
      <c r="AA882" s="93"/>
    </row>
    <row r="883" spans="1:27" s="101" customFormat="1" hidden="1">
      <c r="A883" s="97">
        <f>SUBTOTAL(3,C$2:C883)</f>
        <v>467</v>
      </c>
      <c r="B883" s="97" t="s">
        <v>1086</v>
      </c>
      <c r="C883" s="97" t="s">
        <v>80</v>
      </c>
      <c r="D883" s="97" t="s">
        <v>32</v>
      </c>
      <c r="E883" s="97" t="s">
        <v>33</v>
      </c>
      <c r="F883" s="101" t="s">
        <v>1849</v>
      </c>
      <c r="G883" s="102" t="s">
        <v>1215</v>
      </c>
      <c r="H883" s="111" t="s">
        <v>1865</v>
      </c>
      <c r="I883" s="104">
        <v>46161</v>
      </c>
      <c r="J883" s="97">
        <f t="shared" ca="1" si="1782"/>
        <v>23</v>
      </c>
      <c r="K883" s="97" t="str">
        <f t="shared" si="1783"/>
        <v>Pending</v>
      </c>
      <c r="L883" s="101" t="s">
        <v>995</v>
      </c>
      <c r="M883" s="97">
        <v>28000</v>
      </c>
      <c r="N883" s="97">
        <v>26000</v>
      </c>
      <c r="O883" s="104">
        <v>46162</v>
      </c>
      <c r="P883" s="97">
        <f t="shared" si="1784"/>
        <v>2000</v>
      </c>
      <c r="Q883" s="97" t="s">
        <v>33</v>
      </c>
      <c r="R883" s="97" t="s">
        <v>39</v>
      </c>
      <c r="S883" s="97">
        <v>31500</v>
      </c>
      <c r="T883" s="64" t="s">
        <v>33</v>
      </c>
      <c r="U883" s="65" t="s">
        <v>33</v>
      </c>
      <c r="V883" s="97" t="s">
        <v>28</v>
      </c>
      <c r="W883" s="97">
        <f t="shared" si="1785"/>
        <v>3500</v>
      </c>
      <c r="X883" s="97" t="s">
        <v>36</v>
      </c>
      <c r="Y883" s="97" t="s">
        <v>29</v>
      </c>
      <c r="Z883" s="105">
        <f t="shared" si="1786"/>
        <v>12.5</v>
      </c>
      <c r="AA883" s="93"/>
    </row>
    <row r="884" spans="1:27" s="101" customFormat="1" hidden="1">
      <c r="A884" s="97">
        <f>SUBTOTAL(3,C$2:C884)</f>
        <v>467</v>
      </c>
      <c r="B884" s="97" t="s">
        <v>1086</v>
      </c>
      <c r="C884" s="97" t="s">
        <v>119</v>
      </c>
      <c r="D884" s="97" t="s">
        <v>32</v>
      </c>
      <c r="E884" s="97" t="s">
        <v>33</v>
      </c>
      <c r="F884" s="101" t="s">
        <v>142</v>
      </c>
      <c r="G884" s="102" t="s">
        <v>50</v>
      </c>
      <c r="H884" s="103" t="s">
        <v>1866</v>
      </c>
      <c r="I884" s="104">
        <v>46161</v>
      </c>
      <c r="J884" s="97">
        <f t="shared" ref="J884:J887" ca="1" si="1787">+TODAY()-I884</f>
        <v>23</v>
      </c>
      <c r="K884" s="97">
        <f t="shared" ref="K884:K887" si="1788">+U884</f>
        <v>46170</v>
      </c>
      <c r="L884" s="101" t="s">
        <v>1850</v>
      </c>
      <c r="M884" s="97">
        <f>44000+3000</f>
        <v>47000</v>
      </c>
      <c r="N884" s="97">
        <v>40000</v>
      </c>
      <c r="O884" s="104">
        <v>46162</v>
      </c>
      <c r="P884" s="97">
        <f t="shared" ref="P884:P887" si="1789">+M884-N884</f>
        <v>7000</v>
      </c>
      <c r="Q884" s="97" t="s">
        <v>33</v>
      </c>
      <c r="R884" s="97" t="s">
        <v>52</v>
      </c>
      <c r="S884" s="97">
        <f>48000+5000</f>
        <v>53000</v>
      </c>
      <c r="T884" s="64" t="s">
        <v>2697</v>
      </c>
      <c r="U884" s="65">
        <v>46170</v>
      </c>
      <c r="V884" s="97" t="s">
        <v>28</v>
      </c>
      <c r="W884" s="97">
        <f t="shared" ref="W884:W887" si="1790">+S884-M884</f>
        <v>6000</v>
      </c>
      <c r="X884" s="97" t="s">
        <v>36</v>
      </c>
      <c r="Y884" s="97" t="s">
        <v>29</v>
      </c>
      <c r="Z884" s="105">
        <f t="shared" ref="Z884:Z887" si="1791">+W884*100/M884</f>
        <v>12.76595744680851</v>
      </c>
      <c r="AA884" s="93"/>
    </row>
    <row r="885" spans="1:27" s="101" customFormat="1" hidden="1">
      <c r="A885" s="97">
        <f>SUBTOTAL(3,C$2:C885)</f>
        <v>467</v>
      </c>
      <c r="B885" s="97" t="s">
        <v>1086</v>
      </c>
      <c r="C885" s="97" t="s">
        <v>284</v>
      </c>
      <c r="D885" s="97" t="s">
        <v>32</v>
      </c>
      <c r="E885" s="97" t="s">
        <v>33</v>
      </c>
      <c r="F885" s="101" t="s">
        <v>285</v>
      </c>
      <c r="G885" s="102" t="s">
        <v>50</v>
      </c>
      <c r="H885" s="103" t="s">
        <v>1867</v>
      </c>
      <c r="I885" s="104">
        <v>46161</v>
      </c>
      <c r="J885" s="97">
        <f t="shared" ca="1" si="1787"/>
        <v>23</v>
      </c>
      <c r="K885" s="97" t="str">
        <f t="shared" si="1788"/>
        <v>Pending</v>
      </c>
      <c r="L885" s="101" t="s">
        <v>1851</v>
      </c>
      <c r="M885" s="97">
        <v>44000</v>
      </c>
      <c r="N885" s="97">
        <v>40000</v>
      </c>
      <c r="O885" s="104">
        <v>46162</v>
      </c>
      <c r="P885" s="97">
        <f t="shared" si="1789"/>
        <v>4000</v>
      </c>
      <c r="Q885" s="97" t="s">
        <v>33</v>
      </c>
      <c r="R885" s="97" t="s">
        <v>52</v>
      </c>
      <c r="S885" s="97">
        <v>48000</v>
      </c>
      <c r="T885" s="64" t="s">
        <v>33</v>
      </c>
      <c r="U885" s="65" t="s">
        <v>33</v>
      </c>
      <c r="V885" s="97" t="s">
        <v>28</v>
      </c>
      <c r="W885" s="97">
        <f t="shared" si="1790"/>
        <v>4000</v>
      </c>
      <c r="X885" s="97" t="s">
        <v>36</v>
      </c>
      <c r="Y885" s="97" t="s">
        <v>29</v>
      </c>
      <c r="Z885" s="105">
        <f t="shared" si="1791"/>
        <v>9.0909090909090917</v>
      </c>
      <c r="AA885" s="93"/>
    </row>
    <row r="886" spans="1:27" s="101" customFormat="1" hidden="1">
      <c r="A886" s="97">
        <f>SUBTOTAL(3,C$2:C886)</f>
        <v>467</v>
      </c>
      <c r="B886" s="97" t="s">
        <v>1086</v>
      </c>
      <c r="C886" s="97" t="s">
        <v>80</v>
      </c>
      <c r="D886" s="97" t="s">
        <v>32</v>
      </c>
      <c r="E886" s="97" t="s">
        <v>33</v>
      </c>
      <c r="F886" s="101" t="s">
        <v>1854</v>
      </c>
      <c r="G886" s="102" t="s">
        <v>1215</v>
      </c>
      <c r="H886" s="103" t="s">
        <v>1868</v>
      </c>
      <c r="I886" s="104">
        <v>46161</v>
      </c>
      <c r="J886" s="97">
        <f t="shared" ca="1" si="1787"/>
        <v>23</v>
      </c>
      <c r="K886" s="97" t="str">
        <f t="shared" si="1788"/>
        <v>Pending</v>
      </c>
      <c r="L886" s="101" t="s">
        <v>995</v>
      </c>
      <c r="M886" s="97">
        <v>28000</v>
      </c>
      <c r="N886" s="97">
        <v>26000</v>
      </c>
      <c r="O886" s="104">
        <v>46162</v>
      </c>
      <c r="P886" s="97">
        <f t="shared" si="1789"/>
        <v>2000</v>
      </c>
      <c r="Q886" s="97" t="s">
        <v>33</v>
      </c>
      <c r="R886" s="97" t="s">
        <v>2244</v>
      </c>
      <c r="S886" s="97">
        <v>31500</v>
      </c>
      <c r="T886" s="64" t="s">
        <v>33</v>
      </c>
      <c r="U886" s="65" t="s">
        <v>33</v>
      </c>
      <c r="V886" s="97" t="s">
        <v>28</v>
      </c>
      <c r="W886" s="97">
        <f t="shared" si="1790"/>
        <v>3500</v>
      </c>
      <c r="X886" s="97" t="s">
        <v>36</v>
      </c>
      <c r="Y886" s="97" t="s">
        <v>29</v>
      </c>
      <c r="Z886" s="105">
        <f t="shared" si="1791"/>
        <v>12.5</v>
      </c>
      <c r="AA886" s="93"/>
    </row>
    <row r="887" spans="1:27" s="101" customFormat="1" hidden="1">
      <c r="A887" s="97">
        <f>SUBTOTAL(3,C$2:C887)</f>
        <v>467</v>
      </c>
      <c r="B887" s="97" t="s">
        <v>1086</v>
      </c>
      <c r="C887" s="97" t="s">
        <v>31</v>
      </c>
      <c r="D887" s="97" t="s">
        <v>32</v>
      </c>
      <c r="E887" s="97" t="s">
        <v>33</v>
      </c>
      <c r="F887" s="101" t="s">
        <v>354</v>
      </c>
      <c r="G887" s="102" t="s">
        <v>34</v>
      </c>
      <c r="H887" s="103" t="s">
        <v>1869</v>
      </c>
      <c r="I887" s="104">
        <v>46162</v>
      </c>
      <c r="J887" s="97">
        <f t="shared" ca="1" si="1787"/>
        <v>22</v>
      </c>
      <c r="K887" s="97" t="str">
        <f t="shared" si="1788"/>
        <v>Pending</v>
      </c>
      <c r="L887" s="101" t="s">
        <v>1411</v>
      </c>
      <c r="M887" s="97">
        <v>19000</v>
      </c>
      <c r="N887" s="97">
        <v>17000</v>
      </c>
      <c r="O887" s="104">
        <v>46162</v>
      </c>
      <c r="P887" s="97">
        <f t="shared" si="1789"/>
        <v>2000</v>
      </c>
      <c r="Q887" s="97" t="s">
        <v>33</v>
      </c>
      <c r="R887" s="97" t="s">
        <v>39</v>
      </c>
      <c r="S887" s="97">
        <v>21800</v>
      </c>
      <c r="T887" s="64" t="s">
        <v>33</v>
      </c>
      <c r="U887" s="65" t="s">
        <v>33</v>
      </c>
      <c r="V887" s="97" t="s">
        <v>28</v>
      </c>
      <c r="W887" s="97">
        <f t="shared" si="1790"/>
        <v>2800</v>
      </c>
      <c r="X887" s="97" t="s">
        <v>963</v>
      </c>
      <c r="Y887" s="97" t="s">
        <v>29</v>
      </c>
      <c r="Z887" s="105">
        <f t="shared" si="1791"/>
        <v>14.736842105263158</v>
      </c>
      <c r="AA887" s="93"/>
    </row>
    <row r="888" spans="1:27" s="101" customFormat="1" hidden="1">
      <c r="A888" s="97">
        <f>SUBTOTAL(3,C$2:C888)</f>
        <v>467</v>
      </c>
      <c r="B888" s="97" t="s">
        <v>1086</v>
      </c>
      <c r="C888" s="97" t="s">
        <v>31</v>
      </c>
      <c r="D888" s="97" t="s">
        <v>32</v>
      </c>
      <c r="E888" s="97" t="s">
        <v>33</v>
      </c>
      <c r="F888" s="101" t="s">
        <v>253</v>
      </c>
      <c r="G888" s="102" t="s">
        <v>34</v>
      </c>
      <c r="H888" s="103" t="s">
        <v>1870</v>
      </c>
      <c r="I888" s="104">
        <v>46162</v>
      </c>
      <c r="J888" s="97">
        <f t="shared" ref="J888:J889" ca="1" si="1792">+TODAY()-I888</f>
        <v>22</v>
      </c>
      <c r="K888" s="97" t="str">
        <f t="shared" ref="K888:K889" si="1793">+U888</f>
        <v>Pending</v>
      </c>
      <c r="L888" s="101" t="s">
        <v>483</v>
      </c>
      <c r="M888" s="97">
        <v>23300</v>
      </c>
      <c r="N888" s="97">
        <v>21500</v>
      </c>
      <c r="O888" s="104">
        <v>46162</v>
      </c>
      <c r="P888" s="97">
        <f t="shared" ref="P888:P889" si="1794">+M888-N888</f>
        <v>1800</v>
      </c>
      <c r="Q888" s="97" t="s">
        <v>33</v>
      </c>
      <c r="R888" s="97" t="s">
        <v>37</v>
      </c>
      <c r="S888" s="97">
        <v>26000</v>
      </c>
      <c r="T888" s="64" t="s">
        <v>33</v>
      </c>
      <c r="U888" s="65" t="s">
        <v>33</v>
      </c>
      <c r="V888" s="97" t="s">
        <v>28</v>
      </c>
      <c r="W888" s="97">
        <f t="shared" ref="W888:W889" si="1795">+S888-M888</f>
        <v>2700</v>
      </c>
      <c r="X888" s="97" t="s">
        <v>963</v>
      </c>
      <c r="Y888" s="97" t="s">
        <v>29</v>
      </c>
      <c r="Z888" s="105">
        <f t="shared" ref="Z888:Z889" si="1796">+W888*100/M888</f>
        <v>11.587982832618026</v>
      </c>
      <c r="AA888" s="93"/>
    </row>
    <row r="889" spans="1:27" s="101" customFormat="1" hidden="1">
      <c r="A889" s="97">
        <f>SUBTOTAL(3,C$2:C889)</f>
        <v>467</v>
      </c>
      <c r="B889" s="97" t="s">
        <v>1086</v>
      </c>
      <c r="C889" s="97" t="s">
        <v>44</v>
      </c>
      <c r="D889" s="97" t="s">
        <v>32</v>
      </c>
      <c r="E889" s="97" t="s">
        <v>33</v>
      </c>
      <c r="F889" s="101" t="s">
        <v>1856</v>
      </c>
      <c r="G889" s="102" t="s">
        <v>994</v>
      </c>
      <c r="H889" s="111" t="s">
        <v>1871</v>
      </c>
      <c r="I889" s="104">
        <v>46162</v>
      </c>
      <c r="J889" s="97">
        <f t="shared" ca="1" si="1792"/>
        <v>22</v>
      </c>
      <c r="K889" s="97" t="str">
        <f t="shared" si="1793"/>
        <v>Pending</v>
      </c>
      <c r="L889" s="101" t="s">
        <v>995</v>
      </c>
      <c r="M889" s="97">
        <v>39000</v>
      </c>
      <c r="N889" s="97">
        <v>36000</v>
      </c>
      <c r="O889" s="104">
        <v>46162</v>
      </c>
      <c r="P889" s="97">
        <f t="shared" si="1794"/>
        <v>3000</v>
      </c>
      <c r="Q889" s="97" t="s">
        <v>33</v>
      </c>
      <c r="R889" s="97" t="s">
        <v>52</v>
      </c>
      <c r="S889" s="97">
        <v>44000</v>
      </c>
      <c r="T889" s="64" t="s">
        <v>33</v>
      </c>
      <c r="U889" s="65" t="s">
        <v>33</v>
      </c>
      <c r="V889" s="97" t="s">
        <v>28</v>
      </c>
      <c r="W889" s="97">
        <f t="shared" si="1795"/>
        <v>5000</v>
      </c>
      <c r="X889" s="97" t="s">
        <v>36</v>
      </c>
      <c r="Y889" s="97" t="s">
        <v>29</v>
      </c>
      <c r="Z889" s="105">
        <f t="shared" si="1796"/>
        <v>12.820512820512821</v>
      </c>
      <c r="AA889" s="93"/>
    </row>
    <row r="890" spans="1:27" s="101" customFormat="1" hidden="1">
      <c r="A890" s="97">
        <f>SUBTOTAL(3,C$2:C890)</f>
        <v>467</v>
      </c>
      <c r="B890" s="97" t="s">
        <v>1086</v>
      </c>
      <c r="C890" s="97" t="s">
        <v>31</v>
      </c>
      <c r="D890" s="97" t="s">
        <v>32</v>
      </c>
      <c r="E890" s="97" t="s">
        <v>33</v>
      </c>
      <c r="F890" s="101" t="s">
        <v>346</v>
      </c>
      <c r="G890" s="102" t="s">
        <v>34</v>
      </c>
      <c r="H890" s="103" t="s">
        <v>1872</v>
      </c>
      <c r="I890" s="104">
        <v>46162</v>
      </c>
      <c r="J890" s="97">
        <f t="shared" ref="J890:J892" ca="1" si="1797">+TODAY()-I890</f>
        <v>22</v>
      </c>
      <c r="K890" s="97" t="str">
        <f t="shared" ref="K890:K892" si="1798">+U890</f>
        <v>Pending</v>
      </c>
      <c r="L890" s="101" t="s">
        <v>1697</v>
      </c>
      <c r="M890" s="97">
        <v>18300</v>
      </c>
      <c r="N890" s="97">
        <v>16500</v>
      </c>
      <c r="O890" s="104">
        <v>46162</v>
      </c>
      <c r="P890" s="97">
        <f t="shared" ref="P890:P892" si="1799">+M890-N890</f>
        <v>1800</v>
      </c>
      <c r="Q890" s="97" t="s">
        <v>33</v>
      </c>
      <c r="R890" s="97" t="s">
        <v>37</v>
      </c>
      <c r="S890" s="97">
        <v>21500</v>
      </c>
      <c r="T890" s="64" t="s">
        <v>33</v>
      </c>
      <c r="U890" s="65" t="s">
        <v>33</v>
      </c>
      <c r="V890" s="97" t="s">
        <v>28</v>
      </c>
      <c r="W890" s="97">
        <f t="shared" ref="W890:W892" si="1800">+S890-M890</f>
        <v>3200</v>
      </c>
      <c r="X890" s="97" t="s">
        <v>963</v>
      </c>
      <c r="Y890" s="97" t="s">
        <v>29</v>
      </c>
      <c r="Z890" s="105">
        <f t="shared" ref="Z890:Z892" si="1801">+W890*100/M890</f>
        <v>17.486338797814209</v>
      </c>
      <c r="AA890" s="93"/>
    </row>
    <row r="891" spans="1:27" s="101" customFormat="1" hidden="1">
      <c r="A891" s="97">
        <f>SUBTOTAL(3,C$2:C891)</f>
        <v>467</v>
      </c>
      <c r="B891" s="97" t="s">
        <v>1086</v>
      </c>
      <c r="C891" s="97" t="s">
        <v>80</v>
      </c>
      <c r="D891" s="97" t="s">
        <v>32</v>
      </c>
      <c r="E891" s="97" t="s">
        <v>33</v>
      </c>
      <c r="F891" s="101" t="s">
        <v>1857</v>
      </c>
      <c r="G891" s="102" t="s">
        <v>1215</v>
      </c>
      <c r="H891" s="103" t="s">
        <v>1873</v>
      </c>
      <c r="I891" s="104">
        <v>46162</v>
      </c>
      <c r="J891" s="97">
        <f t="shared" ca="1" si="1797"/>
        <v>22</v>
      </c>
      <c r="K891" s="97" t="str">
        <f t="shared" si="1798"/>
        <v>Pending</v>
      </c>
      <c r="L891" s="101" t="s">
        <v>1858</v>
      </c>
      <c r="M891" s="97">
        <v>28000</v>
      </c>
      <c r="N891" s="97">
        <v>26000</v>
      </c>
      <c r="O891" s="104">
        <v>46162</v>
      </c>
      <c r="P891" s="97">
        <f t="shared" si="1799"/>
        <v>2000</v>
      </c>
      <c r="Q891" s="97" t="s">
        <v>33</v>
      </c>
      <c r="R891" s="97" t="s">
        <v>39</v>
      </c>
      <c r="S891" s="97">
        <v>31500</v>
      </c>
      <c r="T891" s="64" t="s">
        <v>33</v>
      </c>
      <c r="U891" s="65" t="s">
        <v>33</v>
      </c>
      <c r="V891" s="97" t="s">
        <v>28</v>
      </c>
      <c r="W891" s="97">
        <f t="shared" si="1800"/>
        <v>3500</v>
      </c>
      <c r="X891" s="97" t="s">
        <v>36</v>
      </c>
      <c r="Y891" s="97" t="s">
        <v>29</v>
      </c>
      <c r="Z891" s="105">
        <f t="shared" si="1801"/>
        <v>12.5</v>
      </c>
      <c r="AA891" s="93"/>
    </row>
    <row r="892" spans="1:27" s="101" customFormat="1" hidden="1">
      <c r="A892" s="97">
        <f>SUBTOTAL(3,C$2:C892)</f>
        <v>467</v>
      </c>
      <c r="B892" s="97" t="s">
        <v>1086</v>
      </c>
      <c r="C892" s="97" t="s">
        <v>44</v>
      </c>
      <c r="D892" s="97" t="s">
        <v>32</v>
      </c>
      <c r="E892" s="97" t="s">
        <v>33</v>
      </c>
      <c r="F892" s="101" t="s">
        <v>1859</v>
      </c>
      <c r="G892" s="102" t="s">
        <v>994</v>
      </c>
      <c r="H892" s="111" t="s">
        <v>1874</v>
      </c>
      <c r="I892" s="104">
        <v>46162</v>
      </c>
      <c r="J892" s="97">
        <f t="shared" ca="1" si="1797"/>
        <v>22</v>
      </c>
      <c r="K892" s="97" t="str">
        <f t="shared" si="1798"/>
        <v>Pending</v>
      </c>
      <c r="L892" s="101" t="s">
        <v>995</v>
      </c>
      <c r="M892" s="97">
        <v>39000</v>
      </c>
      <c r="N892" s="97">
        <v>36000</v>
      </c>
      <c r="O892" s="104">
        <v>46162</v>
      </c>
      <c r="P892" s="97">
        <f t="shared" si="1799"/>
        <v>3000</v>
      </c>
      <c r="Q892" s="97" t="s">
        <v>33</v>
      </c>
      <c r="R892" s="97" t="s">
        <v>52</v>
      </c>
      <c r="S892" s="97">
        <v>44000</v>
      </c>
      <c r="T892" s="64" t="s">
        <v>33</v>
      </c>
      <c r="U892" s="65" t="s">
        <v>33</v>
      </c>
      <c r="V892" s="97" t="s">
        <v>28</v>
      </c>
      <c r="W892" s="97">
        <f t="shared" si="1800"/>
        <v>5000</v>
      </c>
      <c r="X892" s="97" t="s">
        <v>36</v>
      </c>
      <c r="Y892" s="97" t="s">
        <v>29</v>
      </c>
      <c r="Z892" s="105">
        <f t="shared" si="1801"/>
        <v>12.820512820512821</v>
      </c>
      <c r="AA892" s="93"/>
    </row>
    <row r="893" spans="1:27" s="101" customFormat="1" hidden="1">
      <c r="A893" s="97">
        <f>SUBTOTAL(3,C$2:C893)</f>
        <v>467</v>
      </c>
      <c r="B893" s="97" t="s">
        <v>1086</v>
      </c>
      <c r="C893" s="97" t="s">
        <v>44</v>
      </c>
      <c r="D893" s="97" t="s">
        <v>32</v>
      </c>
      <c r="E893" s="97" t="s">
        <v>33</v>
      </c>
      <c r="F893" s="101" t="s">
        <v>120</v>
      </c>
      <c r="G893" s="102" t="s">
        <v>143</v>
      </c>
      <c r="H893" s="103" t="s">
        <v>1875</v>
      </c>
      <c r="I893" s="104">
        <v>46162</v>
      </c>
      <c r="J893" s="97">
        <f t="shared" ref="J893:J896" ca="1" si="1802">+TODAY()-I893</f>
        <v>22</v>
      </c>
      <c r="K893" s="97" t="str">
        <f t="shared" ref="K893:K896" si="1803">+U893</f>
        <v>Pending</v>
      </c>
      <c r="L893" s="101" t="s">
        <v>144</v>
      </c>
      <c r="M893" s="97">
        <v>31500</v>
      </c>
      <c r="N893" s="97">
        <v>28500</v>
      </c>
      <c r="O893" s="104">
        <v>46162</v>
      </c>
      <c r="P893" s="97">
        <f t="shared" ref="P893:P896" si="1804">+M893-N893</f>
        <v>3000</v>
      </c>
      <c r="Q893" s="97" t="s">
        <v>33</v>
      </c>
      <c r="R893" s="97" t="s">
        <v>39</v>
      </c>
      <c r="S893" s="97">
        <v>35000</v>
      </c>
      <c r="T893" s="64" t="s">
        <v>33</v>
      </c>
      <c r="U893" s="65" t="s">
        <v>33</v>
      </c>
      <c r="V893" s="97" t="s">
        <v>28</v>
      </c>
      <c r="W893" s="97">
        <f t="shared" ref="W893:W896" si="1805">+S893-M893</f>
        <v>3500</v>
      </c>
      <c r="X893" s="97" t="s">
        <v>36</v>
      </c>
      <c r="Y893" s="97" t="s">
        <v>29</v>
      </c>
      <c r="Z893" s="105">
        <f t="shared" ref="Z893:Z896" si="1806">+W893*100/M893</f>
        <v>11.111111111111111</v>
      </c>
      <c r="AA893" s="93"/>
    </row>
    <row r="894" spans="1:27" s="101" customFormat="1" hidden="1">
      <c r="A894" s="97">
        <f>SUBTOTAL(3,C$2:C894)</f>
        <v>467</v>
      </c>
      <c r="B894" s="97" t="s">
        <v>1086</v>
      </c>
      <c r="C894" s="97" t="s">
        <v>31</v>
      </c>
      <c r="D894" s="97" t="s">
        <v>32</v>
      </c>
      <c r="E894" s="97" t="s">
        <v>33</v>
      </c>
      <c r="F894" s="101" t="s">
        <v>1861</v>
      </c>
      <c r="G894" s="102" t="s">
        <v>34</v>
      </c>
      <c r="H894" s="103" t="s">
        <v>1877</v>
      </c>
      <c r="I894" s="104">
        <v>46162</v>
      </c>
      <c r="J894" s="97">
        <f t="shared" ca="1" si="1802"/>
        <v>22</v>
      </c>
      <c r="K894" s="97" t="str">
        <f t="shared" si="1803"/>
        <v>Pending</v>
      </c>
      <c r="L894" s="101" t="s">
        <v>1697</v>
      </c>
      <c r="M894" s="97">
        <v>18300</v>
      </c>
      <c r="N894" s="97">
        <v>16500</v>
      </c>
      <c r="O894" s="104">
        <v>46162</v>
      </c>
      <c r="P894" s="97">
        <f t="shared" si="1804"/>
        <v>1800</v>
      </c>
      <c r="Q894" s="97" t="s">
        <v>33</v>
      </c>
      <c r="R894" s="97" t="s">
        <v>37</v>
      </c>
      <c r="S894" s="97">
        <v>21500</v>
      </c>
      <c r="T894" s="64" t="s">
        <v>33</v>
      </c>
      <c r="U894" s="65" t="s">
        <v>33</v>
      </c>
      <c r="V894" s="97" t="s">
        <v>28</v>
      </c>
      <c r="W894" s="97">
        <f t="shared" si="1805"/>
        <v>3200</v>
      </c>
      <c r="X894" s="97" t="s">
        <v>963</v>
      </c>
      <c r="Y894" s="97" t="s">
        <v>29</v>
      </c>
      <c r="Z894" s="105">
        <f t="shared" si="1806"/>
        <v>17.486338797814209</v>
      </c>
      <c r="AA894" s="93"/>
    </row>
    <row r="895" spans="1:27" s="101" customFormat="1" hidden="1">
      <c r="A895" s="97">
        <f>SUBTOTAL(3,C$2:C895)</f>
        <v>467</v>
      </c>
      <c r="B895" s="97" t="s">
        <v>1086</v>
      </c>
      <c r="C895" s="97" t="s">
        <v>80</v>
      </c>
      <c r="D895" s="97" t="s">
        <v>32</v>
      </c>
      <c r="E895" s="97" t="s">
        <v>33</v>
      </c>
      <c r="F895" s="101" t="s">
        <v>1862</v>
      </c>
      <c r="G895" s="102" t="s">
        <v>1215</v>
      </c>
      <c r="H895" s="111" t="s">
        <v>1878</v>
      </c>
      <c r="I895" s="104">
        <v>46162</v>
      </c>
      <c r="J895" s="97">
        <f t="shared" ca="1" si="1802"/>
        <v>22</v>
      </c>
      <c r="K895" s="97" t="str">
        <f t="shared" si="1803"/>
        <v>Pending</v>
      </c>
      <c r="L895" s="101" t="s">
        <v>1858</v>
      </c>
      <c r="M895" s="97">
        <v>28000</v>
      </c>
      <c r="N895" s="97">
        <v>26000</v>
      </c>
      <c r="O895" s="104">
        <v>46162</v>
      </c>
      <c r="P895" s="97">
        <f t="shared" si="1804"/>
        <v>2000</v>
      </c>
      <c r="Q895" s="97" t="s">
        <v>33</v>
      </c>
      <c r="R895" s="97" t="s">
        <v>39</v>
      </c>
      <c r="S895" s="97">
        <v>31500</v>
      </c>
      <c r="T895" s="64" t="s">
        <v>33</v>
      </c>
      <c r="U895" s="65" t="s">
        <v>33</v>
      </c>
      <c r="V895" s="97" t="s">
        <v>28</v>
      </c>
      <c r="W895" s="97">
        <f t="shared" si="1805"/>
        <v>3500</v>
      </c>
      <c r="X895" s="97" t="s">
        <v>36</v>
      </c>
      <c r="Y895" s="97" t="s">
        <v>29</v>
      </c>
      <c r="Z895" s="105">
        <f t="shared" si="1806"/>
        <v>12.5</v>
      </c>
      <c r="AA895" s="93"/>
    </row>
    <row r="896" spans="1:27" s="101" customFormat="1" hidden="1">
      <c r="A896" s="97">
        <f>SUBTOTAL(3,C$2:C896)</f>
        <v>467</v>
      </c>
      <c r="B896" s="97" t="s">
        <v>1086</v>
      </c>
      <c r="C896" s="97" t="s">
        <v>44</v>
      </c>
      <c r="D896" s="97" t="s">
        <v>32</v>
      </c>
      <c r="E896" s="97" t="s">
        <v>33</v>
      </c>
      <c r="F896" s="101" t="s">
        <v>1030</v>
      </c>
      <c r="G896" s="102">
        <v>407</v>
      </c>
      <c r="H896" s="103" t="s">
        <v>1879</v>
      </c>
      <c r="I896" s="104">
        <v>46161</v>
      </c>
      <c r="J896" s="97">
        <f t="shared" ca="1" si="1802"/>
        <v>23</v>
      </c>
      <c r="K896" s="97">
        <f t="shared" si="1803"/>
        <v>46169</v>
      </c>
      <c r="L896" s="101" t="s">
        <v>84</v>
      </c>
      <c r="M896" s="97">
        <v>27000</v>
      </c>
      <c r="N896" s="97">
        <v>25000</v>
      </c>
      <c r="O896" s="104">
        <v>46162</v>
      </c>
      <c r="P896" s="97">
        <f t="shared" si="1804"/>
        <v>2000</v>
      </c>
      <c r="Q896" s="97" t="s">
        <v>33</v>
      </c>
      <c r="R896" s="97" t="s">
        <v>56</v>
      </c>
      <c r="S896" s="97">
        <v>29800</v>
      </c>
      <c r="T896" s="64" t="s">
        <v>2701</v>
      </c>
      <c r="U896" s="65">
        <v>46169</v>
      </c>
      <c r="V896" s="97" t="s">
        <v>28</v>
      </c>
      <c r="W896" s="97">
        <f t="shared" si="1805"/>
        <v>2800</v>
      </c>
      <c r="X896" s="97" t="s">
        <v>36</v>
      </c>
      <c r="Y896" s="97" t="s">
        <v>29</v>
      </c>
      <c r="Z896" s="105">
        <f t="shared" si="1806"/>
        <v>10.37037037037037</v>
      </c>
      <c r="AA896" s="93"/>
    </row>
    <row r="897" spans="1:27" s="101" customFormat="1" hidden="1">
      <c r="A897" s="97">
        <f>SUBTOTAL(3,C$2:C897)</f>
        <v>467</v>
      </c>
      <c r="B897" s="97" t="s">
        <v>1086</v>
      </c>
      <c r="C897" s="97" t="s">
        <v>44</v>
      </c>
      <c r="D897" s="97" t="s">
        <v>32</v>
      </c>
      <c r="E897" s="97" t="s">
        <v>33</v>
      </c>
      <c r="F897" s="101" t="s">
        <v>1860</v>
      </c>
      <c r="G897" s="102" t="s">
        <v>46</v>
      </c>
      <c r="H897" s="103" t="s">
        <v>1876</v>
      </c>
      <c r="I897" s="104">
        <v>46162</v>
      </c>
      <c r="J897" s="97">
        <f t="shared" ref="J897" ca="1" si="1807">+TODAY()-I897</f>
        <v>22</v>
      </c>
      <c r="K897" s="97">
        <f t="shared" ref="K897" si="1808">+U897</f>
        <v>46169</v>
      </c>
      <c r="L897" s="101" t="s">
        <v>144</v>
      </c>
      <c r="M897" s="97">
        <v>19000</v>
      </c>
      <c r="N897" s="97">
        <v>17000</v>
      </c>
      <c r="O897" s="104">
        <v>46162</v>
      </c>
      <c r="P897" s="97">
        <f t="shared" ref="P897" si="1809">+M897-N897</f>
        <v>2000</v>
      </c>
      <c r="Q897" s="97" t="s">
        <v>33</v>
      </c>
      <c r="R897" s="97" t="s">
        <v>39</v>
      </c>
      <c r="S897" s="97">
        <v>21800</v>
      </c>
      <c r="T897" s="64" t="s">
        <v>2694</v>
      </c>
      <c r="U897" s="65">
        <v>46169</v>
      </c>
      <c r="V897" s="97" t="s">
        <v>28</v>
      </c>
      <c r="W897" s="97">
        <f t="shared" ref="W897" si="1810">+S897-M897</f>
        <v>2800</v>
      </c>
      <c r="X897" s="97" t="s">
        <v>36</v>
      </c>
      <c r="Y897" s="97" t="s">
        <v>29</v>
      </c>
      <c r="Z897" s="105">
        <f t="shared" ref="Z897" si="1811">+W897*100/M897</f>
        <v>14.736842105263158</v>
      </c>
      <c r="AA897" s="93"/>
    </row>
    <row r="898" spans="1:27" s="101" customFormat="1" hidden="1">
      <c r="A898" s="97">
        <f>SUBTOTAL(3,C$2:C898)</f>
        <v>467</v>
      </c>
      <c r="B898" s="97" t="s">
        <v>1086</v>
      </c>
      <c r="C898" s="97" t="s">
        <v>44</v>
      </c>
      <c r="D898" s="97" t="s">
        <v>32</v>
      </c>
      <c r="E898" s="97" t="s">
        <v>33</v>
      </c>
      <c r="F898" s="101" t="s">
        <v>513</v>
      </c>
      <c r="G898" s="102">
        <v>407</v>
      </c>
      <c r="H898" s="111" t="s">
        <v>1880</v>
      </c>
      <c r="I898" s="104">
        <v>46161</v>
      </c>
      <c r="J898" s="97">
        <f t="shared" ref="J898:J899" ca="1" si="1812">+TODAY()-I898</f>
        <v>23</v>
      </c>
      <c r="K898" s="97" t="str">
        <f t="shared" ref="K898:K899" si="1813">+U898</f>
        <v>Pending</v>
      </c>
      <c r="L898" s="101" t="s">
        <v>381</v>
      </c>
      <c r="M898" s="97">
        <v>28000</v>
      </c>
      <c r="N898" s="97">
        <v>25000</v>
      </c>
      <c r="O898" s="104">
        <v>46162</v>
      </c>
      <c r="P898" s="97">
        <f t="shared" ref="P898:P899" si="1814">+M898-N898</f>
        <v>3000</v>
      </c>
      <c r="Q898" s="97" t="s">
        <v>33</v>
      </c>
      <c r="R898" s="97" t="s">
        <v>56</v>
      </c>
      <c r="S898" s="97">
        <v>30800</v>
      </c>
      <c r="T898" s="64" t="s">
        <v>33</v>
      </c>
      <c r="U898" s="65" t="s">
        <v>33</v>
      </c>
      <c r="V898" s="97" t="s">
        <v>28</v>
      </c>
      <c r="W898" s="97">
        <f t="shared" ref="W898:W899" si="1815">+S898-M898</f>
        <v>2800</v>
      </c>
      <c r="X898" s="97" t="s">
        <v>36</v>
      </c>
      <c r="Y898" s="97" t="s">
        <v>29</v>
      </c>
      <c r="Z898" s="105">
        <f t="shared" ref="Z898:Z899" si="1816">+W898*100/M898</f>
        <v>10</v>
      </c>
      <c r="AA898" s="93"/>
    </row>
    <row r="899" spans="1:27" s="101" customFormat="1" hidden="1">
      <c r="A899" s="97">
        <f>SUBTOTAL(3,C$2:C899)</f>
        <v>467</v>
      </c>
      <c r="B899" s="97" t="s">
        <v>1086</v>
      </c>
      <c r="C899" s="97" t="s">
        <v>31</v>
      </c>
      <c r="D899" s="97" t="s">
        <v>32</v>
      </c>
      <c r="E899" s="97" t="s">
        <v>33</v>
      </c>
      <c r="F899" s="101" t="s">
        <v>147</v>
      </c>
      <c r="G899" s="102" t="s">
        <v>34</v>
      </c>
      <c r="H899" s="111" t="s">
        <v>1881</v>
      </c>
      <c r="I899" s="104">
        <v>46162</v>
      </c>
      <c r="J899" s="97">
        <f t="shared" ca="1" si="1812"/>
        <v>22</v>
      </c>
      <c r="K899" s="97" t="str">
        <f t="shared" si="1813"/>
        <v>Pending</v>
      </c>
      <c r="L899" s="101" t="s">
        <v>1411</v>
      </c>
      <c r="M899" s="97">
        <v>19000</v>
      </c>
      <c r="N899" s="97">
        <v>17000</v>
      </c>
      <c r="O899" s="104">
        <v>46162</v>
      </c>
      <c r="P899" s="97">
        <f t="shared" si="1814"/>
        <v>2000</v>
      </c>
      <c r="Q899" s="97" t="s">
        <v>33</v>
      </c>
      <c r="R899" s="97" t="s">
        <v>39</v>
      </c>
      <c r="S899" s="97">
        <v>21800</v>
      </c>
      <c r="T899" s="64" t="s">
        <v>33</v>
      </c>
      <c r="U899" s="65" t="s">
        <v>33</v>
      </c>
      <c r="V899" s="97" t="s">
        <v>28</v>
      </c>
      <c r="W899" s="97">
        <f t="shared" si="1815"/>
        <v>2800</v>
      </c>
      <c r="X899" s="97" t="s">
        <v>963</v>
      </c>
      <c r="Y899" s="97" t="s">
        <v>29</v>
      </c>
      <c r="Z899" s="105">
        <f t="shared" si="1816"/>
        <v>14.736842105263158</v>
      </c>
      <c r="AA899" s="93"/>
    </row>
    <row r="900" spans="1:27" s="101" customFormat="1" hidden="1">
      <c r="A900" s="97">
        <f>SUBTOTAL(3,C$2:C900)</f>
        <v>467</v>
      </c>
      <c r="B900" s="97" t="s">
        <v>1086</v>
      </c>
      <c r="C900" s="97" t="s">
        <v>44</v>
      </c>
      <c r="D900" s="97" t="s">
        <v>32</v>
      </c>
      <c r="E900" s="97" t="s">
        <v>33</v>
      </c>
      <c r="F900" s="101" t="s">
        <v>1883</v>
      </c>
      <c r="G900" s="102">
        <v>407</v>
      </c>
      <c r="H900" s="111" t="s">
        <v>1882</v>
      </c>
      <c r="I900" s="104">
        <v>46162</v>
      </c>
      <c r="J900" s="97">
        <f t="shared" ref="J900:J901" ca="1" si="1817">+TODAY()-I900</f>
        <v>22</v>
      </c>
      <c r="K900" s="97" t="str">
        <f t="shared" ref="K900:K901" si="1818">+U900</f>
        <v>Pending</v>
      </c>
      <c r="L900" s="101" t="s">
        <v>687</v>
      </c>
      <c r="M900" s="97">
        <v>29500</v>
      </c>
      <c r="N900" s="97">
        <v>27500</v>
      </c>
      <c r="O900" s="104">
        <v>46162</v>
      </c>
      <c r="P900" s="97">
        <f t="shared" ref="P900:P901" si="1819">+M900-N900</f>
        <v>2000</v>
      </c>
      <c r="Q900" s="97" t="s">
        <v>33</v>
      </c>
      <c r="R900" s="97" t="s">
        <v>52</v>
      </c>
      <c r="S900" s="97">
        <v>32500</v>
      </c>
      <c r="T900" s="64" t="s">
        <v>33</v>
      </c>
      <c r="U900" s="65" t="s">
        <v>33</v>
      </c>
      <c r="V900" s="97" t="s">
        <v>28</v>
      </c>
      <c r="W900" s="97">
        <f t="shared" ref="W900:W901" si="1820">+S900-M900</f>
        <v>3000</v>
      </c>
      <c r="X900" s="97" t="s">
        <v>36</v>
      </c>
      <c r="Y900" s="97" t="s">
        <v>29</v>
      </c>
      <c r="Z900" s="105">
        <f t="shared" ref="Z900:Z901" si="1821">+W900*100/M900</f>
        <v>10.169491525423728</v>
      </c>
      <c r="AA900" s="93"/>
    </row>
    <row r="901" spans="1:27" s="101" customFormat="1" hidden="1">
      <c r="A901" s="97">
        <f>SUBTOTAL(3,C$2:C901)</f>
        <v>467</v>
      </c>
      <c r="B901" s="97" t="s">
        <v>1086</v>
      </c>
      <c r="C901" s="97" t="s">
        <v>1031</v>
      </c>
      <c r="D901" s="97" t="s">
        <v>32</v>
      </c>
      <c r="E901" s="97" t="s">
        <v>33</v>
      </c>
      <c r="F901" s="101" t="s">
        <v>1895</v>
      </c>
      <c r="G901" s="102" t="s">
        <v>34</v>
      </c>
      <c r="H901" s="111" t="s">
        <v>1896</v>
      </c>
      <c r="I901" s="104">
        <v>46161</v>
      </c>
      <c r="J901" s="97">
        <f t="shared" ca="1" si="1817"/>
        <v>23</v>
      </c>
      <c r="K901" s="97" t="str">
        <f t="shared" si="1818"/>
        <v>Pending</v>
      </c>
      <c r="L901" s="101" t="s">
        <v>698</v>
      </c>
      <c r="M901" s="97">
        <v>18000</v>
      </c>
      <c r="N901" s="97">
        <v>16000</v>
      </c>
      <c r="O901" s="104">
        <v>46163</v>
      </c>
      <c r="P901" s="97">
        <f t="shared" si="1819"/>
        <v>2000</v>
      </c>
      <c r="Q901" s="97" t="s">
        <v>33</v>
      </c>
      <c r="R901" s="97" t="s">
        <v>56</v>
      </c>
      <c r="S901" s="97">
        <v>20500</v>
      </c>
      <c r="T901" s="64" t="s">
        <v>33</v>
      </c>
      <c r="U901" s="65" t="s">
        <v>33</v>
      </c>
      <c r="V901" s="97" t="s">
        <v>28</v>
      </c>
      <c r="W901" s="97">
        <f t="shared" si="1820"/>
        <v>2500</v>
      </c>
      <c r="X901" s="97" t="s">
        <v>963</v>
      </c>
      <c r="Y901" s="97" t="s">
        <v>29</v>
      </c>
      <c r="Z901" s="105">
        <f t="shared" si="1821"/>
        <v>13.888888888888889</v>
      </c>
      <c r="AA901" s="93"/>
    </row>
    <row r="902" spans="1:27" hidden="1">
      <c r="A902" s="64">
        <f>SUBTOTAL(3,C$2:C902)</f>
        <v>467</v>
      </c>
      <c r="B902" s="64" t="s">
        <v>1086</v>
      </c>
      <c r="C902" s="64" t="s">
        <v>1031</v>
      </c>
      <c r="D902" s="64" t="s">
        <v>32</v>
      </c>
      <c r="E902" s="64" t="s">
        <v>33</v>
      </c>
      <c r="F902" s="63" t="s">
        <v>221</v>
      </c>
      <c r="G902" s="91" t="s">
        <v>34</v>
      </c>
      <c r="H902" s="77" t="s">
        <v>2013</v>
      </c>
      <c r="I902" s="65">
        <v>46162</v>
      </c>
      <c r="J902" s="64">
        <f t="shared" ref="J902" ca="1" si="1822">+TODAY()-I902</f>
        <v>22</v>
      </c>
      <c r="K902" s="64" t="str">
        <f t="shared" ref="K902" si="1823">+U902</f>
        <v>Pending</v>
      </c>
      <c r="L902" s="63" t="s">
        <v>698</v>
      </c>
      <c r="M902" s="64">
        <v>18000</v>
      </c>
      <c r="N902" s="64">
        <v>16000</v>
      </c>
      <c r="O902" s="65">
        <v>46163</v>
      </c>
      <c r="P902" s="64">
        <f t="shared" ref="P902" si="1824">+M902-N902</f>
        <v>2000</v>
      </c>
      <c r="Q902" s="64" t="s">
        <v>33</v>
      </c>
      <c r="R902" s="64" t="s">
        <v>56</v>
      </c>
      <c r="S902" s="64">
        <v>20500</v>
      </c>
      <c r="T902" s="64" t="s">
        <v>33</v>
      </c>
      <c r="U902" s="65" t="s">
        <v>33</v>
      </c>
      <c r="V902" s="64" t="s">
        <v>28</v>
      </c>
      <c r="W902" s="64">
        <f t="shared" ref="W902" si="1825">+S902-M902</f>
        <v>2500</v>
      </c>
      <c r="X902" s="64" t="s">
        <v>963</v>
      </c>
      <c r="Y902" s="64" t="s">
        <v>29</v>
      </c>
      <c r="Z902" s="71">
        <f t="shared" ref="Z902" si="1826">+W902*100/M902</f>
        <v>13.888888888888889</v>
      </c>
      <c r="AA902" s="93"/>
    </row>
    <row r="903" spans="1:27" s="101" customFormat="1" hidden="1">
      <c r="A903" s="97">
        <f>SUBTOTAL(3,C$2:C903)</f>
        <v>467</v>
      </c>
      <c r="B903" s="97" t="s">
        <v>1086</v>
      </c>
      <c r="C903" s="97" t="s">
        <v>1031</v>
      </c>
      <c r="D903" s="97" t="s">
        <v>32</v>
      </c>
      <c r="E903" s="97" t="s">
        <v>33</v>
      </c>
      <c r="F903" s="101" t="s">
        <v>922</v>
      </c>
      <c r="G903" s="102" t="s">
        <v>34</v>
      </c>
      <c r="H903" s="103" t="s">
        <v>1901</v>
      </c>
      <c r="I903" s="104">
        <v>46162</v>
      </c>
      <c r="J903" s="97">
        <f t="shared" ref="J903" ca="1" si="1827">+TODAY()-I903</f>
        <v>22</v>
      </c>
      <c r="K903" s="97" t="str">
        <f t="shared" ref="K903" si="1828">+U903</f>
        <v>Pending</v>
      </c>
      <c r="L903" s="101" t="s">
        <v>698</v>
      </c>
      <c r="M903" s="97">
        <v>18000</v>
      </c>
      <c r="N903" s="97">
        <v>16000</v>
      </c>
      <c r="O903" s="104">
        <v>46163</v>
      </c>
      <c r="P903" s="97">
        <f t="shared" ref="P903" si="1829">+M903-N903</f>
        <v>2000</v>
      </c>
      <c r="Q903" s="97" t="s">
        <v>33</v>
      </c>
      <c r="R903" s="97" t="s">
        <v>56</v>
      </c>
      <c r="S903" s="97">
        <v>20500</v>
      </c>
      <c r="T903" s="64" t="s">
        <v>33</v>
      </c>
      <c r="U903" s="65" t="s">
        <v>33</v>
      </c>
      <c r="V903" s="97" t="s">
        <v>28</v>
      </c>
      <c r="W903" s="97">
        <f t="shared" ref="W903" si="1830">+S903-M903</f>
        <v>2500</v>
      </c>
      <c r="X903" s="97" t="s">
        <v>963</v>
      </c>
      <c r="Y903" s="97" t="s">
        <v>29</v>
      </c>
      <c r="Z903" s="105">
        <f t="shared" ref="Z903" si="1831">+W903*100/M903</f>
        <v>13.888888888888889</v>
      </c>
      <c r="AA903" s="93"/>
    </row>
    <row r="904" spans="1:27" s="101" customFormat="1" hidden="1">
      <c r="A904" s="97">
        <f>SUBTOTAL(3,C$2:C904)</f>
        <v>467</v>
      </c>
      <c r="B904" s="97" t="s">
        <v>1086</v>
      </c>
      <c r="C904" s="97" t="s">
        <v>1031</v>
      </c>
      <c r="D904" s="97" t="s">
        <v>32</v>
      </c>
      <c r="E904" s="97" t="s">
        <v>33</v>
      </c>
      <c r="F904" s="101" t="s">
        <v>1903</v>
      </c>
      <c r="G904" s="102" t="s">
        <v>34</v>
      </c>
      <c r="H904" s="111" t="s">
        <v>1902</v>
      </c>
      <c r="I904" s="104">
        <v>46162</v>
      </c>
      <c r="J904" s="97">
        <f t="shared" ref="J904" ca="1" si="1832">+TODAY()-I904</f>
        <v>22</v>
      </c>
      <c r="K904" s="97" t="str">
        <f t="shared" ref="K904" si="1833">+U904</f>
        <v>Pending</v>
      </c>
      <c r="L904" s="101" t="s">
        <v>698</v>
      </c>
      <c r="M904" s="97">
        <v>18000</v>
      </c>
      <c r="N904" s="97">
        <v>16000</v>
      </c>
      <c r="O904" s="104">
        <v>46163</v>
      </c>
      <c r="P904" s="97">
        <f t="shared" ref="P904" si="1834">+M904-N904</f>
        <v>2000</v>
      </c>
      <c r="Q904" s="97" t="s">
        <v>33</v>
      </c>
      <c r="R904" s="97" t="s">
        <v>56</v>
      </c>
      <c r="S904" s="97">
        <v>20500</v>
      </c>
      <c r="T904" s="64" t="s">
        <v>33</v>
      </c>
      <c r="U904" s="65" t="s">
        <v>33</v>
      </c>
      <c r="V904" s="97" t="s">
        <v>28</v>
      </c>
      <c r="W904" s="97">
        <f t="shared" ref="W904" si="1835">+S904-M904</f>
        <v>2500</v>
      </c>
      <c r="X904" s="97" t="s">
        <v>963</v>
      </c>
      <c r="Y904" s="97" t="s">
        <v>29</v>
      </c>
      <c r="Z904" s="105">
        <f t="shared" ref="Z904" si="1836">+W904*100/M904</f>
        <v>13.888888888888889</v>
      </c>
      <c r="AA904" s="93"/>
    </row>
    <row r="905" spans="1:27" s="101" customFormat="1" hidden="1">
      <c r="A905" s="97">
        <f>SUBTOTAL(3,C$2:C905)</f>
        <v>467</v>
      </c>
      <c r="B905" s="97" t="s">
        <v>1086</v>
      </c>
      <c r="C905" s="97" t="s">
        <v>1031</v>
      </c>
      <c r="D905" s="97" t="s">
        <v>32</v>
      </c>
      <c r="E905" s="97" t="s">
        <v>33</v>
      </c>
      <c r="F905" s="101" t="s">
        <v>349</v>
      </c>
      <c r="G905" s="102" t="s">
        <v>34</v>
      </c>
      <c r="H905" s="103" t="s">
        <v>1904</v>
      </c>
      <c r="I905" s="104">
        <v>46162</v>
      </c>
      <c r="J905" s="97">
        <f t="shared" ref="J905:J909" ca="1" si="1837">+TODAY()-I905</f>
        <v>22</v>
      </c>
      <c r="K905" s="97">
        <f t="shared" ref="K905:K909" si="1838">+U905</f>
        <v>46169</v>
      </c>
      <c r="L905" s="101" t="s">
        <v>1024</v>
      </c>
      <c r="M905" s="97">
        <v>19000</v>
      </c>
      <c r="N905" s="97">
        <v>17000</v>
      </c>
      <c r="O905" s="104">
        <v>46163</v>
      </c>
      <c r="P905" s="97">
        <f t="shared" ref="P905:P909" si="1839">+M905-N905</f>
        <v>2000</v>
      </c>
      <c r="Q905" s="97" t="s">
        <v>33</v>
      </c>
      <c r="R905" s="97" t="s">
        <v>39</v>
      </c>
      <c r="S905" s="97">
        <v>21800</v>
      </c>
      <c r="T905" s="64" t="s">
        <v>2694</v>
      </c>
      <c r="U905" s="65">
        <v>46169</v>
      </c>
      <c r="V905" s="97" t="s">
        <v>28</v>
      </c>
      <c r="W905" s="97">
        <f t="shared" ref="W905:W909" si="1840">+S905-M905</f>
        <v>2800</v>
      </c>
      <c r="X905" s="97" t="s">
        <v>963</v>
      </c>
      <c r="Y905" s="97" t="s">
        <v>29</v>
      </c>
      <c r="Z905" s="105">
        <f t="shared" ref="Z905:Z909" si="1841">+W905*100/M905</f>
        <v>14.736842105263158</v>
      </c>
      <c r="AA905" s="93"/>
    </row>
    <row r="906" spans="1:27" s="101" customFormat="1" hidden="1">
      <c r="A906" s="97">
        <f>SUBTOTAL(3,C$2:C906)</f>
        <v>467</v>
      </c>
      <c r="B906" s="97" t="s">
        <v>1086</v>
      </c>
      <c r="C906" s="97" t="s">
        <v>1031</v>
      </c>
      <c r="D906" s="97" t="s">
        <v>32</v>
      </c>
      <c r="E906" s="97" t="s">
        <v>33</v>
      </c>
      <c r="F906" s="101" t="s">
        <v>182</v>
      </c>
      <c r="G906" s="102" t="s">
        <v>34</v>
      </c>
      <c r="H906" s="111" t="s">
        <v>1905</v>
      </c>
      <c r="I906" s="104">
        <v>46162</v>
      </c>
      <c r="J906" s="97">
        <f t="shared" ca="1" si="1837"/>
        <v>22</v>
      </c>
      <c r="K906" s="97" t="str">
        <f t="shared" si="1838"/>
        <v>Pending</v>
      </c>
      <c r="L906" s="101" t="s">
        <v>698</v>
      </c>
      <c r="M906" s="97">
        <v>18000</v>
      </c>
      <c r="N906" s="97">
        <v>16000</v>
      </c>
      <c r="O906" s="104">
        <v>46163</v>
      </c>
      <c r="P906" s="97">
        <f t="shared" si="1839"/>
        <v>2000</v>
      </c>
      <c r="Q906" s="97" t="s">
        <v>33</v>
      </c>
      <c r="R906" s="97" t="s">
        <v>56</v>
      </c>
      <c r="S906" s="97">
        <v>20500</v>
      </c>
      <c r="T906" s="64" t="s">
        <v>33</v>
      </c>
      <c r="U906" s="65" t="s">
        <v>33</v>
      </c>
      <c r="V906" s="97" t="s">
        <v>28</v>
      </c>
      <c r="W906" s="97">
        <f t="shared" si="1840"/>
        <v>2500</v>
      </c>
      <c r="X906" s="97" t="s">
        <v>963</v>
      </c>
      <c r="Y906" s="97" t="s">
        <v>29</v>
      </c>
      <c r="Z906" s="105">
        <f t="shared" si="1841"/>
        <v>13.888888888888889</v>
      </c>
      <c r="AA906" s="93"/>
    </row>
    <row r="907" spans="1:27" s="101" customFormat="1" hidden="1">
      <c r="A907" s="97">
        <f>SUBTOTAL(3,C$2:C907)</f>
        <v>467</v>
      </c>
      <c r="B907" s="97" t="s">
        <v>1086</v>
      </c>
      <c r="C907" s="97" t="s">
        <v>44</v>
      </c>
      <c r="D907" s="97" t="s">
        <v>32</v>
      </c>
      <c r="E907" s="97" t="s">
        <v>33</v>
      </c>
      <c r="F907" s="101" t="s">
        <v>145</v>
      </c>
      <c r="G907" s="102" t="s">
        <v>34</v>
      </c>
      <c r="H907" s="103" t="s">
        <v>1906</v>
      </c>
      <c r="I907" s="104">
        <v>46162</v>
      </c>
      <c r="J907" s="97">
        <f t="shared" ca="1" si="1837"/>
        <v>22</v>
      </c>
      <c r="K907" s="97" t="str">
        <f t="shared" si="1838"/>
        <v>Pending</v>
      </c>
      <c r="L907" s="101" t="s">
        <v>376</v>
      </c>
      <c r="M907" s="97">
        <v>18300</v>
      </c>
      <c r="N907" s="97">
        <v>17000</v>
      </c>
      <c r="O907" s="104">
        <v>46163</v>
      </c>
      <c r="P907" s="97">
        <f t="shared" si="1839"/>
        <v>1300</v>
      </c>
      <c r="Q907" s="97" t="s">
        <v>33</v>
      </c>
      <c r="R907" s="97" t="s">
        <v>37</v>
      </c>
      <c r="S907" s="97">
        <v>21500</v>
      </c>
      <c r="T907" s="64" t="s">
        <v>33</v>
      </c>
      <c r="U907" s="65" t="s">
        <v>33</v>
      </c>
      <c r="V907" s="97" t="s">
        <v>28</v>
      </c>
      <c r="W907" s="97">
        <f t="shared" si="1840"/>
        <v>3200</v>
      </c>
      <c r="X907" s="97" t="s">
        <v>36</v>
      </c>
      <c r="Y907" s="97" t="s">
        <v>29</v>
      </c>
      <c r="Z907" s="105">
        <f t="shared" si="1841"/>
        <v>17.486338797814209</v>
      </c>
      <c r="AA907" s="93"/>
    </row>
    <row r="908" spans="1:27" s="101" customFormat="1" hidden="1">
      <c r="A908" s="97">
        <f>SUBTOTAL(3,C$2:C908)</f>
        <v>467</v>
      </c>
      <c r="B908" s="97" t="s">
        <v>1086</v>
      </c>
      <c r="C908" s="97" t="s">
        <v>31</v>
      </c>
      <c r="D908" s="97" t="s">
        <v>32</v>
      </c>
      <c r="E908" s="97" t="s">
        <v>33</v>
      </c>
      <c r="F908" s="101" t="s">
        <v>379</v>
      </c>
      <c r="G908" s="102" t="s">
        <v>34</v>
      </c>
      <c r="H908" s="103" t="s">
        <v>1907</v>
      </c>
      <c r="I908" s="104">
        <v>46162</v>
      </c>
      <c r="J908" s="97">
        <f t="shared" ca="1" si="1837"/>
        <v>22</v>
      </c>
      <c r="K908" s="97" t="str">
        <f t="shared" si="1838"/>
        <v>Pending</v>
      </c>
      <c r="L908" s="101" t="s">
        <v>1697</v>
      </c>
      <c r="M908" s="97">
        <v>18300</v>
      </c>
      <c r="N908" s="97">
        <v>16500</v>
      </c>
      <c r="O908" s="104">
        <v>46163</v>
      </c>
      <c r="P908" s="97">
        <f t="shared" si="1839"/>
        <v>1800</v>
      </c>
      <c r="Q908" s="97" t="s">
        <v>33</v>
      </c>
      <c r="R908" s="97" t="s">
        <v>37</v>
      </c>
      <c r="S908" s="97">
        <v>21500</v>
      </c>
      <c r="T908" s="64" t="s">
        <v>33</v>
      </c>
      <c r="U908" s="65" t="s">
        <v>33</v>
      </c>
      <c r="V908" s="97" t="s">
        <v>28</v>
      </c>
      <c r="W908" s="97">
        <f t="shared" si="1840"/>
        <v>3200</v>
      </c>
      <c r="X908" s="97" t="s">
        <v>963</v>
      </c>
      <c r="Y908" s="97" t="s">
        <v>29</v>
      </c>
      <c r="Z908" s="105">
        <f t="shared" si="1841"/>
        <v>17.486338797814209</v>
      </c>
      <c r="AA908" s="93"/>
    </row>
    <row r="909" spans="1:27" s="101" customFormat="1" hidden="1">
      <c r="A909" s="97">
        <f>SUBTOTAL(3,C$2:C909)</f>
        <v>467</v>
      </c>
      <c r="B909" s="97" t="s">
        <v>1086</v>
      </c>
      <c r="C909" s="97" t="s">
        <v>80</v>
      </c>
      <c r="D909" s="97" t="s">
        <v>32</v>
      </c>
      <c r="E909" s="97" t="s">
        <v>33</v>
      </c>
      <c r="F909" s="101" t="s">
        <v>197</v>
      </c>
      <c r="G909" s="102" t="s">
        <v>1215</v>
      </c>
      <c r="H909" s="111" t="s">
        <v>1908</v>
      </c>
      <c r="I909" s="104">
        <v>46163</v>
      </c>
      <c r="J909" s="97">
        <f t="shared" ca="1" si="1837"/>
        <v>21</v>
      </c>
      <c r="K909" s="97" t="str">
        <f t="shared" si="1838"/>
        <v>Pending</v>
      </c>
      <c r="L909" s="101" t="s">
        <v>1858</v>
      </c>
      <c r="M909" s="97">
        <v>28000</v>
      </c>
      <c r="N909" s="97">
        <v>26000</v>
      </c>
      <c r="O909" s="104">
        <v>46163</v>
      </c>
      <c r="P909" s="97">
        <f t="shared" si="1839"/>
        <v>2000</v>
      </c>
      <c r="Q909" s="97" t="s">
        <v>33</v>
      </c>
      <c r="R909" s="97" t="s">
        <v>39</v>
      </c>
      <c r="S909" s="97">
        <v>31500</v>
      </c>
      <c r="T909" s="64" t="s">
        <v>33</v>
      </c>
      <c r="U909" s="65" t="s">
        <v>33</v>
      </c>
      <c r="V909" s="97" t="s">
        <v>28</v>
      </c>
      <c r="W909" s="97">
        <f t="shared" si="1840"/>
        <v>3500</v>
      </c>
      <c r="X909" s="97" t="s">
        <v>36</v>
      </c>
      <c r="Y909" s="97" t="s">
        <v>29</v>
      </c>
      <c r="Z909" s="105">
        <f t="shared" si="1841"/>
        <v>12.5</v>
      </c>
      <c r="AA909" s="93"/>
    </row>
    <row r="910" spans="1:27" s="101" customFormat="1" hidden="1">
      <c r="A910" s="97">
        <f>SUBTOTAL(3,C$2:C910)</f>
        <v>467</v>
      </c>
      <c r="B910" s="97" t="s">
        <v>1086</v>
      </c>
      <c r="C910" s="97" t="s">
        <v>31</v>
      </c>
      <c r="D910" s="97" t="s">
        <v>32</v>
      </c>
      <c r="E910" s="97" t="s">
        <v>33</v>
      </c>
      <c r="F910" s="101" t="s">
        <v>1574</v>
      </c>
      <c r="G910" s="102" t="s">
        <v>34</v>
      </c>
      <c r="H910" s="103" t="s">
        <v>1909</v>
      </c>
      <c r="I910" s="104">
        <v>46163</v>
      </c>
      <c r="J910" s="97">
        <f t="shared" ref="J910:J911" ca="1" si="1842">+TODAY()-I910</f>
        <v>21</v>
      </c>
      <c r="K910" s="97">
        <f t="shared" ref="K910:K911" si="1843">+U910</f>
        <v>46169</v>
      </c>
      <c r="L910" s="101" t="s">
        <v>1411</v>
      </c>
      <c r="M910" s="97">
        <v>19000</v>
      </c>
      <c r="N910" s="97">
        <v>17000</v>
      </c>
      <c r="O910" s="104">
        <v>46163</v>
      </c>
      <c r="P910" s="97">
        <f t="shared" ref="P910:P911" si="1844">+M910-N910</f>
        <v>2000</v>
      </c>
      <c r="Q910" s="97" t="s">
        <v>33</v>
      </c>
      <c r="R910" s="97" t="s">
        <v>39</v>
      </c>
      <c r="S910" s="97">
        <v>21800</v>
      </c>
      <c r="T910" s="64" t="s">
        <v>2694</v>
      </c>
      <c r="U910" s="65">
        <v>46169</v>
      </c>
      <c r="V910" s="97" t="s">
        <v>28</v>
      </c>
      <c r="W910" s="97">
        <f t="shared" ref="W910:W911" si="1845">+S910-M910</f>
        <v>2800</v>
      </c>
      <c r="X910" s="97" t="s">
        <v>963</v>
      </c>
      <c r="Y910" s="97" t="s">
        <v>29</v>
      </c>
      <c r="Z910" s="105">
        <f t="shared" ref="Z910:Z911" si="1846">+W910*100/M910</f>
        <v>14.736842105263158</v>
      </c>
      <c r="AA910" s="93"/>
    </row>
    <row r="911" spans="1:27" s="101" customFormat="1" hidden="1">
      <c r="A911" s="97">
        <f>SUBTOTAL(3,C$2:C911)</f>
        <v>467</v>
      </c>
      <c r="B911" s="97" t="s">
        <v>1086</v>
      </c>
      <c r="C911" s="97" t="s">
        <v>44</v>
      </c>
      <c r="D911" s="97" t="s">
        <v>32</v>
      </c>
      <c r="E911" s="97" t="s">
        <v>33</v>
      </c>
      <c r="F911" s="101" t="s">
        <v>1910</v>
      </c>
      <c r="G911" s="102" t="s">
        <v>1215</v>
      </c>
      <c r="H911" s="111" t="s">
        <v>1911</v>
      </c>
      <c r="I911" s="104">
        <v>46163</v>
      </c>
      <c r="J911" s="97">
        <f t="shared" ca="1" si="1842"/>
        <v>21</v>
      </c>
      <c r="K911" s="97" t="str">
        <f t="shared" si="1843"/>
        <v>Pending</v>
      </c>
      <c r="L911" s="101" t="s">
        <v>995</v>
      </c>
      <c r="M911" s="97">
        <v>28000</v>
      </c>
      <c r="N911" s="97">
        <v>26000</v>
      </c>
      <c r="O911" s="104">
        <v>46163</v>
      </c>
      <c r="P911" s="97">
        <f t="shared" si="1844"/>
        <v>2000</v>
      </c>
      <c r="Q911" s="97" t="s">
        <v>33</v>
      </c>
      <c r="R911" s="97" t="s">
        <v>37</v>
      </c>
      <c r="S911" s="97">
        <v>31500</v>
      </c>
      <c r="T911" s="64" t="s">
        <v>33</v>
      </c>
      <c r="U911" s="65" t="s">
        <v>33</v>
      </c>
      <c r="V911" s="97" t="s">
        <v>28</v>
      </c>
      <c r="W911" s="97">
        <f t="shared" si="1845"/>
        <v>3500</v>
      </c>
      <c r="X911" s="97" t="s">
        <v>36</v>
      </c>
      <c r="Y911" s="97" t="s">
        <v>29</v>
      </c>
      <c r="Z911" s="105">
        <f t="shared" si="1846"/>
        <v>12.5</v>
      </c>
      <c r="AA911" s="93"/>
    </row>
    <row r="912" spans="1:27" s="101" customFormat="1" hidden="1">
      <c r="A912" s="97">
        <f>SUBTOTAL(3,C$2:C912)</f>
        <v>467</v>
      </c>
      <c r="B912" s="97" t="s">
        <v>1086</v>
      </c>
      <c r="C912" s="97" t="s">
        <v>31</v>
      </c>
      <c r="D912" s="97" t="s">
        <v>32</v>
      </c>
      <c r="E912" s="97" t="s">
        <v>33</v>
      </c>
      <c r="F912" s="101" t="s">
        <v>615</v>
      </c>
      <c r="G912" s="102" t="s">
        <v>34</v>
      </c>
      <c r="H912" s="103" t="s">
        <v>1912</v>
      </c>
      <c r="I912" s="104">
        <v>46163</v>
      </c>
      <c r="J912" s="97">
        <f t="shared" ref="J912" ca="1" si="1847">+TODAY()-I912</f>
        <v>21</v>
      </c>
      <c r="K912" s="97" t="str">
        <f t="shared" ref="K912" si="1848">+U912</f>
        <v>Pending</v>
      </c>
      <c r="L912" s="101" t="s">
        <v>1697</v>
      </c>
      <c r="M912" s="97">
        <v>18300</v>
      </c>
      <c r="N912" s="97">
        <v>16500</v>
      </c>
      <c r="O912" s="104">
        <v>46163</v>
      </c>
      <c r="P912" s="97">
        <f t="shared" ref="P912" si="1849">+M912-N912</f>
        <v>1800</v>
      </c>
      <c r="Q912" s="97" t="s">
        <v>33</v>
      </c>
      <c r="R912" s="97" t="s">
        <v>37</v>
      </c>
      <c r="S912" s="97">
        <v>21500</v>
      </c>
      <c r="T912" s="64" t="s">
        <v>33</v>
      </c>
      <c r="U912" s="65" t="s">
        <v>33</v>
      </c>
      <c r="V912" s="97" t="s">
        <v>28</v>
      </c>
      <c r="W912" s="97">
        <f t="shared" ref="W912" si="1850">+S912-M912</f>
        <v>3200</v>
      </c>
      <c r="X912" s="97" t="s">
        <v>963</v>
      </c>
      <c r="Y912" s="97" t="s">
        <v>29</v>
      </c>
      <c r="Z912" s="105">
        <f t="shared" ref="Z912" si="1851">+W912*100/M912</f>
        <v>17.486338797814209</v>
      </c>
      <c r="AA912" s="93"/>
    </row>
    <row r="913" spans="1:27" s="101" customFormat="1" hidden="1">
      <c r="A913" s="97">
        <f>SUBTOTAL(3,C$2:C913)</f>
        <v>467</v>
      </c>
      <c r="B913" s="97" t="s">
        <v>1086</v>
      </c>
      <c r="C913" s="97" t="s">
        <v>31</v>
      </c>
      <c r="D913" s="97" t="s">
        <v>32</v>
      </c>
      <c r="E913" s="97" t="s">
        <v>33</v>
      </c>
      <c r="F913" s="101" t="s">
        <v>151</v>
      </c>
      <c r="G913" s="102" t="s">
        <v>34</v>
      </c>
      <c r="H913" s="111" t="s">
        <v>1913</v>
      </c>
      <c r="I913" s="104">
        <v>46163</v>
      </c>
      <c r="J913" s="97">
        <f t="shared" ref="J913" ca="1" si="1852">+TODAY()-I913</f>
        <v>21</v>
      </c>
      <c r="K913" s="97" t="str">
        <f t="shared" ref="K913" si="1853">+U913</f>
        <v>Pending</v>
      </c>
      <c r="L913" s="101" t="s">
        <v>111</v>
      </c>
      <c r="M913" s="97">
        <v>11700</v>
      </c>
      <c r="N913" s="97">
        <v>10700</v>
      </c>
      <c r="O913" s="104">
        <v>46163</v>
      </c>
      <c r="P913" s="97">
        <f t="shared" ref="P913" si="1854">+M913-N913</f>
        <v>1000</v>
      </c>
      <c r="Q913" s="97" t="s">
        <v>33</v>
      </c>
      <c r="R913" s="97" t="s">
        <v>112</v>
      </c>
      <c r="S913" s="97">
        <v>13500</v>
      </c>
      <c r="T913" s="64" t="s">
        <v>33</v>
      </c>
      <c r="U913" s="65" t="s">
        <v>33</v>
      </c>
      <c r="V913" s="97" t="s">
        <v>28</v>
      </c>
      <c r="W913" s="97">
        <f t="shared" ref="W913" si="1855">+S913-M913</f>
        <v>1800</v>
      </c>
      <c r="X913" s="97" t="s">
        <v>963</v>
      </c>
      <c r="Y913" s="97" t="s">
        <v>29</v>
      </c>
      <c r="Z913" s="105">
        <f t="shared" ref="Z913" si="1856">+W913*100/M913</f>
        <v>15.384615384615385</v>
      </c>
      <c r="AA913" s="93"/>
    </row>
    <row r="914" spans="1:27" s="101" customFormat="1" hidden="1">
      <c r="A914" s="97">
        <f>SUBTOTAL(3,C$2:C914)</f>
        <v>467</v>
      </c>
      <c r="B914" s="97" t="s">
        <v>1086</v>
      </c>
      <c r="C914" s="97" t="s">
        <v>31</v>
      </c>
      <c r="D914" s="97" t="s">
        <v>32</v>
      </c>
      <c r="E914" s="97" t="s">
        <v>33</v>
      </c>
      <c r="F914" s="101" t="s">
        <v>574</v>
      </c>
      <c r="G914" s="102" t="s">
        <v>34</v>
      </c>
      <c r="H914" s="111" t="s">
        <v>1914</v>
      </c>
      <c r="I914" s="104">
        <v>46163</v>
      </c>
      <c r="J914" s="97">
        <f t="shared" ref="J914:J915" ca="1" si="1857">+TODAY()-I914</f>
        <v>21</v>
      </c>
      <c r="K914" s="97" t="str">
        <f t="shared" ref="K914:K915" si="1858">+U914</f>
        <v>Pending</v>
      </c>
      <c r="L914" s="101" t="s">
        <v>1411</v>
      </c>
      <c r="M914" s="97">
        <v>19000</v>
      </c>
      <c r="N914" s="97">
        <v>17000</v>
      </c>
      <c r="O914" s="104">
        <v>46163</v>
      </c>
      <c r="P914" s="97">
        <f t="shared" ref="P914:P915" si="1859">+M914-N914</f>
        <v>2000</v>
      </c>
      <c r="Q914" s="97" t="s">
        <v>33</v>
      </c>
      <c r="R914" s="97" t="s">
        <v>39</v>
      </c>
      <c r="S914" s="97">
        <v>21800</v>
      </c>
      <c r="T914" s="64" t="s">
        <v>33</v>
      </c>
      <c r="U914" s="65" t="s">
        <v>33</v>
      </c>
      <c r="V914" s="97" t="s">
        <v>28</v>
      </c>
      <c r="W914" s="97">
        <f t="shared" ref="W914:W915" si="1860">+S914-M914</f>
        <v>2800</v>
      </c>
      <c r="X914" s="97" t="s">
        <v>963</v>
      </c>
      <c r="Y914" s="97" t="s">
        <v>29</v>
      </c>
      <c r="Z914" s="105">
        <f t="shared" ref="Z914:Z915" si="1861">+W914*100/M914</f>
        <v>14.736842105263158</v>
      </c>
      <c r="AA914" s="93"/>
    </row>
    <row r="915" spans="1:27" s="101" customFormat="1" hidden="1">
      <c r="A915" s="97">
        <f>SUBTOTAL(3,C$2:C915)</f>
        <v>467</v>
      </c>
      <c r="B915" s="97" t="s">
        <v>1086</v>
      </c>
      <c r="C915" s="97" t="s">
        <v>80</v>
      </c>
      <c r="D915" s="97" t="s">
        <v>32</v>
      </c>
      <c r="E915" s="97" t="s">
        <v>33</v>
      </c>
      <c r="F915" s="101" t="s">
        <v>1915</v>
      </c>
      <c r="G915" s="102" t="s">
        <v>1215</v>
      </c>
      <c r="H915" s="103" t="s">
        <v>1916</v>
      </c>
      <c r="I915" s="104">
        <v>46163</v>
      </c>
      <c r="J915" s="97">
        <f t="shared" ca="1" si="1857"/>
        <v>21</v>
      </c>
      <c r="K915" s="97" t="str">
        <f t="shared" si="1858"/>
        <v>Pending</v>
      </c>
      <c r="L915" s="101" t="s">
        <v>1858</v>
      </c>
      <c r="M915" s="97">
        <v>28000</v>
      </c>
      <c r="N915" s="97">
        <v>26000</v>
      </c>
      <c r="O915" s="104">
        <v>46163</v>
      </c>
      <c r="P915" s="97">
        <f t="shared" si="1859"/>
        <v>2000</v>
      </c>
      <c r="Q915" s="97" t="s">
        <v>33</v>
      </c>
      <c r="R915" s="97" t="s">
        <v>37</v>
      </c>
      <c r="S915" s="97">
        <v>31500</v>
      </c>
      <c r="T915" s="64" t="s">
        <v>33</v>
      </c>
      <c r="U915" s="65" t="s">
        <v>33</v>
      </c>
      <c r="V915" s="97" t="s">
        <v>28</v>
      </c>
      <c r="W915" s="97">
        <f t="shared" si="1860"/>
        <v>3500</v>
      </c>
      <c r="X915" s="97" t="s">
        <v>36</v>
      </c>
      <c r="Y915" s="97" t="s">
        <v>29</v>
      </c>
      <c r="Z915" s="105">
        <f t="shared" si="1861"/>
        <v>12.5</v>
      </c>
      <c r="AA915" s="93"/>
    </row>
    <row r="916" spans="1:27" s="101" customFormat="1" hidden="1">
      <c r="A916" s="97">
        <f>SUBTOTAL(3,C$2:C916)</f>
        <v>467</v>
      </c>
      <c r="B916" s="97" t="s">
        <v>1086</v>
      </c>
      <c r="C916" s="97" t="s">
        <v>80</v>
      </c>
      <c r="D916" s="97" t="s">
        <v>32</v>
      </c>
      <c r="E916" s="97" t="s">
        <v>33</v>
      </c>
      <c r="F916" s="101" t="s">
        <v>414</v>
      </c>
      <c r="G916" s="102" t="s">
        <v>994</v>
      </c>
      <c r="H916" s="111" t="s">
        <v>1917</v>
      </c>
      <c r="I916" s="104">
        <v>46163</v>
      </c>
      <c r="J916" s="97">
        <f t="shared" ref="J916:J917" ca="1" si="1862">+TODAY()-I916</f>
        <v>21</v>
      </c>
      <c r="K916" s="97" t="str">
        <f t="shared" ref="K916:K917" si="1863">+U916</f>
        <v>Pending</v>
      </c>
      <c r="L916" s="101" t="s">
        <v>598</v>
      </c>
      <c r="M916" s="97">
        <v>29500</v>
      </c>
      <c r="N916" s="97">
        <v>26500</v>
      </c>
      <c r="O916" s="104">
        <v>46163</v>
      </c>
      <c r="P916" s="97">
        <f t="shared" ref="P916:P917" si="1864">+M916-N916</f>
        <v>3000</v>
      </c>
      <c r="Q916" s="97" t="s">
        <v>33</v>
      </c>
      <c r="R916" s="97" t="s">
        <v>52</v>
      </c>
      <c r="S916" s="97">
        <v>32500</v>
      </c>
      <c r="T916" s="64" t="s">
        <v>33</v>
      </c>
      <c r="U916" s="65" t="s">
        <v>33</v>
      </c>
      <c r="V916" s="97" t="s">
        <v>28</v>
      </c>
      <c r="W916" s="97">
        <f t="shared" ref="W916:W917" si="1865">+S916-M916</f>
        <v>3000</v>
      </c>
      <c r="X916" s="97" t="s">
        <v>36</v>
      </c>
      <c r="Y916" s="97" t="s">
        <v>29</v>
      </c>
      <c r="Z916" s="105">
        <f t="shared" ref="Z916:Z917" si="1866">+W916*100/M916</f>
        <v>10.169491525423728</v>
      </c>
      <c r="AA916" s="93"/>
    </row>
    <row r="917" spans="1:27" s="101" customFormat="1" hidden="1">
      <c r="A917" s="97">
        <f>SUBTOTAL(3,C$2:C917)</f>
        <v>467</v>
      </c>
      <c r="B917" s="97" t="s">
        <v>1086</v>
      </c>
      <c r="C917" s="97" t="s">
        <v>44</v>
      </c>
      <c r="D917" s="97" t="s">
        <v>32</v>
      </c>
      <c r="E917" s="97" t="s">
        <v>33</v>
      </c>
      <c r="F917" s="101" t="s">
        <v>437</v>
      </c>
      <c r="G917" s="102" t="s">
        <v>1918</v>
      </c>
      <c r="H917" s="103" t="s">
        <v>1919</v>
      </c>
      <c r="I917" s="104">
        <v>46163</v>
      </c>
      <c r="J917" s="97">
        <f t="shared" ca="1" si="1862"/>
        <v>21</v>
      </c>
      <c r="K917" s="97" t="str">
        <f t="shared" si="1863"/>
        <v>Pending</v>
      </c>
      <c r="L917" s="101" t="s">
        <v>144</v>
      </c>
      <c r="M917" s="97">
        <v>31500</v>
      </c>
      <c r="N917" s="97">
        <v>28500</v>
      </c>
      <c r="O917" s="104">
        <v>46163</v>
      </c>
      <c r="P917" s="97">
        <f t="shared" si="1864"/>
        <v>3000</v>
      </c>
      <c r="Q917" s="97" t="s">
        <v>33</v>
      </c>
      <c r="R917" s="97" t="s">
        <v>39</v>
      </c>
      <c r="S917" s="97">
        <v>35000</v>
      </c>
      <c r="T917" s="64" t="s">
        <v>33</v>
      </c>
      <c r="U917" s="65" t="s">
        <v>33</v>
      </c>
      <c r="V917" s="97" t="s">
        <v>28</v>
      </c>
      <c r="W917" s="97">
        <f t="shared" si="1865"/>
        <v>3500</v>
      </c>
      <c r="X917" s="97" t="s">
        <v>36</v>
      </c>
      <c r="Y917" s="97" t="s">
        <v>29</v>
      </c>
      <c r="Z917" s="105">
        <f t="shared" si="1866"/>
        <v>11.111111111111111</v>
      </c>
      <c r="AA917" s="93"/>
    </row>
    <row r="918" spans="1:27" s="101" customFormat="1" hidden="1">
      <c r="A918" s="97">
        <f>SUBTOTAL(3,C$2:C918)</f>
        <v>467</v>
      </c>
      <c r="B918" s="97" t="s">
        <v>1086</v>
      </c>
      <c r="C918" s="97" t="s">
        <v>44</v>
      </c>
      <c r="D918" s="97" t="s">
        <v>32</v>
      </c>
      <c r="E918" s="97" t="s">
        <v>33</v>
      </c>
      <c r="F918" s="101" t="s">
        <v>1920</v>
      </c>
      <c r="G918" s="102" t="s">
        <v>1215</v>
      </c>
      <c r="H918" s="103" t="s">
        <v>1921</v>
      </c>
      <c r="I918" s="104">
        <v>46163</v>
      </c>
      <c r="J918" s="97">
        <f t="shared" ref="J918:J921" ca="1" si="1867">+TODAY()-I918</f>
        <v>21</v>
      </c>
      <c r="K918" s="97" t="str">
        <f t="shared" ref="K918:K921" si="1868">+U918</f>
        <v>Pending</v>
      </c>
      <c r="L918" s="101" t="s">
        <v>144</v>
      </c>
      <c r="M918" s="97">
        <v>19000</v>
      </c>
      <c r="N918" s="97">
        <v>17000</v>
      </c>
      <c r="O918" s="104">
        <v>46163</v>
      </c>
      <c r="P918" s="97">
        <f t="shared" ref="P918:P921" si="1869">+M918-N918</f>
        <v>2000</v>
      </c>
      <c r="Q918" s="97" t="s">
        <v>33</v>
      </c>
      <c r="R918" s="97" t="s">
        <v>39</v>
      </c>
      <c r="S918" s="97">
        <v>21800</v>
      </c>
      <c r="T918" s="64" t="s">
        <v>33</v>
      </c>
      <c r="U918" s="65" t="s">
        <v>33</v>
      </c>
      <c r="V918" s="97" t="s">
        <v>28</v>
      </c>
      <c r="W918" s="97">
        <f t="shared" ref="W918:W921" si="1870">+S918-M918</f>
        <v>2800</v>
      </c>
      <c r="X918" s="97" t="s">
        <v>36</v>
      </c>
      <c r="Y918" s="97" t="s">
        <v>29</v>
      </c>
      <c r="Z918" s="105">
        <f t="shared" ref="Z918:Z921" si="1871">+W918*100/M918</f>
        <v>14.736842105263158</v>
      </c>
      <c r="AA918" s="93"/>
    </row>
    <row r="919" spans="1:27" s="101" customFormat="1" hidden="1">
      <c r="A919" s="97">
        <f>SUBTOTAL(3,C$2:C919)</f>
        <v>467</v>
      </c>
      <c r="B919" s="97" t="s">
        <v>1086</v>
      </c>
      <c r="C919" s="97" t="s">
        <v>1031</v>
      </c>
      <c r="D919" s="97" t="s">
        <v>32</v>
      </c>
      <c r="E919" s="97" t="s">
        <v>33</v>
      </c>
      <c r="F919" s="101" t="s">
        <v>1922</v>
      </c>
      <c r="G919" s="102" t="s">
        <v>34</v>
      </c>
      <c r="H919" s="103" t="s">
        <v>1923</v>
      </c>
      <c r="I919" s="104">
        <v>46163</v>
      </c>
      <c r="J919" s="97">
        <f t="shared" ca="1" si="1867"/>
        <v>21</v>
      </c>
      <c r="K919" s="97" t="str">
        <f t="shared" si="1868"/>
        <v>Pending</v>
      </c>
      <c r="L919" s="101" t="s">
        <v>1677</v>
      </c>
      <c r="M919" s="97">
        <v>18300</v>
      </c>
      <c r="N919" s="97">
        <v>16500</v>
      </c>
      <c r="O919" s="104">
        <v>46163</v>
      </c>
      <c r="P919" s="97">
        <f t="shared" si="1869"/>
        <v>1800</v>
      </c>
      <c r="Q919" s="97" t="s">
        <v>33</v>
      </c>
      <c r="R919" s="97" t="s">
        <v>37</v>
      </c>
      <c r="S919" s="97">
        <v>21500</v>
      </c>
      <c r="T919" s="64" t="s">
        <v>33</v>
      </c>
      <c r="U919" s="65" t="s">
        <v>33</v>
      </c>
      <c r="V919" s="97" t="s">
        <v>28</v>
      </c>
      <c r="W919" s="97">
        <f t="shared" si="1870"/>
        <v>3200</v>
      </c>
      <c r="X919" s="97" t="s">
        <v>963</v>
      </c>
      <c r="Y919" s="97" t="s">
        <v>29</v>
      </c>
      <c r="Z919" s="105">
        <f t="shared" si="1871"/>
        <v>17.486338797814209</v>
      </c>
      <c r="AA919" s="93"/>
    </row>
    <row r="920" spans="1:27" s="101" customFormat="1" hidden="1">
      <c r="A920" s="97">
        <f>SUBTOTAL(3,C$2:C920)</f>
        <v>467</v>
      </c>
      <c r="B920" s="97" t="s">
        <v>1086</v>
      </c>
      <c r="C920" s="97" t="s">
        <v>31</v>
      </c>
      <c r="D920" s="97" t="s">
        <v>32</v>
      </c>
      <c r="E920" s="97" t="s">
        <v>33</v>
      </c>
      <c r="F920" s="101" t="s">
        <v>1418</v>
      </c>
      <c r="G920" s="102" t="s">
        <v>34</v>
      </c>
      <c r="H920" s="111" t="s">
        <v>1924</v>
      </c>
      <c r="I920" s="104">
        <v>46163</v>
      </c>
      <c r="J920" s="97">
        <f t="shared" ca="1" si="1867"/>
        <v>21</v>
      </c>
      <c r="K920" s="97" t="str">
        <f t="shared" si="1868"/>
        <v>Pending</v>
      </c>
      <c r="L920" s="101" t="s">
        <v>1677</v>
      </c>
      <c r="M920" s="97">
        <v>18300</v>
      </c>
      <c r="N920" s="97">
        <v>16500</v>
      </c>
      <c r="O920" s="104">
        <v>46163</v>
      </c>
      <c r="P920" s="97">
        <f t="shared" si="1869"/>
        <v>1800</v>
      </c>
      <c r="Q920" s="97" t="s">
        <v>33</v>
      </c>
      <c r="R920" s="97" t="s">
        <v>37</v>
      </c>
      <c r="S920" s="97">
        <v>21500</v>
      </c>
      <c r="T920" s="64" t="s">
        <v>33</v>
      </c>
      <c r="U920" s="65" t="s">
        <v>33</v>
      </c>
      <c r="V920" s="97" t="s">
        <v>28</v>
      </c>
      <c r="W920" s="97">
        <f t="shared" si="1870"/>
        <v>3200</v>
      </c>
      <c r="X920" s="97" t="s">
        <v>963</v>
      </c>
      <c r="Y920" s="97" t="s">
        <v>29</v>
      </c>
      <c r="Z920" s="105">
        <f t="shared" si="1871"/>
        <v>17.486338797814209</v>
      </c>
      <c r="AA920" s="93"/>
    </row>
    <row r="921" spans="1:27" s="101" customFormat="1" hidden="1">
      <c r="A921" s="97">
        <f>SUBTOTAL(3,C$2:C921)</f>
        <v>467</v>
      </c>
      <c r="B921" s="97" t="s">
        <v>1086</v>
      </c>
      <c r="C921" s="97" t="s">
        <v>216</v>
      </c>
      <c r="D921" s="97" t="s">
        <v>32</v>
      </c>
      <c r="E921" s="97" t="s">
        <v>33</v>
      </c>
      <c r="F921" s="101" t="s">
        <v>1925</v>
      </c>
      <c r="G921" s="102" t="s">
        <v>67</v>
      </c>
      <c r="H921" s="103" t="s">
        <v>1926</v>
      </c>
      <c r="I921" s="104">
        <v>46160</v>
      </c>
      <c r="J921" s="97">
        <f t="shared" ca="1" si="1867"/>
        <v>24</v>
      </c>
      <c r="K921" s="97">
        <f t="shared" si="1868"/>
        <v>46170</v>
      </c>
      <c r="L921" s="101" t="s">
        <v>1035</v>
      </c>
      <c r="M921" s="97">
        <v>22000</v>
      </c>
      <c r="N921" s="97">
        <v>22000</v>
      </c>
      <c r="O921" s="104">
        <v>46163</v>
      </c>
      <c r="P921" s="97">
        <f t="shared" si="1869"/>
        <v>0</v>
      </c>
      <c r="Q921" s="97" t="s">
        <v>33</v>
      </c>
      <c r="R921" s="97" t="s">
        <v>78</v>
      </c>
      <c r="S921" s="97">
        <v>25500</v>
      </c>
      <c r="T921" s="64" t="s">
        <v>2702</v>
      </c>
      <c r="U921" s="65">
        <v>46170</v>
      </c>
      <c r="V921" s="97" t="s">
        <v>28</v>
      </c>
      <c r="W921" s="97">
        <f t="shared" si="1870"/>
        <v>3500</v>
      </c>
      <c r="X921" s="97" t="s">
        <v>36</v>
      </c>
      <c r="Y921" s="97" t="s">
        <v>29</v>
      </c>
      <c r="Z921" s="105">
        <f t="shared" si="1871"/>
        <v>15.909090909090908</v>
      </c>
      <c r="AA921" s="93"/>
    </row>
    <row r="922" spans="1:27" s="101" customFormat="1" hidden="1">
      <c r="A922" s="97">
        <f>SUBTOTAL(3,C$2:C922)</f>
        <v>467</v>
      </c>
      <c r="B922" s="97" t="s">
        <v>1086</v>
      </c>
      <c r="C922" s="97" t="s">
        <v>1196</v>
      </c>
      <c r="D922" s="97" t="s">
        <v>32</v>
      </c>
      <c r="E922" s="97" t="s">
        <v>33</v>
      </c>
      <c r="F922" s="101" t="s">
        <v>1927</v>
      </c>
      <c r="G922" s="102" t="s">
        <v>34</v>
      </c>
      <c r="H922" s="111" t="s">
        <v>1928</v>
      </c>
      <c r="I922" s="104">
        <v>46163</v>
      </c>
      <c r="J922" s="97">
        <f t="shared" ref="J922:J925" ca="1" si="1872">+TODAY()-I922</f>
        <v>21</v>
      </c>
      <c r="K922" s="97" t="str">
        <f t="shared" ref="K922:K925" si="1873">+U922</f>
        <v>Pending</v>
      </c>
      <c r="L922" s="101" t="s">
        <v>1198</v>
      </c>
      <c r="M922" s="97">
        <v>38000</v>
      </c>
      <c r="N922" s="97">
        <v>35000</v>
      </c>
      <c r="O922" s="104">
        <v>46163</v>
      </c>
      <c r="P922" s="97">
        <f t="shared" ref="P922:P925" si="1874">+M922-N922</f>
        <v>3000</v>
      </c>
      <c r="Q922" s="97" t="s">
        <v>33</v>
      </c>
      <c r="R922" s="97" t="s">
        <v>112</v>
      </c>
      <c r="S922" s="97">
        <v>45000</v>
      </c>
      <c r="T922" s="64" t="s">
        <v>33</v>
      </c>
      <c r="U922" s="65" t="s">
        <v>33</v>
      </c>
      <c r="V922" s="97" t="s">
        <v>28</v>
      </c>
      <c r="W922" s="97">
        <f t="shared" ref="W922:W925" si="1875">+S922-M922</f>
        <v>7000</v>
      </c>
      <c r="X922" s="97" t="s">
        <v>36</v>
      </c>
      <c r="Y922" s="97" t="s">
        <v>29</v>
      </c>
      <c r="Z922" s="105">
        <f t="shared" ref="Z922:Z925" si="1876">+W922*100/M922</f>
        <v>18.421052631578949</v>
      </c>
      <c r="AA922" s="93"/>
    </row>
    <row r="923" spans="1:27" s="101" customFormat="1" hidden="1">
      <c r="A923" s="97">
        <f>SUBTOTAL(3,C$2:C923)</f>
        <v>467</v>
      </c>
      <c r="B923" s="97" t="s">
        <v>1086</v>
      </c>
      <c r="C923" s="97" t="s">
        <v>80</v>
      </c>
      <c r="D923" s="97" t="s">
        <v>32</v>
      </c>
      <c r="E923" s="97" t="s">
        <v>33</v>
      </c>
      <c r="F923" s="101" t="s">
        <v>1929</v>
      </c>
      <c r="G923" s="102" t="s">
        <v>1215</v>
      </c>
      <c r="H923" s="111" t="s">
        <v>1931</v>
      </c>
      <c r="I923" s="104">
        <v>46163</v>
      </c>
      <c r="J923" s="97">
        <f t="shared" ca="1" si="1872"/>
        <v>21</v>
      </c>
      <c r="K923" s="97" t="str">
        <f t="shared" si="1873"/>
        <v>Pending</v>
      </c>
      <c r="L923" s="101" t="s">
        <v>1858</v>
      </c>
      <c r="M923" s="97">
        <v>28000</v>
      </c>
      <c r="N923" s="97">
        <v>26000</v>
      </c>
      <c r="O923" s="104">
        <v>46163</v>
      </c>
      <c r="P923" s="97">
        <f t="shared" si="1874"/>
        <v>2000</v>
      </c>
      <c r="Q923" s="97" t="s">
        <v>33</v>
      </c>
      <c r="R923" s="97" t="s">
        <v>39</v>
      </c>
      <c r="S923" s="97">
        <v>31500</v>
      </c>
      <c r="T923" s="64" t="s">
        <v>33</v>
      </c>
      <c r="U923" s="65" t="s">
        <v>33</v>
      </c>
      <c r="V923" s="97" t="s">
        <v>28</v>
      </c>
      <c r="W923" s="97">
        <f t="shared" si="1875"/>
        <v>3500</v>
      </c>
      <c r="X923" s="97" t="s">
        <v>36</v>
      </c>
      <c r="Y923" s="97" t="s">
        <v>29</v>
      </c>
      <c r="Z923" s="105">
        <f t="shared" si="1876"/>
        <v>12.5</v>
      </c>
      <c r="AA923" s="93"/>
    </row>
    <row r="924" spans="1:27" s="101" customFormat="1" hidden="1">
      <c r="A924" s="97">
        <f>SUBTOTAL(3,C$2:C924)</f>
        <v>467</v>
      </c>
      <c r="B924" s="97" t="s">
        <v>1086</v>
      </c>
      <c r="C924" s="97" t="s">
        <v>31</v>
      </c>
      <c r="D924" s="97" t="s">
        <v>32</v>
      </c>
      <c r="E924" s="97" t="s">
        <v>33</v>
      </c>
      <c r="F924" s="101" t="s">
        <v>1930</v>
      </c>
      <c r="G924" s="102" t="s">
        <v>34</v>
      </c>
      <c r="H924" s="103" t="s">
        <v>1932</v>
      </c>
      <c r="I924" s="104">
        <v>46163</v>
      </c>
      <c r="J924" s="97">
        <f t="shared" ca="1" si="1872"/>
        <v>21</v>
      </c>
      <c r="K924" s="97" t="str">
        <f t="shared" si="1873"/>
        <v>Pending</v>
      </c>
      <c r="L924" s="101" t="s">
        <v>1411</v>
      </c>
      <c r="M924" s="97">
        <v>19000</v>
      </c>
      <c r="N924" s="97">
        <v>17000</v>
      </c>
      <c r="O924" s="104">
        <v>46163</v>
      </c>
      <c r="P924" s="97">
        <f t="shared" si="1874"/>
        <v>2000</v>
      </c>
      <c r="Q924" s="97" t="s">
        <v>33</v>
      </c>
      <c r="R924" s="97" t="s">
        <v>39</v>
      </c>
      <c r="S924" s="97">
        <v>21800</v>
      </c>
      <c r="T924" s="64" t="s">
        <v>33</v>
      </c>
      <c r="U924" s="65" t="s">
        <v>33</v>
      </c>
      <c r="V924" s="97" t="s">
        <v>28</v>
      </c>
      <c r="W924" s="97">
        <f t="shared" si="1875"/>
        <v>2800</v>
      </c>
      <c r="X924" s="97" t="s">
        <v>963</v>
      </c>
      <c r="Y924" s="97" t="s">
        <v>29</v>
      </c>
      <c r="Z924" s="105">
        <f t="shared" si="1876"/>
        <v>14.736842105263158</v>
      </c>
      <c r="AA924" s="93"/>
    </row>
    <row r="925" spans="1:27" s="101" customFormat="1" hidden="1">
      <c r="A925" s="97">
        <f>SUBTOTAL(3,C$2:C925)</f>
        <v>467</v>
      </c>
      <c r="B925" s="97" t="s">
        <v>1086</v>
      </c>
      <c r="C925" s="97" t="s">
        <v>1031</v>
      </c>
      <c r="D925" s="97" t="s">
        <v>32</v>
      </c>
      <c r="E925" s="97" t="s">
        <v>33</v>
      </c>
      <c r="F925" s="101" t="s">
        <v>568</v>
      </c>
      <c r="G925" s="102" t="s">
        <v>34</v>
      </c>
      <c r="H925" s="103" t="s">
        <v>1933</v>
      </c>
      <c r="I925" s="104">
        <v>46163</v>
      </c>
      <c r="J925" s="97">
        <f t="shared" ca="1" si="1872"/>
        <v>21</v>
      </c>
      <c r="K925" s="97" t="str">
        <f t="shared" si="1873"/>
        <v>Pending</v>
      </c>
      <c r="L925" s="101" t="s">
        <v>1036</v>
      </c>
      <c r="M925" s="97">
        <v>18000</v>
      </c>
      <c r="N925" s="97">
        <v>16000</v>
      </c>
      <c r="O925" s="104">
        <v>46163</v>
      </c>
      <c r="P925" s="97">
        <f t="shared" si="1874"/>
        <v>2000</v>
      </c>
      <c r="Q925" s="97" t="s">
        <v>33</v>
      </c>
      <c r="R925" s="97" t="s">
        <v>39</v>
      </c>
      <c r="S925" s="97">
        <v>20500</v>
      </c>
      <c r="T925" s="64" t="s">
        <v>33</v>
      </c>
      <c r="U925" s="65" t="s">
        <v>33</v>
      </c>
      <c r="V925" s="97" t="s">
        <v>28</v>
      </c>
      <c r="W925" s="97">
        <f t="shared" si="1875"/>
        <v>2500</v>
      </c>
      <c r="X925" s="97" t="s">
        <v>963</v>
      </c>
      <c r="Y925" s="97" t="s">
        <v>29</v>
      </c>
      <c r="Z925" s="105">
        <f t="shared" si="1876"/>
        <v>13.888888888888889</v>
      </c>
      <c r="AA925" s="93"/>
    </row>
    <row r="926" spans="1:27" s="101" customFormat="1" hidden="1">
      <c r="A926" s="97">
        <f>SUBTOTAL(3,C$2:C926)</f>
        <v>467</v>
      </c>
      <c r="B926" s="97" t="s">
        <v>1086</v>
      </c>
      <c r="C926" s="97" t="s">
        <v>80</v>
      </c>
      <c r="D926" s="97" t="s">
        <v>32</v>
      </c>
      <c r="E926" s="97" t="s">
        <v>33</v>
      </c>
      <c r="F926" s="101" t="s">
        <v>1934</v>
      </c>
      <c r="G926" s="102">
        <v>407</v>
      </c>
      <c r="H926" s="103" t="s">
        <v>1935</v>
      </c>
      <c r="I926" s="104">
        <v>46163</v>
      </c>
      <c r="J926" s="97">
        <f t="shared" ref="J926:J927" ca="1" si="1877">+TODAY()-I926</f>
        <v>21</v>
      </c>
      <c r="K926" s="97" t="str">
        <f t="shared" ref="K926:K927" si="1878">+U926</f>
        <v>Pending</v>
      </c>
      <c r="L926" s="101" t="s">
        <v>54</v>
      </c>
      <c r="M926" s="97">
        <v>28000</v>
      </c>
      <c r="N926" s="97">
        <v>26000</v>
      </c>
      <c r="O926" s="104">
        <v>46163</v>
      </c>
      <c r="P926" s="97">
        <f t="shared" ref="P926:P927" si="1879">+M926-N926</f>
        <v>2000</v>
      </c>
      <c r="Q926" s="97" t="s">
        <v>33</v>
      </c>
      <c r="R926" s="97" t="s">
        <v>118</v>
      </c>
      <c r="S926" s="97">
        <v>30500</v>
      </c>
      <c r="T926" s="64" t="s">
        <v>33</v>
      </c>
      <c r="U926" s="65" t="s">
        <v>33</v>
      </c>
      <c r="V926" s="97" t="s">
        <v>28</v>
      </c>
      <c r="W926" s="97">
        <f t="shared" ref="W926:W927" si="1880">+S926-M926</f>
        <v>2500</v>
      </c>
      <c r="X926" s="97" t="s">
        <v>36</v>
      </c>
      <c r="Y926" s="97" t="s">
        <v>29</v>
      </c>
      <c r="Z926" s="105">
        <f t="shared" ref="Z926:Z927" si="1881">+W926*100/M926</f>
        <v>8.9285714285714288</v>
      </c>
      <c r="AA926" s="93"/>
    </row>
    <row r="927" spans="1:27" s="101" customFormat="1" hidden="1">
      <c r="A927" s="97">
        <f>SUBTOTAL(3,C$2:C927)</f>
        <v>467</v>
      </c>
      <c r="B927" s="97" t="s">
        <v>1086</v>
      </c>
      <c r="C927" s="97" t="s">
        <v>44</v>
      </c>
      <c r="D927" s="97" t="s">
        <v>32</v>
      </c>
      <c r="E927" s="97" t="s">
        <v>33</v>
      </c>
      <c r="F927" s="101" t="s">
        <v>210</v>
      </c>
      <c r="G927" s="102">
        <v>407</v>
      </c>
      <c r="H927" s="103" t="s">
        <v>1936</v>
      </c>
      <c r="I927" s="104">
        <v>46163</v>
      </c>
      <c r="J927" s="97">
        <f t="shared" ca="1" si="1877"/>
        <v>21</v>
      </c>
      <c r="K927" s="97" t="str">
        <f t="shared" si="1878"/>
        <v>Pending</v>
      </c>
      <c r="L927" s="101" t="s">
        <v>84</v>
      </c>
      <c r="M927" s="97">
        <v>27500</v>
      </c>
      <c r="N927" s="97">
        <v>25500</v>
      </c>
      <c r="O927" s="104">
        <v>46163</v>
      </c>
      <c r="P927" s="97">
        <f t="shared" si="1879"/>
        <v>2000</v>
      </c>
      <c r="Q927" s="97" t="s">
        <v>33</v>
      </c>
      <c r="R927" s="97" t="s">
        <v>56</v>
      </c>
      <c r="S927" s="97">
        <v>29800</v>
      </c>
      <c r="T927" s="64" t="s">
        <v>33</v>
      </c>
      <c r="U927" s="65" t="s">
        <v>33</v>
      </c>
      <c r="V927" s="97" t="s">
        <v>28</v>
      </c>
      <c r="W927" s="97">
        <f t="shared" si="1880"/>
        <v>2300</v>
      </c>
      <c r="X927" s="97" t="s">
        <v>36</v>
      </c>
      <c r="Y927" s="97" t="s">
        <v>29</v>
      </c>
      <c r="Z927" s="105">
        <f t="shared" si="1881"/>
        <v>8.3636363636363633</v>
      </c>
      <c r="AA927" s="93"/>
    </row>
    <row r="928" spans="1:27" s="101" customFormat="1" hidden="1">
      <c r="A928" s="97">
        <f>SUBTOTAL(3,C$2:C928)</f>
        <v>467</v>
      </c>
      <c r="B928" s="97" t="s">
        <v>1086</v>
      </c>
      <c r="C928" s="97" t="s">
        <v>80</v>
      </c>
      <c r="D928" s="97" t="s">
        <v>32</v>
      </c>
      <c r="E928" s="97" t="s">
        <v>33</v>
      </c>
      <c r="F928" s="101" t="s">
        <v>1937</v>
      </c>
      <c r="G928" s="102" t="s">
        <v>1215</v>
      </c>
      <c r="H928" s="103" t="s">
        <v>1938</v>
      </c>
      <c r="I928" s="104">
        <v>46163</v>
      </c>
      <c r="J928" s="97">
        <f t="shared" ref="J928" ca="1" si="1882">+TODAY()-I928</f>
        <v>21</v>
      </c>
      <c r="K928" s="97" t="str">
        <f t="shared" ref="K928" si="1883">+U928</f>
        <v>Pending</v>
      </c>
      <c r="L928" s="101" t="s">
        <v>1939</v>
      </c>
      <c r="M928" s="97">
        <v>28000</v>
      </c>
      <c r="N928" s="97">
        <v>26000</v>
      </c>
      <c r="O928" s="104">
        <v>46163</v>
      </c>
      <c r="P928" s="97">
        <f t="shared" ref="P928" si="1884">+M928-N928</f>
        <v>2000</v>
      </c>
      <c r="Q928" s="97" t="s">
        <v>33</v>
      </c>
      <c r="R928" s="97" t="s">
        <v>39</v>
      </c>
      <c r="S928" s="97">
        <v>31500</v>
      </c>
      <c r="T928" s="64" t="s">
        <v>33</v>
      </c>
      <c r="U928" s="65" t="s">
        <v>33</v>
      </c>
      <c r="V928" s="97" t="s">
        <v>28</v>
      </c>
      <c r="W928" s="97">
        <f t="shared" ref="W928" si="1885">+S928-M928</f>
        <v>3500</v>
      </c>
      <c r="X928" s="97" t="s">
        <v>36</v>
      </c>
      <c r="Y928" s="97" t="s">
        <v>29</v>
      </c>
      <c r="Z928" s="105">
        <f t="shared" ref="Z928" si="1886">+W928*100/M928</f>
        <v>12.5</v>
      </c>
      <c r="AA928" s="93"/>
    </row>
    <row r="929" spans="1:27" s="101" customFormat="1" hidden="1">
      <c r="A929" s="97">
        <f>SUBTOTAL(3,C$2:C929)</f>
        <v>467</v>
      </c>
      <c r="B929" s="97" t="s">
        <v>1086</v>
      </c>
      <c r="C929" s="97" t="s">
        <v>1940</v>
      </c>
      <c r="D929" s="97" t="s">
        <v>32</v>
      </c>
      <c r="E929" s="97" t="s">
        <v>33</v>
      </c>
      <c r="F929" s="101" t="s">
        <v>1941</v>
      </c>
      <c r="G929" s="102" t="s">
        <v>1942</v>
      </c>
      <c r="H929" s="103" t="s">
        <v>1943</v>
      </c>
      <c r="I929" s="104">
        <v>46163</v>
      </c>
      <c r="J929" s="97">
        <f t="shared" ref="J929:J931" ca="1" si="1887">+TODAY()-I929</f>
        <v>21</v>
      </c>
      <c r="K929" s="97" t="str">
        <f t="shared" ref="K929:K931" si="1888">+U929</f>
        <v>Pending</v>
      </c>
      <c r="L929" s="101" t="s">
        <v>141</v>
      </c>
      <c r="M929" s="97">
        <f>3000+38500</f>
        <v>41500</v>
      </c>
      <c r="N929" s="97">
        <v>35500</v>
      </c>
      <c r="O929" s="104">
        <v>46163</v>
      </c>
      <c r="P929" s="97">
        <f t="shared" ref="P929:P931" si="1889">+M929-N929</f>
        <v>6000</v>
      </c>
      <c r="Q929" s="97" t="s">
        <v>33</v>
      </c>
      <c r="R929" s="97" t="s">
        <v>52</v>
      </c>
      <c r="S929" s="97">
        <f>5000+42000</f>
        <v>47000</v>
      </c>
      <c r="T929" s="64" t="s">
        <v>33</v>
      </c>
      <c r="U929" s="65" t="s">
        <v>33</v>
      </c>
      <c r="V929" s="97" t="s">
        <v>28</v>
      </c>
      <c r="W929" s="97">
        <f t="shared" ref="W929:W931" si="1890">+S929-M929</f>
        <v>5500</v>
      </c>
      <c r="X929" s="97" t="s">
        <v>36</v>
      </c>
      <c r="Y929" s="97" t="s">
        <v>29</v>
      </c>
      <c r="Z929" s="105">
        <f t="shared" ref="Z929:Z931" si="1891">+W929*100/M929</f>
        <v>13.253012048192771</v>
      </c>
      <c r="AA929" s="93"/>
    </row>
    <row r="930" spans="1:27" s="101" customFormat="1" hidden="1">
      <c r="A930" s="97">
        <f>SUBTOTAL(3,C$2:C930)</f>
        <v>467</v>
      </c>
      <c r="B930" s="97" t="s">
        <v>1086</v>
      </c>
      <c r="C930" s="97" t="s">
        <v>44</v>
      </c>
      <c r="D930" s="97" t="s">
        <v>32</v>
      </c>
      <c r="E930" s="97" t="s">
        <v>33</v>
      </c>
      <c r="F930" s="101" t="s">
        <v>378</v>
      </c>
      <c r="G930" s="102" t="s">
        <v>46</v>
      </c>
      <c r="H930" s="111" t="s">
        <v>1963</v>
      </c>
      <c r="I930" s="104">
        <v>46162</v>
      </c>
      <c r="J930" s="97">
        <f t="shared" ca="1" si="1887"/>
        <v>22</v>
      </c>
      <c r="K930" s="97" t="str">
        <f t="shared" si="1888"/>
        <v>Pending</v>
      </c>
      <c r="L930" s="101" t="s">
        <v>1949</v>
      </c>
      <c r="M930" s="97">
        <v>18000</v>
      </c>
      <c r="N930" s="97">
        <v>17000</v>
      </c>
      <c r="O930" s="104">
        <v>46164</v>
      </c>
      <c r="P930" s="97">
        <f t="shared" si="1889"/>
        <v>1000</v>
      </c>
      <c r="Q930" s="97" t="s">
        <v>33</v>
      </c>
      <c r="R930" s="97" t="s">
        <v>56</v>
      </c>
      <c r="S930" s="97">
        <v>20500</v>
      </c>
      <c r="T930" s="64" t="s">
        <v>33</v>
      </c>
      <c r="U930" s="65" t="s">
        <v>33</v>
      </c>
      <c r="V930" s="97" t="s">
        <v>28</v>
      </c>
      <c r="W930" s="97">
        <f t="shared" si="1890"/>
        <v>2500</v>
      </c>
      <c r="X930" s="97" t="s">
        <v>36</v>
      </c>
      <c r="Y930" s="97" t="s">
        <v>29</v>
      </c>
      <c r="Z930" s="105">
        <f t="shared" si="1891"/>
        <v>13.888888888888889</v>
      </c>
      <c r="AA930" s="93"/>
    </row>
    <row r="931" spans="1:27" s="101" customFormat="1" hidden="1">
      <c r="A931" s="97">
        <f>SUBTOTAL(3,C$2:C931)</f>
        <v>467</v>
      </c>
      <c r="B931" s="97" t="s">
        <v>1086</v>
      </c>
      <c r="C931" s="97" t="s">
        <v>1031</v>
      </c>
      <c r="D931" s="97" t="s">
        <v>32</v>
      </c>
      <c r="E931" s="97" t="s">
        <v>33</v>
      </c>
      <c r="F931" s="101" t="s">
        <v>1432</v>
      </c>
      <c r="G931" s="102" t="s">
        <v>34</v>
      </c>
      <c r="H931" s="103" t="s">
        <v>1964</v>
      </c>
      <c r="I931" s="104">
        <v>46163</v>
      </c>
      <c r="J931" s="97">
        <f t="shared" ca="1" si="1887"/>
        <v>21</v>
      </c>
      <c r="K931" s="97" t="str">
        <f t="shared" si="1888"/>
        <v>Pending</v>
      </c>
      <c r="L931" s="101" t="s">
        <v>1034</v>
      </c>
      <c r="M931" s="97">
        <v>18300</v>
      </c>
      <c r="N931" s="97">
        <v>16500</v>
      </c>
      <c r="O931" s="104">
        <v>46164</v>
      </c>
      <c r="P931" s="97">
        <f t="shared" si="1889"/>
        <v>1800</v>
      </c>
      <c r="Q931" s="97" t="s">
        <v>33</v>
      </c>
      <c r="R931" s="97" t="s">
        <v>37</v>
      </c>
      <c r="S931" s="97">
        <v>21500</v>
      </c>
      <c r="T931" s="64" t="s">
        <v>33</v>
      </c>
      <c r="U931" s="65" t="s">
        <v>33</v>
      </c>
      <c r="V931" s="97" t="s">
        <v>28</v>
      </c>
      <c r="W931" s="97">
        <f t="shared" si="1890"/>
        <v>3200</v>
      </c>
      <c r="X931" s="97" t="s">
        <v>963</v>
      </c>
      <c r="Y931" s="97" t="s">
        <v>29</v>
      </c>
      <c r="Z931" s="105">
        <f t="shared" si="1891"/>
        <v>17.486338797814209</v>
      </c>
      <c r="AA931" s="93"/>
    </row>
    <row r="932" spans="1:27" s="101" customFormat="1" hidden="1">
      <c r="A932" s="97">
        <f>SUBTOTAL(3,C$2:C932)</f>
        <v>467</v>
      </c>
      <c r="B932" s="97" t="s">
        <v>1086</v>
      </c>
      <c r="C932" s="97" t="s">
        <v>31</v>
      </c>
      <c r="D932" s="97" t="s">
        <v>32</v>
      </c>
      <c r="E932" s="97" t="s">
        <v>33</v>
      </c>
      <c r="F932" s="101" t="s">
        <v>1950</v>
      </c>
      <c r="G932" s="102" t="s">
        <v>34</v>
      </c>
      <c r="H932" s="103" t="s">
        <v>1965</v>
      </c>
      <c r="I932" s="104">
        <v>46163</v>
      </c>
      <c r="J932" s="97">
        <f t="shared" ref="J932:J933" ca="1" si="1892">+TODAY()-I932</f>
        <v>21</v>
      </c>
      <c r="K932" s="97" t="str">
        <f t="shared" ref="K932:K933" si="1893">+U932</f>
        <v>Pending</v>
      </c>
      <c r="L932" s="101" t="s">
        <v>1951</v>
      </c>
      <c r="M932" s="97">
        <v>28000</v>
      </c>
      <c r="N932" s="97">
        <v>26000</v>
      </c>
      <c r="O932" s="104">
        <v>46164</v>
      </c>
      <c r="P932" s="97">
        <f t="shared" ref="P932:P933" si="1894">+M932-N932</f>
        <v>2000</v>
      </c>
      <c r="Q932" s="97" t="s">
        <v>33</v>
      </c>
      <c r="R932" s="97" t="s">
        <v>174</v>
      </c>
      <c r="S932" s="97">
        <v>31500</v>
      </c>
      <c r="T932" s="64" t="s">
        <v>33</v>
      </c>
      <c r="U932" s="65" t="s">
        <v>33</v>
      </c>
      <c r="V932" s="97" t="s">
        <v>28</v>
      </c>
      <c r="W932" s="97">
        <f t="shared" ref="W932:W933" si="1895">+S932-M932</f>
        <v>3500</v>
      </c>
      <c r="X932" s="97" t="s">
        <v>36</v>
      </c>
      <c r="Y932" s="97" t="s">
        <v>29</v>
      </c>
      <c r="Z932" s="105">
        <f t="shared" ref="Z932:Z933" si="1896">+W932*100/M932</f>
        <v>12.5</v>
      </c>
      <c r="AA932" s="93"/>
    </row>
    <row r="933" spans="1:27" s="101" customFormat="1" hidden="1">
      <c r="A933" s="97">
        <f>SUBTOTAL(3,C$2:C933)</f>
        <v>467</v>
      </c>
      <c r="B933" s="97" t="s">
        <v>1086</v>
      </c>
      <c r="C933" s="97" t="s">
        <v>44</v>
      </c>
      <c r="D933" s="97" t="s">
        <v>32</v>
      </c>
      <c r="E933" s="97" t="s">
        <v>33</v>
      </c>
      <c r="F933" s="101" t="s">
        <v>150</v>
      </c>
      <c r="G933" s="102">
        <v>407</v>
      </c>
      <c r="H933" s="103" t="s">
        <v>1966</v>
      </c>
      <c r="I933" s="104">
        <v>46161</v>
      </c>
      <c r="J933" s="97">
        <f t="shared" ca="1" si="1892"/>
        <v>23</v>
      </c>
      <c r="K933" s="97">
        <f t="shared" si="1893"/>
        <v>46170</v>
      </c>
      <c r="L933" s="101" t="s">
        <v>131</v>
      </c>
      <c r="M933" s="97">
        <v>27000</v>
      </c>
      <c r="N933" s="97">
        <v>25000</v>
      </c>
      <c r="O933" s="104">
        <v>46164</v>
      </c>
      <c r="P933" s="97">
        <f t="shared" si="1894"/>
        <v>2000</v>
      </c>
      <c r="Q933" s="97" t="s">
        <v>33</v>
      </c>
      <c r="R933" s="97" t="s">
        <v>78</v>
      </c>
      <c r="S933" s="97">
        <v>29800</v>
      </c>
      <c r="T933" s="64" t="s">
        <v>2678</v>
      </c>
      <c r="U933" s="65">
        <v>46170</v>
      </c>
      <c r="V933" s="97" t="s">
        <v>28</v>
      </c>
      <c r="W933" s="97">
        <f t="shared" si="1895"/>
        <v>2800</v>
      </c>
      <c r="X933" s="97" t="s">
        <v>36</v>
      </c>
      <c r="Y933" s="97" t="s">
        <v>29</v>
      </c>
      <c r="Z933" s="105">
        <f t="shared" si="1896"/>
        <v>10.37037037037037</v>
      </c>
      <c r="AA933" s="93"/>
    </row>
    <row r="934" spans="1:27" s="101" customFormat="1" hidden="1">
      <c r="A934" s="97">
        <f>SUBTOTAL(3,C$2:C934)</f>
        <v>467</v>
      </c>
      <c r="B934" s="97" t="s">
        <v>1086</v>
      </c>
      <c r="C934" s="97" t="s">
        <v>44</v>
      </c>
      <c r="D934" s="97" t="s">
        <v>32</v>
      </c>
      <c r="E934" s="97" t="s">
        <v>33</v>
      </c>
      <c r="F934" s="101" t="s">
        <v>1952</v>
      </c>
      <c r="G934" s="102">
        <v>407</v>
      </c>
      <c r="H934" s="103" t="s">
        <v>1967</v>
      </c>
      <c r="I934" s="104">
        <v>46162</v>
      </c>
      <c r="J934" s="97">
        <f t="shared" ref="J934:J936" ca="1" si="1897">+TODAY()-I934</f>
        <v>22</v>
      </c>
      <c r="K934" s="97" t="str">
        <f t="shared" ref="K934:K936" si="1898">+U934</f>
        <v>Pending</v>
      </c>
      <c r="L934" s="101" t="s">
        <v>131</v>
      </c>
      <c r="M934" s="97">
        <v>27000</v>
      </c>
      <c r="N934" s="97">
        <v>25000</v>
      </c>
      <c r="O934" s="104">
        <v>46164</v>
      </c>
      <c r="P934" s="97">
        <f t="shared" ref="P934:P936" si="1899">+M934-N934</f>
        <v>2000</v>
      </c>
      <c r="Q934" s="97" t="s">
        <v>33</v>
      </c>
      <c r="R934" s="97" t="s">
        <v>78</v>
      </c>
      <c r="S934" s="97">
        <v>29800</v>
      </c>
      <c r="T934" s="64" t="s">
        <v>33</v>
      </c>
      <c r="U934" s="65" t="s">
        <v>33</v>
      </c>
      <c r="V934" s="97" t="s">
        <v>28</v>
      </c>
      <c r="W934" s="97">
        <f t="shared" ref="W934:W936" si="1900">+S934-M934</f>
        <v>2800</v>
      </c>
      <c r="X934" s="97" t="s">
        <v>36</v>
      </c>
      <c r="Y934" s="97" t="s">
        <v>29</v>
      </c>
      <c r="Z934" s="105">
        <f t="shared" ref="Z934:Z936" si="1901">+W934*100/M934</f>
        <v>10.37037037037037</v>
      </c>
      <c r="AA934" s="93"/>
    </row>
    <row r="935" spans="1:27" s="101" customFormat="1" hidden="1">
      <c r="A935" s="97">
        <f>SUBTOTAL(3,C$2:C935)</f>
        <v>467</v>
      </c>
      <c r="B935" s="97" t="s">
        <v>1086</v>
      </c>
      <c r="C935" s="97" t="s">
        <v>31</v>
      </c>
      <c r="D935" s="97" t="s">
        <v>32</v>
      </c>
      <c r="E935" s="97" t="s">
        <v>33</v>
      </c>
      <c r="F935" s="101" t="s">
        <v>253</v>
      </c>
      <c r="G935" s="102" t="s">
        <v>34</v>
      </c>
      <c r="H935" s="103" t="s">
        <v>1968</v>
      </c>
      <c r="I935" s="104">
        <v>46162</v>
      </c>
      <c r="J935" s="97">
        <f t="shared" ca="1" si="1897"/>
        <v>22</v>
      </c>
      <c r="K935" s="97" t="str">
        <f t="shared" si="1898"/>
        <v>Pending</v>
      </c>
      <c r="L935" s="101" t="s">
        <v>400</v>
      </c>
      <c r="M935" s="97">
        <v>23300</v>
      </c>
      <c r="N935" s="97">
        <v>21500</v>
      </c>
      <c r="O935" s="104">
        <v>46164</v>
      </c>
      <c r="P935" s="97">
        <f t="shared" si="1899"/>
        <v>1800</v>
      </c>
      <c r="Q935" s="97" t="s">
        <v>33</v>
      </c>
      <c r="R935" s="97" t="s">
        <v>37</v>
      </c>
      <c r="S935" s="97">
        <v>26000</v>
      </c>
      <c r="T935" s="64" t="s">
        <v>33</v>
      </c>
      <c r="U935" s="65" t="s">
        <v>33</v>
      </c>
      <c r="V935" s="97" t="s">
        <v>28</v>
      </c>
      <c r="W935" s="97">
        <f t="shared" si="1900"/>
        <v>2700</v>
      </c>
      <c r="X935" s="97" t="s">
        <v>36</v>
      </c>
      <c r="Y935" s="97" t="s">
        <v>29</v>
      </c>
      <c r="Z935" s="105">
        <f t="shared" si="1901"/>
        <v>11.587982832618026</v>
      </c>
      <c r="AA935" s="93"/>
    </row>
    <row r="936" spans="1:27" s="101" customFormat="1" hidden="1">
      <c r="A936" s="97">
        <f>SUBTOTAL(3,C$2:C936)</f>
        <v>467</v>
      </c>
      <c r="B936" s="97" t="s">
        <v>1086</v>
      </c>
      <c r="C936" s="97" t="s">
        <v>1031</v>
      </c>
      <c r="D936" s="97" t="s">
        <v>32</v>
      </c>
      <c r="E936" s="97" t="s">
        <v>33</v>
      </c>
      <c r="F936" s="101" t="s">
        <v>230</v>
      </c>
      <c r="G936" s="102" t="s">
        <v>34</v>
      </c>
      <c r="H936" s="103" t="s">
        <v>1969</v>
      </c>
      <c r="I936" s="104">
        <v>46163</v>
      </c>
      <c r="J936" s="97">
        <f t="shared" ca="1" si="1897"/>
        <v>21</v>
      </c>
      <c r="K936" s="97">
        <f t="shared" si="1898"/>
        <v>46169</v>
      </c>
      <c r="L936" s="101" t="s">
        <v>698</v>
      </c>
      <c r="M936" s="97">
        <v>18000</v>
      </c>
      <c r="N936" s="97">
        <v>16000</v>
      </c>
      <c r="O936" s="104">
        <v>46164</v>
      </c>
      <c r="P936" s="97">
        <f t="shared" si="1899"/>
        <v>2000</v>
      </c>
      <c r="Q936" s="97" t="s">
        <v>33</v>
      </c>
      <c r="R936" s="97" t="s">
        <v>56</v>
      </c>
      <c r="S936" s="97">
        <v>20500</v>
      </c>
      <c r="T936" s="64" t="s">
        <v>2691</v>
      </c>
      <c r="U936" s="65">
        <v>46169</v>
      </c>
      <c r="V936" s="97" t="s">
        <v>28</v>
      </c>
      <c r="W936" s="97">
        <f t="shared" si="1900"/>
        <v>2500</v>
      </c>
      <c r="X936" s="97" t="s">
        <v>963</v>
      </c>
      <c r="Y936" s="97" t="s">
        <v>29</v>
      </c>
      <c r="Z936" s="105">
        <f t="shared" si="1901"/>
        <v>13.888888888888889</v>
      </c>
      <c r="AA936" s="93"/>
    </row>
    <row r="937" spans="1:27" hidden="1">
      <c r="A937" s="64">
        <f>SUBTOTAL(3,C$2:C937)</f>
        <v>467</v>
      </c>
      <c r="B937" s="64" t="s">
        <v>1086</v>
      </c>
      <c r="C937" s="64" t="s">
        <v>1031</v>
      </c>
      <c r="D937" s="64" t="s">
        <v>32</v>
      </c>
      <c r="E937" s="64" t="s">
        <v>33</v>
      </c>
      <c r="F937" s="63" t="s">
        <v>1953</v>
      </c>
      <c r="G937" s="91" t="s">
        <v>34</v>
      </c>
      <c r="H937" s="77" t="s">
        <v>2012</v>
      </c>
      <c r="I937" s="65">
        <v>46163</v>
      </c>
      <c r="J937" s="64">
        <f t="shared" ref="J937:J939" ca="1" si="1902">+TODAY()-I937</f>
        <v>21</v>
      </c>
      <c r="K937" s="64" t="str">
        <f t="shared" ref="K937:K939" si="1903">+U937</f>
        <v>Pending</v>
      </c>
      <c r="L937" s="63" t="s">
        <v>698</v>
      </c>
      <c r="M937" s="64">
        <v>18000</v>
      </c>
      <c r="N937" s="64">
        <v>16000</v>
      </c>
      <c r="O937" s="65">
        <v>46164</v>
      </c>
      <c r="P937" s="64">
        <f t="shared" ref="P937:P939" si="1904">+M937-N937</f>
        <v>2000</v>
      </c>
      <c r="Q937" s="64" t="s">
        <v>33</v>
      </c>
      <c r="R937" s="64" t="s">
        <v>56</v>
      </c>
      <c r="S937" s="64">
        <v>20500</v>
      </c>
      <c r="T937" s="64" t="s">
        <v>33</v>
      </c>
      <c r="U937" s="65" t="s">
        <v>33</v>
      </c>
      <c r="V937" s="64" t="s">
        <v>28</v>
      </c>
      <c r="W937" s="64">
        <f t="shared" ref="W937:W939" si="1905">+S937-M937</f>
        <v>2500</v>
      </c>
      <c r="X937" s="64" t="s">
        <v>963</v>
      </c>
      <c r="Y937" s="64" t="s">
        <v>29</v>
      </c>
      <c r="Z937" s="71">
        <f t="shared" ref="Z937:Z939" si="1906">+W937*100/M937</f>
        <v>13.888888888888889</v>
      </c>
      <c r="AA937" s="93"/>
    </row>
    <row r="938" spans="1:27" s="101" customFormat="1" hidden="1">
      <c r="A938" s="97">
        <f>SUBTOTAL(3,C$2:C938)</f>
        <v>467</v>
      </c>
      <c r="B938" s="97" t="s">
        <v>1086</v>
      </c>
      <c r="C938" s="97" t="s">
        <v>31</v>
      </c>
      <c r="D938" s="97" t="s">
        <v>32</v>
      </c>
      <c r="E938" s="97" t="s">
        <v>33</v>
      </c>
      <c r="F938" s="101" t="s">
        <v>1278</v>
      </c>
      <c r="G938" s="102" t="s">
        <v>34</v>
      </c>
      <c r="H938" s="111" t="s">
        <v>1970</v>
      </c>
      <c r="I938" s="104">
        <v>46164</v>
      </c>
      <c r="J938" s="97">
        <f t="shared" ca="1" si="1902"/>
        <v>20</v>
      </c>
      <c r="K938" s="97" t="str">
        <f t="shared" si="1903"/>
        <v>Pending</v>
      </c>
      <c r="L938" s="101" t="s">
        <v>1954</v>
      </c>
      <c r="M938" s="97">
        <v>18300</v>
      </c>
      <c r="N938" s="97">
        <v>16500</v>
      </c>
      <c r="O938" s="104">
        <v>46164</v>
      </c>
      <c r="P938" s="97">
        <f t="shared" si="1904"/>
        <v>1800</v>
      </c>
      <c r="Q938" s="97" t="s">
        <v>33</v>
      </c>
      <c r="R938" s="97" t="s">
        <v>37</v>
      </c>
      <c r="S938" s="97">
        <v>21500</v>
      </c>
      <c r="T938" s="64" t="s">
        <v>33</v>
      </c>
      <c r="U938" s="65" t="s">
        <v>33</v>
      </c>
      <c r="V938" s="97" t="s">
        <v>28</v>
      </c>
      <c r="W938" s="97">
        <f t="shared" si="1905"/>
        <v>3200</v>
      </c>
      <c r="X938" s="97" t="s">
        <v>36</v>
      </c>
      <c r="Y938" s="97" t="s">
        <v>29</v>
      </c>
      <c r="Z938" s="105">
        <f t="shared" si="1906"/>
        <v>17.486338797814209</v>
      </c>
      <c r="AA938" s="93"/>
    </row>
    <row r="939" spans="1:27" s="101" customFormat="1" hidden="1">
      <c r="A939" s="97">
        <f>SUBTOTAL(3,C$2:C939)</f>
        <v>467</v>
      </c>
      <c r="B939" s="97" t="s">
        <v>1086</v>
      </c>
      <c r="C939" s="97" t="s">
        <v>80</v>
      </c>
      <c r="D939" s="97" t="s">
        <v>32</v>
      </c>
      <c r="E939" s="97" t="s">
        <v>33</v>
      </c>
      <c r="F939" s="101" t="s">
        <v>1955</v>
      </c>
      <c r="G939" s="102" t="s">
        <v>1215</v>
      </c>
      <c r="H939" s="103" t="s">
        <v>1971</v>
      </c>
      <c r="I939" s="104">
        <v>46164</v>
      </c>
      <c r="J939" s="97">
        <f t="shared" ca="1" si="1902"/>
        <v>20</v>
      </c>
      <c r="K939" s="97" t="str">
        <f t="shared" si="1903"/>
        <v>Pending</v>
      </c>
      <c r="L939" s="101" t="s">
        <v>1939</v>
      </c>
      <c r="M939" s="97">
        <v>28000</v>
      </c>
      <c r="N939" s="97">
        <v>26000</v>
      </c>
      <c r="O939" s="104">
        <v>46164</v>
      </c>
      <c r="P939" s="97">
        <f t="shared" si="1904"/>
        <v>2000</v>
      </c>
      <c r="Q939" s="97" t="s">
        <v>33</v>
      </c>
      <c r="R939" s="97" t="s">
        <v>39</v>
      </c>
      <c r="S939" s="97">
        <v>31500</v>
      </c>
      <c r="T939" s="64" t="s">
        <v>33</v>
      </c>
      <c r="U939" s="65" t="s">
        <v>33</v>
      </c>
      <c r="V939" s="97" t="s">
        <v>28</v>
      </c>
      <c r="W939" s="97">
        <f t="shared" si="1905"/>
        <v>3500</v>
      </c>
      <c r="X939" s="97" t="s">
        <v>36</v>
      </c>
      <c r="Y939" s="97" t="s">
        <v>29</v>
      </c>
      <c r="Z939" s="105">
        <f t="shared" si="1906"/>
        <v>12.5</v>
      </c>
      <c r="AA939" s="93"/>
    </row>
    <row r="940" spans="1:27" s="101" customFormat="1" hidden="1">
      <c r="A940" s="97">
        <f>SUBTOTAL(3,C$2:C940)</f>
        <v>467</v>
      </c>
      <c r="B940" s="97" t="s">
        <v>1086</v>
      </c>
      <c r="C940" s="97" t="s">
        <v>80</v>
      </c>
      <c r="D940" s="97" t="s">
        <v>32</v>
      </c>
      <c r="E940" s="97" t="s">
        <v>33</v>
      </c>
      <c r="F940" s="101" t="s">
        <v>81</v>
      </c>
      <c r="G940" s="102" t="s">
        <v>59</v>
      </c>
      <c r="H940" s="103" t="s">
        <v>1972</v>
      </c>
      <c r="I940" s="104">
        <v>46164</v>
      </c>
      <c r="J940" s="97">
        <f t="shared" ref="J940:J946" ca="1" si="1907">+TODAY()-I940</f>
        <v>20</v>
      </c>
      <c r="K940" s="97" t="str">
        <f t="shared" ref="K940:K946" si="1908">+U940</f>
        <v>Pending</v>
      </c>
      <c r="L940" s="101" t="s">
        <v>1956</v>
      </c>
      <c r="M940" s="97">
        <v>35000</v>
      </c>
      <c r="N940" s="97">
        <v>32000</v>
      </c>
      <c r="O940" s="104">
        <v>46164</v>
      </c>
      <c r="P940" s="97">
        <f t="shared" ref="P940:P946" si="1909">+M940-N940</f>
        <v>3000</v>
      </c>
      <c r="Q940" s="97" t="s">
        <v>33</v>
      </c>
      <c r="R940" s="97" t="s">
        <v>37</v>
      </c>
      <c r="S940" s="97">
        <v>38000</v>
      </c>
      <c r="T940" s="64" t="s">
        <v>33</v>
      </c>
      <c r="U940" s="65" t="s">
        <v>33</v>
      </c>
      <c r="V940" s="97" t="s">
        <v>28</v>
      </c>
      <c r="W940" s="97">
        <f t="shared" ref="W940:W946" si="1910">+S940-M940</f>
        <v>3000</v>
      </c>
      <c r="X940" s="97" t="s">
        <v>36</v>
      </c>
      <c r="Y940" s="97" t="s">
        <v>29</v>
      </c>
      <c r="Z940" s="105">
        <f t="shared" ref="Z940:Z946" si="1911">+W940*100/M940</f>
        <v>8.5714285714285712</v>
      </c>
      <c r="AA940" s="93"/>
    </row>
    <row r="941" spans="1:27" s="101" customFormat="1" hidden="1">
      <c r="A941" s="97">
        <f>SUBTOTAL(3,C$2:C941)</f>
        <v>467</v>
      </c>
      <c r="B941" s="97" t="s">
        <v>1086</v>
      </c>
      <c r="C941" s="97" t="s">
        <v>31</v>
      </c>
      <c r="D941" s="97" t="s">
        <v>32</v>
      </c>
      <c r="E941" s="97" t="s">
        <v>33</v>
      </c>
      <c r="F941" s="101" t="s">
        <v>1701</v>
      </c>
      <c r="G941" s="102" t="s">
        <v>34</v>
      </c>
      <c r="H941" s="103" t="s">
        <v>1973</v>
      </c>
      <c r="I941" s="104">
        <v>46164</v>
      </c>
      <c r="J941" s="97">
        <f t="shared" ca="1" si="1907"/>
        <v>20</v>
      </c>
      <c r="K941" s="97" t="str">
        <f t="shared" si="1908"/>
        <v>Pending</v>
      </c>
      <c r="L941" s="101" t="s">
        <v>483</v>
      </c>
      <c r="M941" s="97">
        <v>23300</v>
      </c>
      <c r="N941" s="97">
        <v>21500</v>
      </c>
      <c r="O941" s="104">
        <v>46164</v>
      </c>
      <c r="P941" s="97">
        <f t="shared" si="1909"/>
        <v>1800</v>
      </c>
      <c r="Q941" s="97" t="s">
        <v>33</v>
      </c>
      <c r="R941" s="97" t="s">
        <v>37</v>
      </c>
      <c r="S941" s="97">
        <v>26000</v>
      </c>
      <c r="T941" s="64" t="s">
        <v>33</v>
      </c>
      <c r="U941" s="65" t="s">
        <v>33</v>
      </c>
      <c r="V941" s="97" t="s">
        <v>28</v>
      </c>
      <c r="W941" s="97">
        <f t="shared" si="1910"/>
        <v>2700</v>
      </c>
      <c r="X941" s="97" t="s">
        <v>36</v>
      </c>
      <c r="Y941" s="97" t="s">
        <v>29</v>
      </c>
      <c r="Z941" s="105">
        <f t="shared" si="1911"/>
        <v>11.587982832618026</v>
      </c>
      <c r="AA941" s="93"/>
    </row>
    <row r="942" spans="1:27" s="101" customFormat="1" hidden="1">
      <c r="A942" s="97">
        <f>SUBTOTAL(3,C$2:C942)</f>
        <v>467</v>
      </c>
      <c r="B942" s="97" t="s">
        <v>1086</v>
      </c>
      <c r="C942" s="97" t="s">
        <v>137</v>
      </c>
      <c r="D942" s="97" t="s">
        <v>32</v>
      </c>
      <c r="E942" s="97" t="s">
        <v>33</v>
      </c>
      <c r="F942" s="101" t="s">
        <v>138</v>
      </c>
      <c r="G942" s="102" t="s">
        <v>50</v>
      </c>
      <c r="H942" s="103" t="s">
        <v>1974</v>
      </c>
      <c r="I942" s="104">
        <v>46164</v>
      </c>
      <c r="J942" s="97">
        <f t="shared" ca="1" si="1907"/>
        <v>20</v>
      </c>
      <c r="K942" s="97" t="str">
        <f t="shared" si="1908"/>
        <v>Pending</v>
      </c>
      <c r="L942" s="101" t="s">
        <v>139</v>
      </c>
      <c r="M942" s="97">
        <f>3000+44000</f>
        <v>47000</v>
      </c>
      <c r="N942" s="97">
        <v>40000</v>
      </c>
      <c r="O942" s="104">
        <v>46164</v>
      </c>
      <c r="P942" s="97">
        <f t="shared" si="1909"/>
        <v>7000</v>
      </c>
      <c r="Q942" s="97" t="s">
        <v>33</v>
      </c>
      <c r="R942" s="97" t="s">
        <v>52</v>
      </c>
      <c r="S942" s="97">
        <f>5000+48000</f>
        <v>53000</v>
      </c>
      <c r="T942" s="64" t="s">
        <v>33</v>
      </c>
      <c r="U942" s="65" t="s">
        <v>33</v>
      </c>
      <c r="V942" s="97" t="s">
        <v>28</v>
      </c>
      <c r="W942" s="97">
        <f t="shared" si="1910"/>
        <v>6000</v>
      </c>
      <c r="X942" s="97" t="s">
        <v>36</v>
      </c>
      <c r="Y942" s="97" t="s">
        <v>29</v>
      </c>
      <c r="Z942" s="105">
        <f t="shared" si="1911"/>
        <v>12.76595744680851</v>
      </c>
      <c r="AA942" s="93"/>
    </row>
    <row r="943" spans="1:27" s="101" customFormat="1">
      <c r="A943" s="97">
        <f>SUBTOTAL(3,C$2:C943)</f>
        <v>468</v>
      </c>
      <c r="B943" s="97" t="s">
        <v>30</v>
      </c>
      <c r="C943" s="97" t="s">
        <v>94</v>
      </c>
      <c r="D943" s="97" t="s">
        <v>32</v>
      </c>
      <c r="E943" s="97" t="s">
        <v>33</v>
      </c>
      <c r="F943" s="101" t="s">
        <v>95</v>
      </c>
      <c r="G943" s="102" t="s">
        <v>67</v>
      </c>
      <c r="H943" s="111" t="s">
        <v>1975</v>
      </c>
      <c r="I943" s="104">
        <v>46163</v>
      </c>
      <c r="J943" s="97">
        <f t="shared" ca="1" si="1907"/>
        <v>21</v>
      </c>
      <c r="K943" s="97" t="str">
        <f t="shared" si="1908"/>
        <v>Pending</v>
      </c>
      <c r="L943" s="64" t="s">
        <v>97</v>
      </c>
      <c r="M943" s="97">
        <f>3000+38500</f>
        <v>41500</v>
      </c>
      <c r="N943" s="97">
        <v>35500</v>
      </c>
      <c r="O943" s="104">
        <v>46164</v>
      </c>
      <c r="P943" s="97">
        <f t="shared" si="1909"/>
        <v>6000</v>
      </c>
      <c r="Q943" s="97" t="s">
        <v>33</v>
      </c>
      <c r="R943" s="97" t="s">
        <v>52</v>
      </c>
      <c r="S943" s="97">
        <f>5000+42000</f>
        <v>47000</v>
      </c>
      <c r="T943" s="64" t="s">
        <v>33</v>
      </c>
      <c r="U943" s="65" t="s">
        <v>33</v>
      </c>
      <c r="V943" s="97" t="s">
        <v>28</v>
      </c>
      <c r="W943" s="97">
        <f t="shared" si="1910"/>
        <v>5500</v>
      </c>
      <c r="X943" s="97" t="s">
        <v>36</v>
      </c>
      <c r="Y943" s="97" t="s">
        <v>29</v>
      </c>
      <c r="Z943" s="105">
        <f t="shared" si="1911"/>
        <v>13.253012048192771</v>
      </c>
      <c r="AA943" s="93"/>
    </row>
    <row r="944" spans="1:27" s="101" customFormat="1" hidden="1">
      <c r="A944" s="97">
        <f>SUBTOTAL(3,C$2:C944)</f>
        <v>468</v>
      </c>
      <c r="B944" s="97" t="s">
        <v>1086</v>
      </c>
      <c r="C944" s="97" t="s">
        <v>80</v>
      </c>
      <c r="D944" s="97" t="s">
        <v>32</v>
      </c>
      <c r="E944" s="97" t="s">
        <v>33</v>
      </c>
      <c r="F944" s="101" t="s">
        <v>1957</v>
      </c>
      <c r="G944" s="102" t="s">
        <v>1215</v>
      </c>
      <c r="H944" s="103" t="s">
        <v>1976</v>
      </c>
      <c r="I944" s="104">
        <v>46164</v>
      </c>
      <c r="J944" s="97">
        <f t="shared" ca="1" si="1907"/>
        <v>20</v>
      </c>
      <c r="K944" s="97" t="str">
        <f t="shared" si="1908"/>
        <v>Pending</v>
      </c>
      <c r="L944" s="101" t="s">
        <v>1939</v>
      </c>
      <c r="M944" s="97">
        <v>28000</v>
      </c>
      <c r="N944" s="97">
        <v>26000</v>
      </c>
      <c r="O944" s="104">
        <v>46164</v>
      </c>
      <c r="P944" s="97">
        <f t="shared" si="1909"/>
        <v>2000</v>
      </c>
      <c r="Q944" s="97" t="s">
        <v>33</v>
      </c>
      <c r="R944" s="97" t="s">
        <v>39</v>
      </c>
      <c r="S944" s="97">
        <v>31500</v>
      </c>
      <c r="T944" s="64" t="s">
        <v>33</v>
      </c>
      <c r="U944" s="65" t="s">
        <v>33</v>
      </c>
      <c r="V944" s="97" t="s">
        <v>28</v>
      </c>
      <c r="W944" s="97">
        <f t="shared" si="1910"/>
        <v>3500</v>
      </c>
      <c r="X944" s="97" t="s">
        <v>36</v>
      </c>
      <c r="Y944" s="97" t="s">
        <v>29</v>
      </c>
      <c r="Z944" s="105">
        <f t="shared" si="1911"/>
        <v>12.5</v>
      </c>
      <c r="AA944" s="93"/>
    </row>
    <row r="945" spans="1:27" s="101" customFormat="1" hidden="1">
      <c r="A945" s="97">
        <f>SUBTOTAL(3,C$2:C945)</f>
        <v>468</v>
      </c>
      <c r="B945" s="97" t="s">
        <v>1086</v>
      </c>
      <c r="C945" s="97" t="s">
        <v>44</v>
      </c>
      <c r="D945" s="97" t="s">
        <v>32</v>
      </c>
      <c r="E945" s="97" t="s">
        <v>33</v>
      </c>
      <c r="F945" s="101" t="s">
        <v>373</v>
      </c>
      <c r="G945" s="102" t="s">
        <v>143</v>
      </c>
      <c r="H945" s="103" t="s">
        <v>1977</v>
      </c>
      <c r="I945" s="104">
        <v>46164</v>
      </c>
      <c r="J945" s="97">
        <f t="shared" ca="1" si="1907"/>
        <v>20</v>
      </c>
      <c r="K945" s="97" t="str">
        <f t="shared" si="1908"/>
        <v>Pending</v>
      </c>
      <c r="L945" s="101" t="s">
        <v>144</v>
      </c>
      <c r="M945" s="97">
        <v>31500</v>
      </c>
      <c r="N945" s="97">
        <v>28500</v>
      </c>
      <c r="O945" s="104">
        <v>46164</v>
      </c>
      <c r="P945" s="97">
        <f t="shared" si="1909"/>
        <v>3000</v>
      </c>
      <c r="Q945" s="97" t="s">
        <v>33</v>
      </c>
      <c r="R945" s="97" t="s">
        <v>39</v>
      </c>
      <c r="S945" s="97">
        <v>35000</v>
      </c>
      <c r="T945" s="64" t="s">
        <v>33</v>
      </c>
      <c r="U945" s="65" t="s">
        <v>33</v>
      </c>
      <c r="V945" s="97" t="s">
        <v>28</v>
      </c>
      <c r="W945" s="97">
        <f t="shared" si="1910"/>
        <v>3500</v>
      </c>
      <c r="X945" s="97" t="s">
        <v>36</v>
      </c>
      <c r="Y945" s="97" t="s">
        <v>29</v>
      </c>
      <c r="Z945" s="105">
        <f t="shared" si="1911"/>
        <v>11.111111111111111</v>
      </c>
      <c r="AA945" s="93"/>
    </row>
    <row r="946" spans="1:27" s="101" customFormat="1" hidden="1">
      <c r="A946" s="97">
        <f>SUBTOTAL(3,C$2:C946)</f>
        <v>468</v>
      </c>
      <c r="B946" s="97" t="s">
        <v>1086</v>
      </c>
      <c r="C946" s="97" t="s">
        <v>31</v>
      </c>
      <c r="D946" s="97" t="s">
        <v>32</v>
      </c>
      <c r="E946" s="97" t="s">
        <v>33</v>
      </c>
      <c r="F946" s="101" t="s">
        <v>41</v>
      </c>
      <c r="G946" s="102" t="s">
        <v>34</v>
      </c>
      <c r="H946" s="111" t="s">
        <v>1994</v>
      </c>
      <c r="I946" s="104">
        <v>46164</v>
      </c>
      <c r="J946" s="97">
        <f t="shared" ca="1" si="1907"/>
        <v>20</v>
      </c>
      <c r="K946" s="97" t="str">
        <f t="shared" si="1908"/>
        <v>Pending</v>
      </c>
      <c r="L946" s="101" t="s">
        <v>1411</v>
      </c>
      <c r="M946" s="97">
        <v>19000</v>
      </c>
      <c r="N946" s="97">
        <v>17000</v>
      </c>
      <c r="O946" s="104">
        <v>46164</v>
      </c>
      <c r="P946" s="97">
        <f t="shared" si="1909"/>
        <v>2000</v>
      </c>
      <c r="Q946" s="97" t="s">
        <v>33</v>
      </c>
      <c r="R946" s="97" t="s">
        <v>39</v>
      </c>
      <c r="S946" s="97">
        <v>21800</v>
      </c>
      <c r="T946" s="64" t="s">
        <v>33</v>
      </c>
      <c r="U946" s="65" t="s">
        <v>33</v>
      </c>
      <c r="V946" s="97" t="s">
        <v>28</v>
      </c>
      <c r="W946" s="97">
        <f t="shared" si="1910"/>
        <v>2800</v>
      </c>
      <c r="X946" s="97" t="s">
        <v>36</v>
      </c>
      <c r="Y946" s="97" t="s">
        <v>29</v>
      </c>
      <c r="Z946" s="105">
        <f t="shared" si="1911"/>
        <v>14.736842105263158</v>
      </c>
      <c r="AA946" s="93"/>
    </row>
    <row r="947" spans="1:27" s="101" customFormat="1" hidden="1">
      <c r="A947" s="97">
        <f>SUBTOTAL(3,C$2:C947)</f>
        <v>468</v>
      </c>
      <c r="B947" s="97" t="s">
        <v>1086</v>
      </c>
      <c r="C947" s="97" t="s">
        <v>44</v>
      </c>
      <c r="D947" s="97" t="s">
        <v>32</v>
      </c>
      <c r="E947" s="97" t="s">
        <v>33</v>
      </c>
      <c r="F947" s="101" t="s">
        <v>281</v>
      </c>
      <c r="G947" s="102">
        <v>407</v>
      </c>
      <c r="H947" s="111" t="s">
        <v>1995</v>
      </c>
      <c r="I947" s="104">
        <v>46164</v>
      </c>
      <c r="J947" s="97">
        <f t="shared" ref="J947:J952" ca="1" si="1912">+TODAY()-I947</f>
        <v>20</v>
      </c>
      <c r="K947" s="97" t="str">
        <f t="shared" ref="K947:K952" si="1913">+U947</f>
        <v>Pending</v>
      </c>
      <c r="L947" s="101" t="s">
        <v>84</v>
      </c>
      <c r="M947" s="97">
        <v>27500</v>
      </c>
      <c r="N947" s="97">
        <v>25500</v>
      </c>
      <c r="O947" s="104">
        <v>46164</v>
      </c>
      <c r="P947" s="97">
        <f t="shared" ref="P947:P952" si="1914">+M947-N947</f>
        <v>2000</v>
      </c>
      <c r="Q947" s="97" t="s">
        <v>33</v>
      </c>
      <c r="R947" s="97" t="s">
        <v>56</v>
      </c>
      <c r="S947" s="97">
        <v>29800</v>
      </c>
      <c r="T947" s="64" t="s">
        <v>33</v>
      </c>
      <c r="U947" s="65" t="s">
        <v>33</v>
      </c>
      <c r="V947" s="97" t="s">
        <v>28</v>
      </c>
      <c r="W947" s="97">
        <f t="shared" ref="W947:W952" si="1915">+S947-M947</f>
        <v>2300</v>
      </c>
      <c r="X947" s="97" t="s">
        <v>36</v>
      </c>
      <c r="Y947" s="97" t="s">
        <v>29</v>
      </c>
      <c r="Z947" s="105">
        <f t="shared" ref="Z947:Z952" si="1916">+W947*100/M947</f>
        <v>8.3636363636363633</v>
      </c>
      <c r="AA947" s="93"/>
    </row>
    <row r="948" spans="1:27" s="101" customFormat="1" hidden="1">
      <c r="A948" s="97">
        <f>SUBTOTAL(3,C$2:C948)</f>
        <v>468</v>
      </c>
      <c r="B948" s="97" t="s">
        <v>1086</v>
      </c>
      <c r="C948" s="97" t="s">
        <v>80</v>
      </c>
      <c r="D948" s="97" t="s">
        <v>32</v>
      </c>
      <c r="E948" s="97" t="s">
        <v>33</v>
      </c>
      <c r="F948" s="101" t="s">
        <v>1513</v>
      </c>
      <c r="G948" s="102" t="s">
        <v>1215</v>
      </c>
      <c r="H948" s="111" t="s">
        <v>2001</v>
      </c>
      <c r="I948" s="104">
        <v>46164</v>
      </c>
      <c r="J948" s="97">
        <f t="shared" ca="1" si="1912"/>
        <v>20</v>
      </c>
      <c r="K948" s="97" t="str">
        <f t="shared" si="1913"/>
        <v>Pending</v>
      </c>
      <c r="L948" s="101" t="s">
        <v>1939</v>
      </c>
      <c r="M948" s="97">
        <v>28000</v>
      </c>
      <c r="N948" s="97">
        <v>26000</v>
      </c>
      <c r="O948" s="104">
        <v>46164</v>
      </c>
      <c r="P948" s="97">
        <f t="shared" si="1914"/>
        <v>2000</v>
      </c>
      <c r="Q948" s="97" t="s">
        <v>33</v>
      </c>
      <c r="R948" s="97" t="s">
        <v>37</v>
      </c>
      <c r="S948" s="97">
        <v>31500</v>
      </c>
      <c r="T948" s="64" t="s">
        <v>33</v>
      </c>
      <c r="U948" s="65" t="s">
        <v>33</v>
      </c>
      <c r="V948" s="97" t="s">
        <v>28</v>
      </c>
      <c r="W948" s="97">
        <f t="shared" si="1915"/>
        <v>3500</v>
      </c>
      <c r="X948" s="97" t="s">
        <v>36</v>
      </c>
      <c r="Y948" s="97" t="s">
        <v>29</v>
      </c>
      <c r="Z948" s="105">
        <f t="shared" si="1916"/>
        <v>12.5</v>
      </c>
      <c r="AA948" s="93"/>
    </row>
    <row r="949" spans="1:27" s="101" customFormat="1" hidden="1">
      <c r="A949" s="97">
        <f>SUBTOTAL(3,C$2:C949)</f>
        <v>468</v>
      </c>
      <c r="B949" s="97" t="s">
        <v>1086</v>
      </c>
      <c r="C949" s="97" t="s">
        <v>1031</v>
      </c>
      <c r="D949" s="97" t="s">
        <v>32</v>
      </c>
      <c r="E949" s="97" t="s">
        <v>33</v>
      </c>
      <c r="F949" s="101" t="s">
        <v>2000</v>
      </c>
      <c r="G949" s="102" t="s">
        <v>34</v>
      </c>
      <c r="H949" s="111" t="s">
        <v>2002</v>
      </c>
      <c r="I949" s="104">
        <v>46164</v>
      </c>
      <c r="J949" s="97">
        <f t="shared" ca="1" si="1912"/>
        <v>20</v>
      </c>
      <c r="K949" s="97" t="str">
        <f t="shared" si="1913"/>
        <v>Pending</v>
      </c>
      <c r="L949" s="101" t="s">
        <v>783</v>
      </c>
      <c r="M949" s="97">
        <v>18000</v>
      </c>
      <c r="N949" s="97">
        <v>16000</v>
      </c>
      <c r="O949" s="104">
        <v>46164</v>
      </c>
      <c r="P949" s="97">
        <f t="shared" si="1914"/>
        <v>2000</v>
      </c>
      <c r="Q949" s="97" t="s">
        <v>33</v>
      </c>
      <c r="R949" s="97" t="s">
        <v>56</v>
      </c>
      <c r="S949" s="97">
        <v>20500</v>
      </c>
      <c r="T949" s="64" t="s">
        <v>33</v>
      </c>
      <c r="U949" s="65" t="s">
        <v>33</v>
      </c>
      <c r="V949" s="97" t="s">
        <v>28</v>
      </c>
      <c r="W949" s="97">
        <f t="shared" si="1915"/>
        <v>2500</v>
      </c>
      <c r="X949" s="97" t="s">
        <v>963</v>
      </c>
      <c r="Y949" s="97" t="s">
        <v>29</v>
      </c>
      <c r="Z949" s="105">
        <f t="shared" si="1916"/>
        <v>13.888888888888889</v>
      </c>
      <c r="AA949" s="93"/>
    </row>
    <row r="950" spans="1:27" s="101" customFormat="1" hidden="1">
      <c r="A950" s="97">
        <f>SUBTOTAL(3,C$2:C950)</f>
        <v>468</v>
      </c>
      <c r="B950" s="97" t="s">
        <v>1086</v>
      </c>
      <c r="C950" s="97" t="s">
        <v>44</v>
      </c>
      <c r="D950" s="97" t="s">
        <v>32</v>
      </c>
      <c r="E950" s="97" t="s">
        <v>33</v>
      </c>
      <c r="F950" s="101" t="s">
        <v>1030</v>
      </c>
      <c r="G950" s="102" t="s">
        <v>46</v>
      </c>
      <c r="H950" s="103" t="s">
        <v>2003</v>
      </c>
      <c r="I950" s="104">
        <v>46162</v>
      </c>
      <c r="J950" s="97">
        <f t="shared" ca="1" si="1912"/>
        <v>22</v>
      </c>
      <c r="K950" s="97">
        <f t="shared" si="1913"/>
        <v>46170</v>
      </c>
      <c r="L950" s="101" t="s">
        <v>1288</v>
      </c>
      <c r="M950" s="97">
        <v>18500</v>
      </c>
      <c r="N950" s="97">
        <v>18500</v>
      </c>
      <c r="O950" s="104">
        <v>46164</v>
      </c>
      <c r="P950" s="97">
        <f t="shared" si="1914"/>
        <v>0</v>
      </c>
      <c r="Q950" s="97" t="s">
        <v>33</v>
      </c>
      <c r="R950" s="97" t="s">
        <v>78</v>
      </c>
      <c r="S950" s="97">
        <v>21000</v>
      </c>
      <c r="T950" s="64" t="s">
        <v>2681</v>
      </c>
      <c r="U950" s="65">
        <v>46170</v>
      </c>
      <c r="V950" s="97" t="s">
        <v>28</v>
      </c>
      <c r="W950" s="97">
        <f t="shared" si="1915"/>
        <v>2500</v>
      </c>
      <c r="X950" s="97" t="s">
        <v>36</v>
      </c>
      <c r="Y950" s="97" t="s">
        <v>29</v>
      </c>
      <c r="Z950" s="105">
        <f t="shared" si="1916"/>
        <v>13.513513513513514</v>
      </c>
      <c r="AA950" s="93"/>
    </row>
    <row r="951" spans="1:27" s="101" customFormat="1" hidden="1">
      <c r="A951" s="97">
        <f>SUBTOTAL(3,C$2:C951)</f>
        <v>468</v>
      </c>
      <c r="B951" s="97" t="s">
        <v>1086</v>
      </c>
      <c r="C951" s="97" t="s">
        <v>44</v>
      </c>
      <c r="D951" s="97" t="s">
        <v>32</v>
      </c>
      <c r="E951" s="97" t="s">
        <v>33</v>
      </c>
      <c r="F951" s="101" t="s">
        <v>2032</v>
      </c>
      <c r="G951" s="102" t="s">
        <v>1093</v>
      </c>
      <c r="H951" s="111" t="s">
        <v>1900</v>
      </c>
      <c r="I951" s="104">
        <v>46162</v>
      </c>
      <c r="J951" s="97">
        <f t="shared" ca="1" si="1912"/>
        <v>22</v>
      </c>
      <c r="K951" s="97" t="str">
        <f t="shared" si="1913"/>
        <v>Pending</v>
      </c>
      <c r="L951" s="101" t="s">
        <v>303</v>
      </c>
      <c r="M951" s="97">
        <v>14500</v>
      </c>
      <c r="N951" s="97">
        <v>13000</v>
      </c>
      <c r="O951" s="104">
        <v>46165</v>
      </c>
      <c r="P951" s="97">
        <f t="shared" si="1914"/>
        <v>1500</v>
      </c>
      <c r="Q951" s="97" t="s">
        <v>33</v>
      </c>
      <c r="R951" s="97" t="s">
        <v>56</v>
      </c>
      <c r="S951" s="97">
        <v>17500</v>
      </c>
      <c r="T951" s="64" t="s">
        <v>33</v>
      </c>
      <c r="U951" s="65" t="s">
        <v>33</v>
      </c>
      <c r="V951" s="97" t="s">
        <v>28</v>
      </c>
      <c r="W951" s="97">
        <f t="shared" si="1915"/>
        <v>3000</v>
      </c>
      <c r="X951" s="97" t="s">
        <v>2031</v>
      </c>
      <c r="Y951" s="97" t="s">
        <v>29</v>
      </c>
      <c r="Z951" s="105">
        <f t="shared" si="1916"/>
        <v>20.689655172413794</v>
      </c>
      <c r="AA951" s="93"/>
    </row>
    <row r="952" spans="1:27" s="101" customFormat="1" hidden="1">
      <c r="A952" s="97">
        <f>SUBTOTAL(3,C$2:C952)</f>
        <v>468</v>
      </c>
      <c r="B952" s="97" t="s">
        <v>1086</v>
      </c>
      <c r="C952" s="97" t="s">
        <v>44</v>
      </c>
      <c r="D952" s="97" t="s">
        <v>32</v>
      </c>
      <c r="E952" s="97" t="s">
        <v>33</v>
      </c>
      <c r="F952" s="101" t="s">
        <v>1953</v>
      </c>
      <c r="G952" s="102">
        <v>407</v>
      </c>
      <c r="H952" s="111" t="s">
        <v>2057</v>
      </c>
      <c r="I952" s="104">
        <v>46163</v>
      </c>
      <c r="J952" s="97">
        <f t="shared" ca="1" si="1912"/>
        <v>21</v>
      </c>
      <c r="K952" s="97" t="str">
        <f t="shared" si="1913"/>
        <v>Pending</v>
      </c>
      <c r="L952" s="101" t="s">
        <v>84</v>
      </c>
      <c r="M952" s="97">
        <v>27000</v>
      </c>
      <c r="N952" s="97">
        <v>25000</v>
      </c>
      <c r="O952" s="104">
        <v>46165</v>
      </c>
      <c r="P952" s="97">
        <f t="shared" si="1914"/>
        <v>2000</v>
      </c>
      <c r="Q952" s="97" t="s">
        <v>33</v>
      </c>
      <c r="R952" s="97" t="s">
        <v>56</v>
      </c>
      <c r="S952" s="97">
        <v>29800</v>
      </c>
      <c r="T952" s="64" t="s">
        <v>33</v>
      </c>
      <c r="U952" s="65" t="s">
        <v>33</v>
      </c>
      <c r="V952" s="97" t="s">
        <v>28</v>
      </c>
      <c r="W952" s="97">
        <f t="shared" si="1915"/>
        <v>2800</v>
      </c>
      <c r="X952" s="97" t="s">
        <v>2031</v>
      </c>
      <c r="Y952" s="97" t="s">
        <v>29</v>
      </c>
      <c r="Z952" s="105">
        <f t="shared" si="1916"/>
        <v>10.37037037037037</v>
      </c>
      <c r="AA952" s="93"/>
    </row>
    <row r="953" spans="1:27" s="101" customFormat="1" hidden="1">
      <c r="A953" s="97">
        <f>SUBTOTAL(3,C$2:C953)</f>
        <v>468</v>
      </c>
      <c r="B953" s="97" t="s">
        <v>1086</v>
      </c>
      <c r="C953" s="97" t="s">
        <v>1031</v>
      </c>
      <c r="D953" s="97" t="s">
        <v>32</v>
      </c>
      <c r="E953" s="97" t="s">
        <v>33</v>
      </c>
      <c r="F953" s="101" t="s">
        <v>306</v>
      </c>
      <c r="G953" s="102" t="s">
        <v>34</v>
      </c>
      <c r="H953" s="103" t="s">
        <v>2033</v>
      </c>
      <c r="I953" s="104">
        <v>46164</v>
      </c>
      <c r="J953" s="97">
        <f t="shared" ref="J953:J954" ca="1" si="1917">+TODAY()-I953</f>
        <v>20</v>
      </c>
      <c r="K953" s="97" t="str">
        <f t="shared" ref="K953:K954" si="1918">+U953</f>
        <v>Pending</v>
      </c>
      <c r="L953" s="101" t="s">
        <v>2018</v>
      </c>
      <c r="M953" s="97">
        <v>23300</v>
      </c>
      <c r="N953" s="97">
        <v>21500</v>
      </c>
      <c r="O953" s="104">
        <v>46165</v>
      </c>
      <c r="P953" s="97">
        <f t="shared" ref="P953:P954" si="1919">+M953-N953</f>
        <v>1800</v>
      </c>
      <c r="Q953" s="97" t="s">
        <v>33</v>
      </c>
      <c r="R953" s="97" t="s">
        <v>37</v>
      </c>
      <c r="S953" s="97">
        <v>26000</v>
      </c>
      <c r="T953" s="64" t="s">
        <v>33</v>
      </c>
      <c r="U953" s="65" t="s">
        <v>33</v>
      </c>
      <c r="V953" s="97" t="s">
        <v>28</v>
      </c>
      <c r="W953" s="97">
        <f t="shared" ref="W953:W954" si="1920">+S953-M953</f>
        <v>2700</v>
      </c>
      <c r="X953" s="97" t="s">
        <v>963</v>
      </c>
      <c r="Y953" s="97" t="s">
        <v>29</v>
      </c>
      <c r="Z953" s="105">
        <f t="shared" ref="Z953:Z954" si="1921">+W953*100/M953</f>
        <v>11.587982832618026</v>
      </c>
      <c r="AA953" s="93"/>
    </row>
    <row r="954" spans="1:27" s="101" customFormat="1" hidden="1">
      <c r="A954" s="97">
        <f>SUBTOTAL(3,C$2:C954)</f>
        <v>468</v>
      </c>
      <c r="B954" s="97" t="s">
        <v>1086</v>
      </c>
      <c r="C954" s="97" t="s">
        <v>31</v>
      </c>
      <c r="D954" s="97" t="s">
        <v>32</v>
      </c>
      <c r="E954" s="97" t="s">
        <v>33</v>
      </c>
      <c r="F954" s="101" t="s">
        <v>1284</v>
      </c>
      <c r="G954" s="102" t="s">
        <v>34</v>
      </c>
      <c r="H954" s="103" t="s">
        <v>2034</v>
      </c>
      <c r="I954" s="104">
        <v>46164</v>
      </c>
      <c r="J954" s="97">
        <f t="shared" ca="1" si="1917"/>
        <v>20</v>
      </c>
      <c r="K954" s="97" t="str">
        <f t="shared" si="1918"/>
        <v>Pending</v>
      </c>
      <c r="L954" s="101" t="s">
        <v>1697</v>
      </c>
      <c r="M954" s="97">
        <v>18300</v>
      </c>
      <c r="N954" s="97">
        <v>16500</v>
      </c>
      <c r="O954" s="104">
        <v>46165</v>
      </c>
      <c r="P954" s="97">
        <f t="shared" si="1919"/>
        <v>1800</v>
      </c>
      <c r="Q954" s="97" t="s">
        <v>33</v>
      </c>
      <c r="R954" s="97" t="s">
        <v>37</v>
      </c>
      <c r="S954" s="97">
        <v>21500</v>
      </c>
      <c r="T954" s="64" t="s">
        <v>33</v>
      </c>
      <c r="U954" s="65" t="s">
        <v>33</v>
      </c>
      <c r="V954" s="97" t="s">
        <v>28</v>
      </c>
      <c r="W954" s="97">
        <f t="shared" si="1920"/>
        <v>3200</v>
      </c>
      <c r="X954" s="97" t="s">
        <v>36</v>
      </c>
      <c r="Y954" s="97" t="s">
        <v>29</v>
      </c>
      <c r="Z954" s="105">
        <f t="shared" si="1921"/>
        <v>17.486338797814209</v>
      </c>
      <c r="AA954" s="93"/>
    </row>
    <row r="955" spans="1:27" s="101" customFormat="1" hidden="1">
      <c r="A955" s="97">
        <f>SUBTOTAL(3,C$2:C955)</f>
        <v>468</v>
      </c>
      <c r="B955" s="97" t="s">
        <v>1086</v>
      </c>
      <c r="C955" s="97" t="s">
        <v>44</v>
      </c>
      <c r="D955" s="97" t="s">
        <v>32</v>
      </c>
      <c r="E955" s="97" t="s">
        <v>33</v>
      </c>
      <c r="F955" s="101" t="s">
        <v>2019</v>
      </c>
      <c r="G955" s="102" t="s">
        <v>46</v>
      </c>
      <c r="H955" s="103" t="s">
        <v>2036</v>
      </c>
      <c r="I955" s="104">
        <v>46164</v>
      </c>
      <c r="J955" s="97">
        <f t="shared" ref="J955:J958" ca="1" si="1922">+TODAY()-I955</f>
        <v>20</v>
      </c>
      <c r="K955" s="97" t="str">
        <f t="shared" ref="K955:K958" si="1923">+U955</f>
        <v>Pending</v>
      </c>
      <c r="L955" s="101" t="s">
        <v>144</v>
      </c>
      <c r="M955" s="97">
        <v>19000</v>
      </c>
      <c r="N955" s="97">
        <v>17000</v>
      </c>
      <c r="O955" s="104">
        <v>46165</v>
      </c>
      <c r="P955" s="97">
        <f t="shared" ref="P955:P958" si="1924">+M955-N955</f>
        <v>2000</v>
      </c>
      <c r="Q955" s="97" t="s">
        <v>33</v>
      </c>
      <c r="R955" s="97" t="s">
        <v>39</v>
      </c>
      <c r="S955" s="97">
        <v>21800</v>
      </c>
      <c r="T955" s="64" t="s">
        <v>33</v>
      </c>
      <c r="U955" s="65" t="s">
        <v>33</v>
      </c>
      <c r="V955" s="97" t="s">
        <v>28</v>
      </c>
      <c r="W955" s="97">
        <f t="shared" ref="W955:W958" si="1925">+S955-M955</f>
        <v>2800</v>
      </c>
      <c r="X955" s="97" t="s">
        <v>36</v>
      </c>
      <c r="Y955" s="97" t="s">
        <v>29</v>
      </c>
      <c r="Z955" s="105">
        <f t="shared" ref="Z955:Z958" si="1926">+W955*100/M955</f>
        <v>14.736842105263158</v>
      </c>
      <c r="AA955" s="93"/>
    </row>
    <row r="956" spans="1:27" s="101" customFormat="1" hidden="1">
      <c r="A956" s="97">
        <f>SUBTOTAL(3,C$2:C956)</f>
        <v>468</v>
      </c>
      <c r="B956" s="97" t="s">
        <v>1086</v>
      </c>
      <c r="C956" s="97" t="s">
        <v>227</v>
      </c>
      <c r="D956" s="97" t="s">
        <v>32</v>
      </c>
      <c r="E956" s="97" t="s">
        <v>33</v>
      </c>
      <c r="F956" s="101" t="s">
        <v>228</v>
      </c>
      <c r="G956" s="102" t="s">
        <v>34</v>
      </c>
      <c r="H956" s="111" t="s">
        <v>2037</v>
      </c>
      <c r="I956" s="104">
        <v>46162</v>
      </c>
      <c r="J956" s="97">
        <f t="shared" ca="1" si="1922"/>
        <v>22</v>
      </c>
      <c r="K956" s="97" t="str">
        <f t="shared" si="1923"/>
        <v>Pending</v>
      </c>
      <c r="L956" s="101" t="s">
        <v>229</v>
      </c>
      <c r="M956" s="97">
        <v>17800</v>
      </c>
      <c r="N956" s="97">
        <v>15800</v>
      </c>
      <c r="O956" s="104">
        <v>46165</v>
      </c>
      <c r="P956" s="97">
        <f t="shared" si="1924"/>
        <v>2000</v>
      </c>
      <c r="Q956" s="97" t="s">
        <v>33</v>
      </c>
      <c r="R956" s="97" t="s">
        <v>112</v>
      </c>
      <c r="S956" s="97">
        <v>20050</v>
      </c>
      <c r="T956" s="64" t="s">
        <v>33</v>
      </c>
      <c r="U956" s="65" t="s">
        <v>33</v>
      </c>
      <c r="V956" s="97" t="s">
        <v>28</v>
      </c>
      <c r="W956" s="97">
        <f t="shared" si="1925"/>
        <v>2250</v>
      </c>
      <c r="X956" s="97" t="s">
        <v>36</v>
      </c>
      <c r="Y956" s="97" t="s">
        <v>29</v>
      </c>
      <c r="Z956" s="105">
        <f t="shared" si="1926"/>
        <v>12.640449438202246</v>
      </c>
      <c r="AA956" s="93"/>
    </row>
    <row r="957" spans="1:27" s="101" customFormat="1" hidden="1">
      <c r="A957" s="97">
        <f>SUBTOTAL(3,C$2:C957)</f>
        <v>468</v>
      </c>
      <c r="B957" s="97" t="s">
        <v>1086</v>
      </c>
      <c r="C957" s="97" t="s">
        <v>31</v>
      </c>
      <c r="D957" s="97" t="s">
        <v>32</v>
      </c>
      <c r="E957" s="97" t="s">
        <v>33</v>
      </c>
      <c r="F957" s="101" t="s">
        <v>2020</v>
      </c>
      <c r="G957" s="102" t="s">
        <v>34</v>
      </c>
      <c r="H957" s="111" t="s">
        <v>2038</v>
      </c>
      <c r="I957" s="104">
        <v>46164</v>
      </c>
      <c r="J957" s="97">
        <f t="shared" ca="1" si="1922"/>
        <v>20</v>
      </c>
      <c r="K957" s="97" t="str">
        <f t="shared" si="1923"/>
        <v>Pending</v>
      </c>
      <c r="L957" s="101" t="s">
        <v>111</v>
      </c>
      <c r="M957" s="97">
        <v>11700</v>
      </c>
      <c r="N957" s="97">
        <v>10700</v>
      </c>
      <c r="O957" s="104">
        <v>46165</v>
      </c>
      <c r="P957" s="97">
        <f t="shared" si="1924"/>
        <v>1000</v>
      </c>
      <c r="Q957" s="97" t="s">
        <v>33</v>
      </c>
      <c r="R957" s="97" t="s">
        <v>112</v>
      </c>
      <c r="S957" s="97">
        <v>13500</v>
      </c>
      <c r="T957" s="64" t="s">
        <v>33</v>
      </c>
      <c r="U957" s="65" t="s">
        <v>33</v>
      </c>
      <c r="V957" s="97" t="s">
        <v>28</v>
      </c>
      <c r="W957" s="97">
        <f t="shared" si="1925"/>
        <v>1800</v>
      </c>
      <c r="X957" s="97" t="s">
        <v>36</v>
      </c>
      <c r="Y957" s="97" t="s">
        <v>29</v>
      </c>
      <c r="Z957" s="105">
        <f t="shared" si="1926"/>
        <v>15.384615384615385</v>
      </c>
      <c r="AA957" s="93"/>
    </row>
    <row r="958" spans="1:27" s="101" customFormat="1" hidden="1">
      <c r="A958" s="97">
        <f>SUBTOTAL(3,C$2:C958)</f>
        <v>468</v>
      </c>
      <c r="B958" s="97" t="s">
        <v>1086</v>
      </c>
      <c r="C958" s="97" t="s">
        <v>1031</v>
      </c>
      <c r="D958" s="97" t="s">
        <v>32</v>
      </c>
      <c r="E958" s="97" t="s">
        <v>33</v>
      </c>
      <c r="F958" s="101" t="s">
        <v>1692</v>
      </c>
      <c r="G958" s="102" t="s">
        <v>34</v>
      </c>
      <c r="H958" s="111" t="s">
        <v>2039</v>
      </c>
      <c r="I958" s="104">
        <v>46164</v>
      </c>
      <c r="J958" s="97">
        <f t="shared" ca="1" si="1922"/>
        <v>20</v>
      </c>
      <c r="K958" s="97" t="str">
        <f t="shared" si="1923"/>
        <v>Pending</v>
      </c>
      <c r="L958" s="101" t="s">
        <v>783</v>
      </c>
      <c r="M958" s="97">
        <v>18000</v>
      </c>
      <c r="N958" s="97">
        <v>16000</v>
      </c>
      <c r="O958" s="104">
        <v>46165</v>
      </c>
      <c r="P958" s="97">
        <f t="shared" si="1924"/>
        <v>2000</v>
      </c>
      <c r="Q958" s="97" t="s">
        <v>33</v>
      </c>
      <c r="R958" s="97" t="s">
        <v>56</v>
      </c>
      <c r="S958" s="97">
        <v>20500</v>
      </c>
      <c r="T958" s="64" t="s">
        <v>33</v>
      </c>
      <c r="U958" s="65" t="s">
        <v>33</v>
      </c>
      <c r="V958" s="97" t="s">
        <v>28</v>
      </c>
      <c r="W958" s="97">
        <f t="shared" si="1925"/>
        <v>2500</v>
      </c>
      <c r="X958" s="97" t="s">
        <v>963</v>
      </c>
      <c r="Y958" s="97" t="s">
        <v>29</v>
      </c>
      <c r="Z958" s="105">
        <f t="shared" si="1926"/>
        <v>13.888888888888889</v>
      </c>
      <c r="AA958" s="93"/>
    </row>
    <row r="959" spans="1:27" s="101" customFormat="1" hidden="1">
      <c r="A959" s="97">
        <f>SUBTOTAL(3,C$2:C959)</f>
        <v>468</v>
      </c>
      <c r="B959" s="97" t="s">
        <v>1086</v>
      </c>
      <c r="C959" s="97" t="s">
        <v>1031</v>
      </c>
      <c r="D959" s="97" t="s">
        <v>32</v>
      </c>
      <c r="E959" s="97" t="s">
        <v>33</v>
      </c>
      <c r="F959" s="101" t="s">
        <v>221</v>
      </c>
      <c r="G959" s="102" t="s">
        <v>34</v>
      </c>
      <c r="H959" s="111" t="s">
        <v>2040</v>
      </c>
      <c r="I959" s="104">
        <v>46164</v>
      </c>
      <c r="J959" s="97">
        <f t="shared" ref="J959:J961" ca="1" si="1927">+TODAY()-I959</f>
        <v>20</v>
      </c>
      <c r="K959" s="97" t="str">
        <f t="shared" ref="K959:K961" si="1928">+U959</f>
        <v>Pending</v>
      </c>
      <c r="L959" s="101" t="s">
        <v>783</v>
      </c>
      <c r="M959" s="97">
        <v>18000</v>
      </c>
      <c r="N959" s="97">
        <v>16000</v>
      </c>
      <c r="O959" s="104">
        <v>46165</v>
      </c>
      <c r="P959" s="97">
        <f t="shared" ref="P959:P961" si="1929">+M959-N959</f>
        <v>2000</v>
      </c>
      <c r="Q959" s="97" t="s">
        <v>33</v>
      </c>
      <c r="R959" s="97" t="s">
        <v>56</v>
      </c>
      <c r="S959" s="97">
        <v>20500</v>
      </c>
      <c r="T959" s="64" t="s">
        <v>33</v>
      </c>
      <c r="U959" s="65" t="s">
        <v>33</v>
      </c>
      <c r="V959" s="97" t="s">
        <v>28</v>
      </c>
      <c r="W959" s="97">
        <f t="shared" ref="W959:W961" si="1930">+S959-M959</f>
        <v>2500</v>
      </c>
      <c r="X959" s="97" t="s">
        <v>963</v>
      </c>
      <c r="Y959" s="97" t="s">
        <v>29</v>
      </c>
      <c r="Z959" s="105">
        <f t="shared" ref="Z959:Z961" si="1931">+W959*100/M959</f>
        <v>13.888888888888889</v>
      </c>
      <c r="AA959" s="93"/>
    </row>
    <row r="960" spans="1:27" s="101" customFormat="1" hidden="1">
      <c r="A960" s="97">
        <f>SUBTOTAL(3,C$2:C960)</f>
        <v>468</v>
      </c>
      <c r="B960" s="97" t="s">
        <v>1086</v>
      </c>
      <c r="C960" s="97" t="s">
        <v>216</v>
      </c>
      <c r="D960" s="97" t="s">
        <v>32</v>
      </c>
      <c r="E960" s="97" t="s">
        <v>33</v>
      </c>
      <c r="F960" s="101" t="s">
        <v>1280</v>
      </c>
      <c r="G960" s="102" t="s">
        <v>50</v>
      </c>
      <c r="H960" s="103" t="s">
        <v>2041</v>
      </c>
      <c r="I960" s="104">
        <v>46164</v>
      </c>
      <c r="J960" s="97">
        <f t="shared" ca="1" si="1927"/>
        <v>20</v>
      </c>
      <c r="K960" s="97" t="str">
        <f t="shared" si="1928"/>
        <v>Pending</v>
      </c>
      <c r="L960" s="101" t="s">
        <v>586</v>
      </c>
      <c r="M960" s="97">
        <f>3000+44000</f>
        <v>47000</v>
      </c>
      <c r="N960" s="97">
        <v>40000</v>
      </c>
      <c r="O960" s="104">
        <v>46165</v>
      </c>
      <c r="P960" s="97">
        <f t="shared" si="1929"/>
        <v>7000</v>
      </c>
      <c r="Q960" s="97" t="s">
        <v>33</v>
      </c>
      <c r="R960" s="97" t="s">
        <v>52</v>
      </c>
      <c r="S960" s="97">
        <f>5000+48000</f>
        <v>53000</v>
      </c>
      <c r="T960" s="64" t="s">
        <v>33</v>
      </c>
      <c r="U960" s="65" t="s">
        <v>33</v>
      </c>
      <c r="V960" s="97" t="s">
        <v>28</v>
      </c>
      <c r="W960" s="97">
        <f t="shared" si="1930"/>
        <v>6000</v>
      </c>
      <c r="X960" s="97" t="s">
        <v>36</v>
      </c>
      <c r="Y960" s="97" t="s">
        <v>29</v>
      </c>
      <c r="Z960" s="105">
        <f t="shared" si="1931"/>
        <v>12.76595744680851</v>
      </c>
      <c r="AA960" s="93"/>
    </row>
    <row r="961" spans="1:27" s="101" customFormat="1" hidden="1">
      <c r="A961" s="97">
        <f>SUBTOTAL(3,C$2:C961)</f>
        <v>468</v>
      </c>
      <c r="B961" s="97" t="s">
        <v>1086</v>
      </c>
      <c r="C961" s="97" t="s">
        <v>80</v>
      </c>
      <c r="D961" s="97" t="s">
        <v>32</v>
      </c>
      <c r="E961" s="97" t="s">
        <v>33</v>
      </c>
      <c r="F961" s="101" t="s">
        <v>1211</v>
      </c>
      <c r="G961" s="102" t="s">
        <v>1215</v>
      </c>
      <c r="H961" s="111" t="s">
        <v>2042</v>
      </c>
      <c r="I961" s="104">
        <v>46164</v>
      </c>
      <c r="J961" s="97">
        <f t="shared" ca="1" si="1927"/>
        <v>20</v>
      </c>
      <c r="K961" s="97" t="str">
        <f t="shared" si="1928"/>
        <v>Pending</v>
      </c>
      <c r="L961" s="101" t="s">
        <v>1939</v>
      </c>
      <c r="M961" s="97">
        <v>28000</v>
      </c>
      <c r="N961" s="97">
        <v>26000</v>
      </c>
      <c r="O961" s="104">
        <v>46165</v>
      </c>
      <c r="P961" s="97">
        <f t="shared" si="1929"/>
        <v>2000</v>
      </c>
      <c r="Q961" s="97" t="s">
        <v>33</v>
      </c>
      <c r="R961" s="97" t="s">
        <v>39</v>
      </c>
      <c r="S961" s="97">
        <v>31500</v>
      </c>
      <c r="T961" s="64" t="s">
        <v>33</v>
      </c>
      <c r="U961" s="65" t="s">
        <v>33</v>
      </c>
      <c r="V961" s="97" t="s">
        <v>28</v>
      </c>
      <c r="W961" s="97">
        <f t="shared" si="1930"/>
        <v>3500</v>
      </c>
      <c r="X961" s="97" t="s">
        <v>36</v>
      </c>
      <c r="Y961" s="97" t="s">
        <v>29</v>
      </c>
      <c r="Z961" s="105">
        <f t="shared" si="1931"/>
        <v>12.5</v>
      </c>
      <c r="AA961" s="93"/>
    </row>
    <row r="962" spans="1:27" s="101" customFormat="1" hidden="1">
      <c r="A962" s="97">
        <f>SUBTOTAL(3,C$2:C962)</f>
        <v>468</v>
      </c>
      <c r="B962" s="97" t="s">
        <v>1086</v>
      </c>
      <c r="C962" s="97" t="s">
        <v>1031</v>
      </c>
      <c r="D962" s="97" t="s">
        <v>32</v>
      </c>
      <c r="E962" s="97" t="s">
        <v>33</v>
      </c>
      <c r="F962" s="101" t="s">
        <v>2019</v>
      </c>
      <c r="G962" s="102" t="s">
        <v>34</v>
      </c>
      <c r="H962" s="111" t="s">
        <v>2043</v>
      </c>
      <c r="I962" s="104">
        <v>46164</v>
      </c>
      <c r="J962" s="97">
        <f t="shared" ref="J962" ca="1" si="1932">+TODAY()-I962</f>
        <v>20</v>
      </c>
      <c r="K962" s="97" t="str">
        <f t="shared" ref="K962" si="1933">+U962</f>
        <v>Pending</v>
      </c>
      <c r="L962" s="101" t="s">
        <v>1034</v>
      </c>
      <c r="M962" s="97">
        <v>18300</v>
      </c>
      <c r="N962" s="97">
        <v>16500</v>
      </c>
      <c r="O962" s="104">
        <v>46165</v>
      </c>
      <c r="P962" s="97">
        <f t="shared" ref="P962" si="1934">+M962-N962</f>
        <v>1800</v>
      </c>
      <c r="Q962" s="97" t="s">
        <v>33</v>
      </c>
      <c r="R962" s="97" t="s">
        <v>37</v>
      </c>
      <c r="S962" s="97">
        <v>21500</v>
      </c>
      <c r="T962" s="64" t="s">
        <v>33</v>
      </c>
      <c r="U962" s="65" t="s">
        <v>33</v>
      </c>
      <c r="V962" s="97" t="s">
        <v>28</v>
      </c>
      <c r="W962" s="97">
        <f t="shared" ref="W962" si="1935">+S962-M962</f>
        <v>3200</v>
      </c>
      <c r="X962" s="97" t="s">
        <v>963</v>
      </c>
      <c r="Y962" s="97" t="s">
        <v>29</v>
      </c>
      <c r="Z962" s="105">
        <f t="shared" ref="Z962" si="1936">+W962*100/M962</f>
        <v>17.486338797814209</v>
      </c>
      <c r="AA962" s="93"/>
    </row>
    <row r="963" spans="1:27" s="101" customFormat="1" hidden="1">
      <c r="A963" s="97">
        <f>SUBTOTAL(3,C$2:C963)</f>
        <v>468</v>
      </c>
      <c r="B963" s="97" t="s">
        <v>1086</v>
      </c>
      <c r="C963" s="97" t="s">
        <v>1031</v>
      </c>
      <c r="D963" s="97" t="s">
        <v>32</v>
      </c>
      <c r="E963" s="97" t="s">
        <v>33</v>
      </c>
      <c r="F963" s="101" t="s">
        <v>2021</v>
      </c>
      <c r="G963" s="102" t="s">
        <v>34</v>
      </c>
      <c r="H963" s="103" t="s">
        <v>2044</v>
      </c>
      <c r="I963" s="104">
        <v>46164</v>
      </c>
      <c r="J963" s="97">
        <f t="shared" ref="J963:J964" ca="1" si="1937">+TODAY()-I963</f>
        <v>20</v>
      </c>
      <c r="K963" s="97" t="str">
        <f t="shared" ref="K963:K964" si="1938">+U963</f>
        <v>Pending</v>
      </c>
      <c r="L963" s="101" t="s">
        <v>1034</v>
      </c>
      <c r="M963" s="97">
        <v>18300</v>
      </c>
      <c r="N963" s="97">
        <v>16500</v>
      </c>
      <c r="O963" s="104">
        <v>46165</v>
      </c>
      <c r="P963" s="97">
        <f t="shared" ref="P963:P964" si="1939">+M963-N963</f>
        <v>1800</v>
      </c>
      <c r="Q963" s="97" t="s">
        <v>33</v>
      </c>
      <c r="R963" s="97" t="s">
        <v>37</v>
      </c>
      <c r="S963" s="97">
        <v>21500</v>
      </c>
      <c r="T963" s="64" t="s">
        <v>33</v>
      </c>
      <c r="U963" s="65" t="s">
        <v>33</v>
      </c>
      <c r="V963" s="97" t="s">
        <v>28</v>
      </c>
      <c r="W963" s="97">
        <f t="shared" ref="W963:W964" si="1940">+S963-M963</f>
        <v>3200</v>
      </c>
      <c r="X963" s="97" t="s">
        <v>963</v>
      </c>
      <c r="Y963" s="97" t="s">
        <v>29</v>
      </c>
      <c r="Z963" s="105">
        <f t="shared" ref="Z963:Z964" si="1941">+W963*100/M963</f>
        <v>17.486338797814209</v>
      </c>
      <c r="AA963" s="93"/>
    </row>
    <row r="964" spans="1:27" s="101" customFormat="1" hidden="1">
      <c r="A964" s="97">
        <f>SUBTOTAL(3,C$2:C964)</f>
        <v>468</v>
      </c>
      <c r="B964" s="97" t="s">
        <v>1086</v>
      </c>
      <c r="C964" s="97" t="s">
        <v>80</v>
      </c>
      <c r="D964" s="97" t="s">
        <v>32</v>
      </c>
      <c r="E964" s="97" t="s">
        <v>33</v>
      </c>
      <c r="F964" s="101" t="s">
        <v>1674</v>
      </c>
      <c r="G964" s="102" t="s">
        <v>1215</v>
      </c>
      <c r="H964" s="111" t="s">
        <v>2045</v>
      </c>
      <c r="I964" s="104">
        <v>46165</v>
      </c>
      <c r="J964" s="97">
        <f t="shared" ca="1" si="1937"/>
        <v>19</v>
      </c>
      <c r="K964" s="97" t="str">
        <f t="shared" si="1938"/>
        <v>Pending</v>
      </c>
      <c r="L964" s="101" t="s">
        <v>1939</v>
      </c>
      <c r="M964" s="97">
        <v>28000</v>
      </c>
      <c r="N964" s="97">
        <v>26000</v>
      </c>
      <c r="O964" s="104">
        <v>46165</v>
      </c>
      <c r="P964" s="97">
        <f t="shared" si="1939"/>
        <v>2000</v>
      </c>
      <c r="Q964" s="97" t="s">
        <v>33</v>
      </c>
      <c r="R964" s="97" t="s">
        <v>39</v>
      </c>
      <c r="S964" s="97">
        <v>31500</v>
      </c>
      <c r="T964" s="64" t="s">
        <v>33</v>
      </c>
      <c r="U964" s="65" t="s">
        <v>33</v>
      </c>
      <c r="V964" s="97" t="s">
        <v>28</v>
      </c>
      <c r="W964" s="97">
        <f t="shared" si="1940"/>
        <v>3500</v>
      </c>
      <c r="X964" s="97" t="s">
        <v>36</v>
      </c>
      <c r="Y964" s="97" t="s">
        <v>29</v>
      </c>
      <c r="Z964" s="105">
        <f t="shared" si="1941"/>
        <v>12.5</v>
      </c>
      <c r="AA964" s="93"/>
    </row>
    <row r="965" spans="1:27" s="101" customFormat="1" hidden="1">
      <c r="A965" s="97">
        <f>SUBTOTAL(3,C$2:C965)</f>
        <v>468</v>
      </c>
      <c r="B965" s="97" t="s">
        <v>1086</v>
      </c>
      <c r="C965" s="97" t="s">
        <v>1031</v>
      </c>
      <c r="D965" s="97" t="s">
        <v>32</v>
      </c>
      <c r="E965" s="97" t="s">
        <v>33</v>
      </c>
      <c r="F965" s="101" t="s">
        <v>781</v>
      </c>
      <c r="G965" s="102" t="s">
        <v>34</v>
      </c>
      <c r="H965" s="103" t="s">
        <v>2046</v>
      </c>
      <c r="I965" s="104">
        <v>46165</v>
      </c>
      <c r="J965" s="97">
        <f t="shared" ref="J965" ca="1" si="1942">+TODAY()-I965</f>
        <v>19</v>
      </c>
      <c r="K965" s="97" t="str">
        <f t="shared" ref="K965" si="1943">+U965</f>
        <v>Pending</v>
      </c>
      <c r="L965" s="101" t="s">
        <v>1024</v>
      </c>
      <c r="M965" s="97">
        <v>19000</v>
      </c>
      <c r="N965" s="97">
        <v>17000</v>
      </c>
      <c r="O965" s="104">
        <v>46165</v>
      </c>
      <c r="P965" s="97">
        <f t="shared" ref="P965" si="1944">+M965-N965</f>
        <v>2000</v>
      </c>
      <c r="Q965" s="97" t="s">
        <v>33</v>
      </c>
      <c r="R965" s="97" t="s">
        <v>39</v>
      </c>
      <c r="S965" s="97">
        <v>21800</v>
      </c>
      <c r="T965" s="64" t="s">
        <v>33</v>
      </c>
      <c r="U965" s="65" t="s">
        <v>33</v>
      </c>
      <c r="V965" s="97" t="s">
        <v>28</v>
      </c>
      <c r="W965" s="97">
        <f t="shared" ref="W965" si="1945">+S965-M965</f>
        <v>2800</v>
      </c>
      <c r="X965" s="97" t="s">
        <v>963</v>
      </c>
      <c r="Y965" s="97" t="s">
        <v>29</v>
      </c>
      <c r="Z965" s="105">
        <f t="shared" ref="Z965" si="1946">+W965*100/M965</f>
        <v>14.736842105263158</v>
      </c>
      <c r="AA965" s="93"/>
    </row>
    <row r="966" spans="1:27" s="101" customFormat="1" hidden="1">
      <c r="A966" s="97">
        <f>SUBTOTAL(3,C$2:C966)</f>
        <v>468</v>
      </c>
      <c r="B966" s="97" t="s">
        <v>1086</v>
      </c>
      <c r="C966" s="97" t="s">
        <v>1031</v>
      </c>
      <c r="D966" s="97" t="s">
        <v>32</v>
      </c>
      <c r="E966" s="97" t="s">
        <v>33</v>
      </c>
      <c r="F966" s="101" t="s">
        <v>283</v>
      </c>
      <c r="G966" s="102" t="s">
        <v>34</v>
      </c>
      <c r="H966" s="103" t="s">
        <v>2047</v>
      </c>
      <c r="I966" s="104">
        <v>46165</v>
      </c>
      <c r="J966" s="97">
        <f t="shared" ref="J966:J968" ca="1" si="1947">+TODAY()-I966</f>
        <v>19</v>
      </c>
      <c r="K966" s="97" t="str">
        <f t="shared" ref="K966:K968" si="1948">+U966</f>
        <v>Pending</v>
      </c>
      <c r="L966" s="101" t="s">
        <v>1034</v>
      </c>
      <c r="M966" s="97">
        <v>18300</v>
      </c>
      <c r="N966" s="97">
        <v>16500</v>
      </c>
      <c r="O966" s="104">
        <v>46165</v>
      </c>
      <c r="P966" s="97">
        <f t="shared" ref="P966:P968" si="1949">+M966-N966</f>
        <v>1800</v>
      </c>
      <c r="Q966" s="97" t="s">
        <v>33</v>
      </c>
      <c r="R966" s="97" t="s">
        <v>37</v>
      </c>
      <c r="S966" s="97">
        <v>21500</v>
      </c>
      <c r="T966" s="64" t="s">
        <v>33</v>
      </c>
      <c r="U966" s="65" t="s">
        <v>33</v>
      </c>
      <c r="V966" s="97" t="s">
        <v>28</v>
      </c>
      <c r="W966" s="97">
        <f t="shared" ref="W966:W968" si="1950">+S966-M966</f>
        <v>3200</v>
      </c>
      <c r="X966" s="97" t="s">
        <v>963</v>
      </c>
      <c r="Y966" s="97" t="s">
        <v>29</v>
      </c>
      <c r="Z966" s="105">
        <f t="shared" ref="Z966:Z968" si="1951">+W966*100/M966</f>
        <v>17.486338797814209</v>
      </c>
      <c r="AA966" s="93"/>
    </row>
    <row r="967" spans="1:27" s="101" customFormat="1" hidden="1">
      <c r="A967" s="97">
        <f>SUBTOTAL(3,C$2:C967)</f>
        <v>468</v>
      </c>
      <c r="B967" s="97" t="s">
        <v>1086</v>
      </c>
      <c r="C967" s="97" t="s">
        <v>44</v>
      </c>
      <c r="D967" s="97" t="s">
        <v>32</v>
      </c>
      <c r="E967" s="97" t="s">
        <v>33</v>
      </c>
      <c r="F967" s="101" t="s">
        <v>645</v>
      </c>
      <c r="G967" s="102" t="s">
        <v>143</v>
      </c>
      <c r="H967" s="103" t="s">
        <v>2035</v>
      </c>
      <c r="I967" s="104">
        <v>46165</v>
      </c>
      <c r="J967" s="97">
        <f t="shared" ca="1" si="1947"/>
        <v>19</v>
      </c>
      <c r="K967" s="97" t="str">
        <f t="shared" si="1948"/>
        <v>Pending</v>
      </c>
      <c r="L967" s="101" t="s">
        <v>144</v>
      </c>
      <c r="M967" s="97">
        <v>31500</v>
      </c>
      <c r="N967" s="97">
        <v>28500</v>
      </c>
      <c r="O967" s="104">
        <v>46165</v>
      </c>
      <c r="P967" s="97">
        <f t="shared" si="1949"/>
        <v>3000</v>
      </c>
      <c r="Q967" s="97" t="s">
        <v>33</v>
      </c>
      <c r="R967" s="97" t="s">
        <v>39</v>
      </c>
      <c r="S967" s="97">
        <v>35000</v>
      </c>
      <c r="T967" s="64" t="s">
        <v>33</v>
      </c>
      <c r="U967" s="65" t="s">
        <v>33</v>
      </c>
      <c r="V967" s="97" t="s">
        <v>28</v>
      </c>
      <c r="W967" s="97">
        <f t="shared" si="1950"/>
        <v>3500</v>
      </c>
      <c r="X967" s="97" t="s">
        <v>36</v>
      </c>
      <c r="Y967" s="97" t="s">
        <v>29</v>
      </c>
      <c r="Z967" s="105">
        <f t="shared" si="1951"/>
        <v>11.111111111111111</v>
      </c>
      <c r="AA967" s="93"/>
    </row>
    <row r="968" spans="1:27" s="101" customFormat="1" hidden="1">
      <c r="A968" s="97">
        <f>SUBTOTAL(3,C$2:C968)</f>
        <v>468</v>
      </c>
      <c r="B968" s="97" t="s">
        <v>1086</v>
      </c>
      <c r="C968" s="97" t="s">
        <v>44</v>
      </c>
      <c r="D968" s="97" t="s">
        <v>32</v>
      </c>
      <c r="E968" s="97" t="s">
        <v>33</v>
      </c>
      <c r="F968" s="101" t="s">
        <v>2022</v>
      </c>
      <c r="G968" s="102" t="s">
        <v>994</v>
      </c>
      <c r="H968" s="103" t="s">
        <v>2048</v>
      </c>
      <c r="I968" s="104">
        <v>46163</v>
      </c>
      <c r="J968" s="97">
        <f t="shared" ca="1" si="1947"/>
        <v>21</v>
      </c>
      <c r="K968" s="97" t="str">
        <f t="shared" si="1948"/>
        <v>Pending</v>
      </c>
      <c r="L968" s="101" t="s">
        <v>995</v>
      </c>
      <c r="M968" s="97">
        <v>39000</v>
      </c>
      <c r="N968" s="97">
        <v>36000</v>
      </c>
      <c r="O968" s="104">
        <v>46165</v>
      </c>
      <c r="P968" s="97">
        <f t="shared" si="1949"/>
        <v>3000</v>
      </c>
      <c r="Q968" s="97" t="s">
        <v>33</v>
      </c>
      <c r="R968" s="97" t="s">
        <v>174</v>
      </c>
      <c r="S968" s="97">
        <v>44000</v>
      </c>
      <c r="T968" s="64" t="s">
        <v>33</v>
      </c>
      <c r="U968" s="65" t="s">
        <v>33</v>
      </c>
      <c r="V968" s="97" t="s">
        <v>28</v>
      </c>
      <c r="W968" s="97">
        <f t="shared" si="1950"/>
        <v>5000</v>
      </c>
      <c r="X968" s="97" t="s">
        <v>36</v>
      </c>
      <c r="Y968" s="97" t="s">
        <v>29</v>
      </c>
      <c r="Z968" s="105">
        <f t="shared" si="1951"/>
        <v>12.820512820512821</v>
      </c>
      <c r="AA968" s="93"/>
    </row>
    <row r="969" spans="1:27" s="101" customFormat="1" hidden="1">
      <c r="A969" s="97">
        <f>SUBTOTAL(3,C$2:C969)</f>
        <v>468</v>
      </c>
      <c r="B969" s="97" t="s">
        <v>1086</v>
      </c>
      <c r="C969" s="97" t="s">
        <v>44</v>
      </c>
      <c r="D969" s="97" t="s">
        <v>32</v>
      </c>
      <c r="E969" s="97" t="s">
        <v>33</v>
      </c>
      <c r="F969" s="101" t="s">
        <v>2023</v>
      </c>
      <c r="G969" s="102" t="s">
        <v>994</v>
      </c>
      <c r="H969" s="111" t="s">
        <v>2049</v>
      </c>
      <c r="I969" s="104">
        <v>46164</v>
      </c>
      <c r="J969" s="97">
        <f t="shared" ref="J969" ca="1" si="1952">+TODAY()-I969</f>
        <v>20</v>
      </c>
      <c r="K969" s="97" t="str">
        <f t="shared" ref="K969" si="1953">+U969</f>
        <v>Pending</v>
      </c>
      <c r="L969" s="101" t="s">
        <v>995</v>
      </c>
      <c r="M969" s="97">
        <v>39000</v>
      </c>
      <c r="N969" s="97">
        <v>36000</v>
      </c>
      <c r="O969" s="104">
        <v>46165</v>
      </c>
      <c r="P969" s="97">
        <f t="shared" ref="P969" si="1954">+M969-N969</f>
        <v>3000</v>
      </c>
      <c r="Q969" s="97" t="s">
        <v>33</v>
      </c>
      <c r="R969" s="97" t="s">
        <v>174</v>
      </c>
      <c r="S969" s="97">
        <v>44000</v>
      </c>
      <c r="T969" s="64" t="s">
        <v>33</v>
      </c>
      <c r="U969" s="65" t="s">
        <v>33</v>
      </c>
      <c r="V969" s="97" t="s">
        <v>28</v>
      </c>
      <c r="W969" s="97">
        <f t="shared" ref="W969" si="1955">+S969-M969</f>
        <v>5000</v>
      </c>
      <c r="X969" s="97" t="s">
        <v>36</v>
      </c>
      <c r="Y969" s="97" t="s">
        <v>29</v>
      </c>
      <c r="Z969" s="105">
        <f t="shared" ref="Z969" si="1956">+W969*100/M969</f>
        <v>12.820512820512821</v>
      </c>
      <c r="AA969" s="93"/>
    </row>
    <row r="970" spans="1:27" s="101" customFormat="1" hidden="1">
      <c r="A970" s="97">
        <f>SUBTOTAL(3,C$2:C970)</f>
        <v>468</v>
      </c>
      <c r="B970" s="97" t="s">
        <v>1086</v>
      </c>
      <c r="C970" s="97" t="s">
        <v>44</v>
      </c>
      <c r="D970" s="97" t="s">
        <v>32</v>
      </c>
      <c r="E970" s="97" t="s">
        <v>33</v>
      </c>
      <c r="F970" s="101" t="s">
        <v>2025</v>
      </c>
      <c r="G970" s="102">
        <v>407</v>
      </c>
      <c r="H970" s="103" t="s">
        <v>2050</v>
      </c>
      <c r="I970" s="104">
        <v>46164</v>
      </c>
      <c r="J970" s="97">
        <f t="shared" ref="J970:J972" ca="1" si="1957">+TODAY()-I970</f>
        <v>20</v>
      </c>
      <c r="K970" s="97" t="str">
        <f t="shared" ref="K970:K972" si="1958">+U970</f>
        <v>Pending</v>
      </c>
      <c r="L970" s="101" t="s">
        <v>84</v>
      </c>
      <c r="M970" s="97">
        <v>27500</v>
      </c>
      <c r="N970" s="97">
        <v>25500</v>
      </c>
      <c r="O970" s="104">
        <v>46165</v>
      </c>
      <c r="P970" s="97">
        <f t="shared" ref="P970:P972" si="1959">+M970-N970</f>
        <v>2000</v>
      </c>
      <c r="Q970" s="97" t="s">
        <v>33</v>
      </c>
      <c r="R970" s="97" t="s">
        <v>78</v>
      </c>
      <c r="S970" s="97">
        <v>29800</v>
      </c>
      <c r="T970" s="64" t="s">
        <v>33</v>
      </c>
      <c r="U970" s="65" t="s">
        <v>33</v>
      </c>
      <c r="V970" s="97" t="s">
        <v>28</v>
      </c>
      <c r="W970" s="97">
        <f t="shared" ref="W970:W972" si="1960">+S970-M970</f>
        <v>2300</v>
      </c>
      <c r="X970" s="97" t="s">
        <v>36</v>
      </c>
      <c r="Y970" s="97" t="s">
        <v>29</v>
      </c>
      <c r="Z970" s="105">
        <f t="shared" ref="Z970:Z972" si="1961">+W970*100/M970</f>
        <v>8.3636363636363633</v>
      </c>
      <c r="AA970" s="93"/>
    </row>
    <row r="971" spans="1:27" s="101" customFormat="1" hidden="1">
      <c r="A971" s="97">
        <f>SUBTOTAL(3,C$2:C971)</f>
        <v>468</v>
      </c>
      <c r="B971" s="97" t="s">
        <v>1086</v>
      </c>
      <c r="C971" s="97" t="s">
        <v>216</v>
      </c>
      <c r="D971" s="97" t="s">
        <v>32</v>
      </c>
      <c r="E971" s="97" t="s">
        <v>33</v>
      </c>
      <c r="F971" s="101" t="s">
        <v>215</v>
      </c>
      <c r="G971" s="102" t="s">
        <v>67</v>
      </c>
      <c r="H971" s="103" t="s">
        <v>2051</v>
      </c>
      <c r="I971" s="104">
        <v>46165</v>
      </c>
      <c r="J971" s="97">
        <f t="shared" ca="1" si="1957"/>
        <v>19</v>
      </c>
      <c r="K971" s="97" t="str">
        <f t="shared" si="1958"/>
        <v>Pending</v>
      </c>
      <c r="L971" s="101" t="s">
        <v>2026</v>
      </c>
      <c r="M971" s="97">
        <f>3000+38500</f>
        <v>41500</v>
      </c>
      <c r="N971" s="97">
        <v>35500</v>
      </c>
      <c r="O971" s="104">
        <v>46165</v>
      </c>
      <c r="P971" s="97">
        <f t="shared" si="1959"/>
        <v>6000</v>
      </c>
      <c r="Q971" s="97" t="s">
        <v>33</v>
      </c>
      <c r="R971" s="97" t="s">
        <v>52</v>
      </c>
      <c r="S971" s="97">
        <f>5000+42000</f>
        <v>47000</v>
      </c>
      <c r="T971" s="64" t="s">
        <v>33</v>
      </c>
      <c r="U971" s="65" t="s">
        <v>33</v>
      </c>
      <c r="V971" s="97" t="s">
        <v>28</v>
      </c>
      <c r="W971" s="97">
        <f t="shared" si="1960"/>
        <v>5500</v>
      </c>
      <c r="X971" s="97" t="s">
        <v>36</v>
      </c>
      <c r="Y971" s="97" t="s">
        <v>29</v>
      </c>
      <c r="Z971" s="105">
        <f t="shared" si="1961"/>
        <v>13.253012048192771</v>
      </c>
      <c r="AA971" s="93"/>
    </row>
    <row r="972" spans="1:27" s="101" customFormat="1" hidden="1">
      <c r="A972" s="97">
        <f>SUBTOTAL(3,C$2:C972)</f>
        <v>468</v>
      </c>
      <c r="B972" s="97" t="s">
        <v>1086</v>
      </c>
      <c r="C972" s="97" t="s">
        <v>1031</v>
      </c>
      <c r="D972" s="97" t="s">
        <v>32</v>
      </c>
      <c r="E972" s="97" t="s">
        <v>33</v>
      </c>
      <c r="F972" s="101" t="s">
        <v>194</v>
      </c>
      <c r="G972" s="102" t="s">
        <v>34</v>
      </c>
      <c r="H972" s="103" t="s">
        <v>2052</v>
      </c>
      <c r="I972" s="104">
        <v>46165</v>
      </c>
      <c r="J972" s="97">
        <f t="shared" ca="1" si="1957"/>
        <v>19</v>
      </c>
      <c r="K972" s="97" t="str">
        <f t="shared" si="1958"/>
        <v>Pending</v>
      </c>
      <c r="L972" s="101" t="s">
        <v>698</v>
      </c>
      <c r="M972" s="97">
        <v>18000</v>
      </c>
      <c r="N972" s="97">
        <v>16000</v>
      </c>
      <c r="O972" s="104">
        <v>46165</v>
      </c>
      <c r="P972" s="97">
        <f t="shared" si="1959"/>
        <v>2000</v>
      </c>
      <c r="Q972" s="97" t="s">
        <v>33</v>
      </c>
      <c r="R972" s="97" t="s">
        <v>56</v>
      </c>
      <c r="S972" s="97">
        <v>20500</v>
      </c>
      <c r="T972" s="64" t="s">
        <v>33</v>
      </c>
      <c r="U972" s="65" t="s">
        <v>33</v>
      </c>
      <c r="V972" s="97" t="s">
        <v>28</v>
      </c>
      <c r="W972" s="97">
        <f t="shared" si="1960"/>
        <v>2500</v>
      </c>
      <c r="X972" s="97" t="s">
        <v>963</v>
      </c>
      <c r="Y972" s="97" t="s">
        <v>29</v>
      </c>
      <c r="Z972" s="105">
        <f t="shared" si="1961"/>
        <v>13.888888888888889</v>
      </c>
      <c r="AA972" s="93"/>
    </row>
    <row r="973" spans="1:27" s="101" customFormat="1" hidden="1">
      <c r="A973" s="97">
        <f>SUBTOTAL(3,C$2:C973)</f>
        <v>468</v>
      </c>
      <c r="B973" s="97" t="s">
        <v>1086</v>
      </c>
      <c r="C973" s="97" t="s">
        <v>1031</v>
      </c>
      <c r="D973" s="97" t="s">
        <v>32</v>
      </c>
      <c r="E973" s="97" t="s">
        <v>33</v>
      </c>
      <c r="F973" s="101" t="s">
        <v>2027</v>
      </c>
      <c r="G973" s="102" t="s">
        <v>34</v>
      </c>
      <c r="H973" s="111" t="s">
        <v>2053</v>
      </c>
      <c r="I973" s="104">
        <v>46165</v>
      </c>
      <c r="J973" s="97">
        <f t="shared" ref="J973:J975" ca="1" si="1962">+TODAY()-I973</f>
        <v>19</v>
      </c>
      <c r="K973" s="97" t="str">
        <f t="shared" ref="K973:K975" si="1963">+U973</f>
        <v>Pending</v>
      </c>
      <c r="L973" s="101" t="s">
        <v>698</v>
      </c>
      <c r="M973" s="97">
        <v>18000</v>
      </c>
      <c r="N973" s="97">
        <v>16000</v>
      </c>
      <c r="O973" s="104">
        <v>46165</v>
      </c>
      <c r="P973" s="97">
        <f t="shared" ref="P973:P975" si="1964">+M973-N973</f>
        <v>2000</v>
      </c>
      <c r="Q973" s="97" t="s">
        <v>33</v>
      </c>
      <c r="R973" s="97" t="s">
        <v>56</v>
      </c>
      <c r="S973" s="97">
        <v>20500</v>
      </c>
      <c r="T973" s="64" t="s">
        <v>33</v>
      </c>
      <c r="U973" s="65" t="s">
        <v>33</v>
      </c>
      <c r="V973" s="97" t="s">
        <v>28</v>
      </c>
      <c r="W973" s="97">
        <f t="shared" ref="W973:W975" si="1965">+S973-M973</f>
        <v>2500</v>
      </c>
      <c r="X973" s="97" t="s">
        <v>963</v>
      </c>
      <c r="Y973" s="97" t="s">
        <v>29</v>
      </c>
      <c r="Z973" s="105">
        <f t="shared" ref="Z973:Z975" si="1966">+W973*100/M973</f>
        <v>13.888888888888889</v>
      </c>
      <c r="AA973" s="93"/>
    </row>
    <row r="974" spans="1:27" s="101" customFormat="1" hidden="1">
      <c r="A974" s="97">
        <f>SUBTOTAL(3,C$2:C974)</f>
        <v>468</v>
      </c>
      <c r="B974" s="97" t="s">
        <v>1086</v>
      </c>
      <c r="C974" s="97" t="s">
        <v>31</v>
      </c>
      <c r="D974" s="97" t="s">
        <v>32</v>
      </c>
      <c r="E974" s="97" t="s">
        <v>33</v>
      </c>
      <c r="F974" s="101" t="s">
        <v>2028</v>
      </c>
      <c r="G974" s="102" t="s">
        <v>34</v>
      </c>
      <c r="H974" s="111" t="s">
        <v>2054</v>
      </c>
      <c r="I974" s="104">
        <v>46165</v>
      </c>
      <c r="J974" s="97">
        <f t="shared" ca="1" si="1962"/>
        <v>19</v>
      </c>
      <c r="K974" s="97" t="str">
        <f t="shared" si="1963"/>
        <v>Pending</v>
      </c>
      <c r="L974" s="101" t="s">
        <v>1697</v>
      </c>
      <c r="M974" s="97">
        <v>18300</v>
      </c>
      <c r="N974" s="97">
        <v>16500</v>
      </c>
      <c r="O974" s="104">
        <v>46165</v>
      </c>
      <c r="P974" s="97">
        <f t="shared" si="1964"/>
        <v>1800</v>
      </c>
      <c r="Q974" s="97" t="s">
        <v>33</v>
      </c>
      <c r="R974" s="97" t="s">
        <v>37</v>
      </c>
      <c r="S974" s="97">
        <v>21500</v>
      </c>
      <c r="T974" s="64" t="s">
        <v>33</v>
      </c>
      <c r="U974" s="65" t="s">
        <v>33</v>
      </c>
      <c r="V974" s="97" t="s">
        <v>28</v>
      </c>
      <c r="W974" s="97">
        <f t="shared" si="1965"/>
        <v>3200</v>
      </c>
      <c r="X974" s="97" t="s">
        <v>36</v>
      </c>
      <c r="Y974" s="97" t="s">
        <v>29</v>
      </c>
      <c r="Z974" s="105">
        <f t="shared" si="1966"/>
        <v>17.486338797814209</v>
      </c>
      <c r="AA974" s="93"/>
    </row>
    <row r="975" spans="1:27" s="101" customFormat="1" hidden="1">
      <c r="A975" s="97">
        <f>SUBTOTAL(3,C$2:C975)</f>
        <v>468</v>
      </c>
      <c r="B975" s="97" t="s">
        <v>1086</v>
      </c>
      <c r="C975" s="97" t="s">
        <v>44</v>
      </c>
      <c r="D975" s="97" t="s">
        <v>32</v>
      </c>
      <c r="E975" s="97" t="s">
        <v>33</v>
      </c>
      <c r="F975" s="101" t="s">
        <v>133</v>
      </c>
      <c r="G975" s="102" t="s">
        <v>1093</v>
      </c>
      <c r="H975" s="111" t="s">
        <v>2056</v>
      </c>
      <c r="I975" s="104">
        <v>46165</v>
      </c>
      <c r="J975" s="97">
        <f t="shared" ca="1" si="1962"/>
        <v>19</v>
      </c>
      <c r="K975" s="97" t="str">
        <f t="shared" si="1963"/>
        <v>Pending</v>
      </c>
      <c r="L975" s="101" t="s">
        <v>2030</v>
      </c>
      <c r="M975" s="97">
        <v>24500</v>
      </c>
      <c r="N975" s="97">
        <v>23500</v>
      </c>
      <c r="O975" s="104">
        <v>46165</v>
      </c>
      <c r="P975" s="97">
        <f t="shared" si="1964"/>
        <v>1000</v>
      </c>
      <c r="Q975" s="97" t="s">
        <v>33</v>
      </c>
      <c r="R975" s="97" t="s">
        <v>112</v>
      </c>
      <c r="S975" s="97">
        <v>28000</v>
      </c>
      <c r="T975" s="64" t="s">
        <v>33</v>
      </c>
      <c r="U975" s="65" t="s">
        <v>33</v>
      </c>
      <c r="V975" s="97" t="s">
        <v>28</v>
      </c>
      <c r="W975" s="97">
        <f t="shared" si="1965"/>
        <v>3500</v>
      </c>
      <c r="X975" s="97" t="s">
        <v>2031</v>
      </c>
      <c r="Y975" s="97" t="s">
        <v>29</v>
      </c>
      <c r="Z975" s="105">
        <f t="shared" si="1966"/>
        <v>14.285714285714286</v>
      </c>
      <c r="AA975" s="93"/>
    </row>
    <row r="976" spans="1:27" s="101" customFormat="1" hidden="1">
      <c r="A976" s="97">
        <f>SUBTOTAL(3,C$2:C976)</f>
        <v>468</v>
      </c>
      <c r="B976" s="97" t="s">
        <v>1086</v>
      </c>
      <c r="C976" s="97" t="s">
        <v>31</v>
      </c>
      <c r="D976" s="97" t="s">
        <v>32</v>
      </c>
      <c r="E976" s="97" t="s">
        <v>33</v>
      </c>
      <c r="F976" s="101" t="s">
        <v>2029</v>
      </c>
      <c r="G976" s="102" t="s">
        <v>34</v>
      </c>
      <c r="H976" s="111" t="s">
        <v>2055</v>
      </c>
      <c r="I976" s="104">
        <v>46165</v>
      </c>
      <c r="J976" s="97">
        <f t="shared" ref="J976:J1001" ca="1" si="1967">+TODAY()-I976</f>
        <v>19</v>
      </c>
      <c r="K976" s="97" t="str">
        <f t="shared" ref="K976:K1001" si="1968">+U976</f>
        <v>Pending</v>
      </c>
      <c r="L976" s="101" t="s">
        <v>1411</v>
      </c>
      <c r="M976" s="97">
        <v>19000</v>
      </c>
      <c r="N976" s="97">
        <v>17000</v>
      </c>
      <c r="O976" s="104">
        <v>46165</v>
      </c>
      <c r="P976" s="97">
        <f t="shared" ref="P976:P1001" si="1969">+M976-N976</f>
        <v>2000</v>
      </c>
      <c r="Q976" s="97" t="s">
        <v>33</v>
      </c>
      <c r="R976" s="97" t="s">
        <v>39</v>
      </c>
      <c r="S976" s="97">
        <v>21800</v>
      </c>
      <c r="T976" s="64" t="s">
        <v>33</v>
      </c>
      <c r="U976" s="65" t="s">
        <v>33</v>
      </c>
      <c r="V976" s="97" t="s">
        <v>28</v>
      </c>
      <c r="W976" s="97">
        <f t="shared" ref="W976:W1001" si="1970">+S976-M976</f>
        <v>2800</v>
      </c>
      <c r="X976" s="97" t="s">
        <v>36</v>
      </c>
      <c r="Y976" s="97" t="s">
        <v>29</v>
      </c>
      <c r="Z976" s="105">
        <f t="shared" ref="Z976:Z1001" si="1971">+W976*100/M976</f>
        <v>14.736842105263158</v>
      </c>
      <c r="AA976" s="93"/>
    </row>
    <row r="977" spans="1:27" s="101" customFormat="1" hidden="1">
      <c r="A977" s="97">
        <f>SUBTOTAL(3,C$2:C977)</f>
        <v>468</v>
      </c>
      <c r="B977" s="97" t="s">
        <v>1086</v>
      </c>
      <c r="C977" s="97" t="s">
        <v>31</v>
      </c>
      <c r="D977" s="97" t="s">
        <v>32</v>
      </c>
      <c r="E977" s="97" t="s">
        <v>33</v>
      </c>
      <c r="F977" s="101" t="s">
        <v>2086</v>
      </c>
      <c r="G977" s="102" t="s">
        <v>34</v>
      </c>
      <c r="H977" s="103" t="s">
        <v>2101</v>
      </c>
      <c r="I977" s="104">
        <v>46165</v>
      </c>
      <c r="J977" s="97">
        <f t="shared" ca="1" si="1967"/>
        <v>19</v>
      </c>
      <c r="K977" s="97" t="str">
        <f t="shared" si="1968"/>
        <v>Pending</v>
      </c>
      <c r="L977" s="101" t="s">
        <v>483</v>
      </c>
      <c r="M977" s="97">
        <v>24000</v>
      </c>
      <c r="N977" s="97">
        <v>22000</v>
      </c>
      <c r="O977" s="104">
        <v>46167</v>
      </c>
      <c r="P977" s="97">
        <f t="shared" si="1969"/>
        <v>2000</v>
      </c>
      <c r="Q977" s="97" t="s">
        <v>33</v>
      </c>
      <c r="R977" s="97" t="s">
        <v>52</v>
      </c>
      <c r="S977" s="97">
        <v>26000</v>
      </c>
      <c r="T977" s="64" t="s">
        <v>33</v>
      </c>
      <c r="U977" s="65" t="s">
        <v>33</v>
      </c>
      <c r="V977" s="97" t="s">
        <v>28</v>
      </c>
      <c r="W977" s="97">
        <f t="shared" si="1970"/>
        <v>2000</v>
      </c>
      <c r="X977" s="97" t="s">
        <v>36</v>
      </c>
      <c r="Y977" s="97" t="s">
        <v>29</v>
      </c>
      <c r="Z977" s="105">
        <f t="shared" si="1971"/>
        <v>8.3333333333333339</v>
      </c>
      <c r="AA977" s="93"/>
    </row>
    <row r="978" spans="1:27" s="101" customFormat="1" hidden="1">
      <c r="A978" s="97">
        <f>SUBTOTAL(3,C$2:C978)</f>
        <v>468</v>
      </c>
      <c r="B978" s="97" t="s">
        <v>1086</v>
      </c>
      <c r="C978" s="97" t="s">
        <v>44</v>
      </c>
      <c r="D978" s="97" t="s">
        <v>32</v>
      </c>
      <c r="E978" s="97" t="s">
        <v>33</v>
      </c>
      <c r="F978" s="101" t="s">
        <v>2087</v>
      </c>
      <c r="G978" s="102" t="s">
        <v>46</v>
      </c>
      <c r="H978" s="103" t="s">
        <v>2102</v>
      </c>
      <c r="I978" s="104">
        <v>46161</v>
      </c>
      <c r="J978" s="97">
        <f t="shared" ca="1" si="1967"/>
        <v>23</v>
      </c>
      <c r="K978" s="97">
        <f t="shared" si="1968"/>
        <v>46170</v>
      </c>
      <c r="L978" s="101" t="s">
        <v>1288</v>
      </c>
      <c r="M978" s="97">
        <v>18500</v>
      </c>
      <c r="N978" s="97">
        <v>18500</v>
      </c>
      <c r="O978" s="104">
        <v>46167</v>
      </c>
      <c r="P978" s="97">
        <f t="shared" si="1969"/>
        <v>0</v>
      </c>
      <c r="Q978" s="97" t="s">
        <v>33</v>
      </c>
      <c r="R978" s="97" t="s">
        <v>78</v>
      </c>
      <c r="S978" s="97">
        <v>21000</v>
      </c>
      <c r="T978" s="64" t="s">
        <v>2681</v>
      </c>
      <c r="U978" s="65">
        <v>46170</v>
      </c>
      <c r="V978" s="97" t="s">
        <v>28</v>
      </c>
      <c r="W978" s="97">
        <f t="shared" si="1970"/>
        <v>2500</v>
      </c>
      <c r="X978" s="97" t="s">
        <v>36</v>
      </c>
      <c r="Y978" s="97" t="s">
        <v>29</v>
      </c>
      <c r="Z978" s="105">
        <f t="shared" si="1971"/>
        <v>13.513513513513514</v>
      </c>
      <c r="AA978" s="93"/>
    </row>
    <row r="979" spans="1:27" s="101" customFormat="1" hidden="1">
      <c r="A979" s="97">
        <f>SUBTOTAL(3,C$2:C979)</f>
        <v>468</v>
      </c>
      <c r="B979" s="97" t="s">
        <v>1086</v>
      </c>
      <c r="C979" s="97" t="s">
        <v>44</v>
      </c>
      <c r="D979" s="97" t="s">
        <v>32</v>
      </c>
      <c r="E979" s="97" t="s">
        <v>33</v>
      </c>
      <c r="F979" s="101" t="s">
        <v>645</v>
      </c>
      <c r="G979" s="102" t="s">
        <v>59</v>
      </c>
      <c r="H979" s="103" t="s">
        <v>2103</v>
      </c>
      <c r="I979" s="104">
        <v>46162</v>
      </c>
      <c r="J979" s="97">
        <f t="shared" ca="1" si="1967"/>
        <v>22</v>
      </c>
      <c r="K979" s="97">
        <f t="shared" si="1968"/>
        <v>46169</v>
      </c>
      <c r="L979" s="101" t="s">
        <v>2088</v>
      </c>
      <c r="M979" s="97">
        <v>23000</v>
      </c>
      <c r="N979" s="97">
        <v>23000</v>
      </c>
      <c r="O979" s="104">
        <v>46167</v>
      </c>
      <c r="P979" s="97">
        <f t="shared" si="1969"/>
        <v>0</v>
      </c>
      <c r="Q979" s="97" t="s">
        <v>33</v>
      </c>
      <c r="R979" s="97" t="s">
        <v>39</v>
      </c>
      <c r="S979" s="97">
        <v>25500</v>
      </c>
      <c r="T979" s="64" t="s">
        <v>2676</v>
      </c>
      <c r="U979" s="65">
        <v>46169</v>
      </c>
      <c r="V979" s="97" t="s">
        <v>28</v>
      </c>
      <c r="W979" s="97">
        <f t="shared" si="1970"/>
        <v>2500</v>
      </c>
      <c r="X979" s="97" t="s">
        <v>36</v>
      </c>
      <c r="Y979" s="97" t="s">
        <v>29</v>
      </c>
      <c r="Z979" s="105">
        <f t="shared" si="1971"/>
        <v>10.869565217391305</v>
      </c>
      <c r="AA979" s="93"/>
    </row>
    <row r="980" spans="1:27" s="101" customFormat="1" hidden="1">
      <c r="A980" s="97">
        <f>SUBTOTAL(3,C$2:C980)</f>
        <v>468</v>
      </c>
      <c r="B980" s="97" t="s">
        <v>1086</v>
      </c>
      <c r="C980" s="97" t="s">
        <v>44</v>
      </c>
      <c r="D980" s="97" t="s">
        <v>32</v>
      </c>
      <c r="E980" s="97" t="s">
        <v>33</v>
      </c>
      <c r="F980" s="101" t="s">
        <v>828</v>
      </c>
      <c r="G980" s="102">
        <v>407</v>
      </c>
      <c r="H980" s="111" t="s">
        <v>2104</v>
      </c>
      <c r="I980" s="104">
        <v>46165</v>
      </c>
      <c r="J980" s="97">
        <f t="shared" ca="1" si="1967"/>
        <v>19</v>
      </c>
      <c r="K980" s="97" t="str">
        <f t="shared" si="1968"/>
        <v>Pending</v>
      </c>
      <c r="L980" s="101" t="s">
        <v>84</v>
      </c>
      <c r="M980" s="97">
        <v>27500</v>
      </c>
      <c r="N980" s="97">
        <v>25500</v>
      </c>
      <c r="O980" s="104">
        <v>46167</v>
      </c>
      <c r="P980" s="97">
        <f t="shared" si="1969"/>
        <v>2000</v>
      </c>
      <c r="Q980" s="97" t="s">
        <v>33</v>
      </c>
      <c r="R980" s="97" t="s">
        <v>78</v>
      </c>
      <c r="S980" s="97">
        <v>29800</v>
      </c>
      <c r="T980" s="64" t="s">
        <v>33</v>
      </c>
      <c r="U980" s="65" t="s">
        <v>33</v>
      </c>
      <c r="V980" s="97" t="s">
        <v>28</v>
      </c>
      <c r="W980" s="97">
        <f t="shared" si="1970"/>
        <v>2300</v>
      </c>
      <c r="X980" s="97" t="s">
        <v>36</v>
      </c>
      <c r="Y980" s="97" t="s">
        <v>29</v>
      </c>
      <c r="Z980" s="105">
        <f t="shared" si="1971"/>
        <v>8.3636363636363633</v>
      </c>
      <c r="AA980" s="93"/>
    </row>
    <row r="981" spans="1:27" s="101" customFormat="1" hidden="1">
      <c r="A981" s="97">
        <f>SUBTOTAL(3,C$2:C981)</f>
        <v>468</v>
      </c>
      <c r="B981" s="97" t="s">
        <v>1086</v>
      </c>
      <c r="C981" s="97" t="s">
        <v>31</v>
      </c>
      <c r="D981" s="97" t="s">
        <v>32</v>
      </c>
      <c r="E981" s="97" t="s">
        <v>33</v>
      </c>
      <c r="F981" s="101" t="s">
        <v>42</v>
      </c>
      <c r="G981" s="102" t="s">
        <v>34</v>
      </c>
      <c r="H981" s="103" t="s">
        <v>2105</v>
      </c>
      <c r="I981" s="104">
        <v>46165</v>
      </c>
      <c r="J981" s="97">
        <f t="shared" ca="1" si="1967"/>
        <v>19</v>
      </c>
      <c r="K981" s="97" t="str">
        <f t="shared" si="1968"/>
        <v>Pending</v>
      </c>
      <c r="L981" s="101" t="s">
        <v>1697</v>
      </c>
      <c r="M981" s="97">
        <v>18300</v>
      </c>
      <c r="N981" s="97">
        <v>16500</v>
      </c>
      <c r="O981" s="104">
        <v>46167</v>
      </c>
      <c r="P981" s="97">
        <f t="shared" si="1969"/>
        <v>1800</v>
      </c>
      <c r="Q981" s="97" t="s">
        <v>33</v>
      </c>
      <c r="R981" s="97" t="s">
        <v>37</v>
      </c>
      <c r="S981" s="97">
        <v>21500</v>
      </c>
      <c r="T981" s="64" t="s">
        <v>33</v>
      </c>
      <c r="U981" s="65" t="s">
        <v>33</v>
      </c>
      <c r="V981" s="97" t="s">
        <v>28</v>
      </c>
      <c r="W981" s="97">
        <f t="shared" si="1970"/>
        <v>3200</v>
      </c>
      <c r="X981" s="97" t="s">
        <v>36</v>
      </c>
      <c r="Y981" s="97" t="s">
        <v>29</v>
      </c>
      <c r="Z981" s="105">
        <f t="shared" si="1971"/>
        <v>17.486338797814209</v>
      </c>
      <c r="AA981" s="93"/>
    </row>
    <row r="982" spans="1:27" s="101" customFormat="1" hidden="1">
      <c r="A982" s="97">
        <f>SUBTOTAL(3,C$2:C982)</f>
        <v>468</v>
      </c>
      <c r="B982" s="97" t="s">
        <v>1086</v>
      </c>
      <c r="C982" s="97" t="s">
        <v>80</v>
      </c>
      <c r="D982" s="97" t="s">
        <v>32</v>
      </c>
      <c r="E982" s="97" t="s">
        <v>33</v>
      </c>
      <c r="F982" s="101" t="s">
        <v>1202</v>
      </c>
      <c r="G982" s="102" t="s">
        <v>1215</v>
      </c>
      <c r="H982" s="103" t="s">
        <v>2106</v>
      </c>
      <c r="I982" s="104">
        <v>46165</v>
      </c>
      <c r="J982" s="97">
        <f t="shared" ca="1" si="1967"/>
        <v>19</v>
      </c>
      <c r="K982" s="97" t="str">
        <f t="shared" si="1968"/>
        <v>Pending</v>
      </c>
      <c r="L982" s="101" t="s">
        <v>1939</v>
      </c>
      <c r="M982" s="97">
        <v>28000</v>
      </c>
      <c r="N982" s="97">
        <v>26000</v>
      </c>
      <c r="O982" s="104">
        <v>46167</v>
      </c>
      <c r="P982" s="97">
        <f t="shared" si="1969"/>
        <v>2000</v>
      </c>
      <c r="Q982" s="97" t="s">
        <v>33</v>
      </c>
      <c r="R982" s="97" t="s">
        <v>39</v>
      </c>
      <c r="S982" s="97">
        <v>31500</v>
      </c>
      <c r="T982" s="64" t="s">
        <v>33</v>
      </c>
      <c r="U982" s="65" t="s">
        <v>33</v>
      </c>
      <c r="V982" s="97" t="s">
        <v>28</v>
      </c>
      <c r="W982" s="97">
        <f t="shared" si="1970"/>
        <v>3500</v>
      </c>
      <c r="X982" s="97" t="s">
        <v>36</v>
      </c>
      <c r="Y982" s="97" t="s">
        <v>29</v>
      </c>
      <c r="Z982" s="105">
        <f t="shared" si="1971"/>
        <v>12.5</v>
      </c>
      <c r="AA982" s="93"/>
    </row>
    <row r="983" spans="1:27" s="101" customFormat="1" hidden="1">
      <c r="A983" s="97">
        <f>SUBTOTAL(3,C$2:C983)</f>
        <v>468</v>
      </c>
      <c r="B983" s="97" t="s">
        <v>1086</v>
      </c>
      <c r="C983" s="97" t="s">
        <v>80</v>
      </c>
      <c r="D983" s="97" t="s">
        <v>32</v>
      </c>
      <c r="E983" s="97" t="s">
        <v>33</v>
      </c>
      <c r="F983" s="101" t="s">
        <v>2090</v>
      </c>
      <c r="G983" s="102" t="s">
        <v>1215</v>
      </c>
      <c r="H983" s="111" t="s">
        <v>2107</v>
      </c>
      <c r="I983" s="104">
        <v>46165</v>
      </c>
      <c r="J983" s="97">
        <f t="shared" ca="1" si="1967"/>
        <v>19</v>
      </c>
      <c r="K983" s="97" t="str">
        <f t="shared" si="1968"/>
        <v>Pending</v>
      </c>
      <c r="L983" s="101" t="s">
        <v>1939</v>
      </c>
      <c r="M983" s="97">
        <v>28000</v>
      </c>
      <c r="N983" s="97">
        <v>26000</v>
      </c>
      <c r="O983" s="104">
        <v>46167</v>
      </c>
      <c r="P983" s="97">
        <f t="shared" si="1969"/>
        <v>2000</v>
      </c>
      <c r="Q983" s="97" t="s">
        <v>33</v>
      </c>
      <c r="R983" s="97" t="s">
        <v>39</v>
      </c>
      <c r="S983" s="97">
        <v>31500</v>
      </c>
      <c r="T983" s="64" t="s">
        <v>33</v>
      </c>
      <c r="U983" s="65" t="s">
        <v>33</v>
      </c>
      <c r="V983" s="97" t="s">
        <v>28</v>
      </c>
      <c r="W983" s="97">
        <f t="shared" si="1970"/>
        <v>3500</v>
      </c>
      <c r="X983" s="97" t="s">
        <v>36</v>
      </c>
      <c r="Y983" s="97" t="s">
        <v>29</v>
      </c>
      <c r="Z983" s="105">
        <f t="shared" si="1971"/>
        <v>12.5</v>
      </c>
      <c r="AA983" s="93"/>
    </row>
    <row r="984" spans="1:27" s="101" customFormat="1" hidden="1">
      <c r="A984" s="97">
        <f>SUBTOTAL(3,C$2:C984)</f>
        <v>468</v>
      </c>
      <c r="B984" s="97" t="s">
        <v>1086</v>
      </c>
      <c r="C984" s="97" t="s">
        <v>156</v>
      </c>
      <c r="D984" s="97" t="s">
        <v>32</v>
      </c>
      <c r="E984" s="97" t="s">
        <v>33</v>
      </c>
      <c r="F984" s="101" t="s">
        <v>164</v>
      </c>
      <c r="G984" s="102" t="s">
        <v>67</v>
      </c>
      <c r="H984" s="103" t="s">
        <v>2108</v>
      </c>
      <c r="I984" s="104">
        <v>46166</v>
      </c>
      <c r="J984" s="97">
        <f t="shared" ca="1" si="1967"/>
        <v>18</v>
      </c>
      <c r="K984" s="97" t="str">
        <f t="shared" si="1968"/>
        <v>Pending</v>
      </c>
      <c r="L984" s="101" t="s">
        <v>830</v>
      </c>
      <c r="M984" s="97">
        <f>3000+38500</f>
        <v>41500</v>
      </c>
      <c r="N984" s="97">
        <v>35500</v>
      </c>
      <c r="O984" s="104">
        <v>46167</v>
      </c>
      <c r="P984" s="97">
        <f t="shared" si="1969"/>
        <v>6000</v>
      </c>
      <c r="Q984" s="97" t="s">
        <v>33</v>
      </c>
      <c r="R984" s="97" t="s">
        <v>52</v>
      </c>
      <c r="S984" s="97">
        <f>5000+42000</f>
        <v>47000</v>
      </c>
      <c r="T984" s="64" t="s">
        <v>33</v>
      </c>
      <c r="U984" s="65" t="s">
        <v>33</v>
      </c>
      <c r="V984" s="97" t="s">
        <v>28</v>
      </c>
      <c r="W984" s="97">
        <f t="shared" si="1970"/>
        <v>5500</v>
      </c>
      <c r="X984" s="97" t="s">
        <v>36</v>
      </c>
      <c r="Y984" s="97" t="s">
        <v>29</v>
      </c>
      <c r="Z984" s="105">
        <f t="shared" si="1971"/>
        <v>13.253012048192771</v>
      </c>
      <c r="AA984" s="93"/>
    </row>
    <row r="985" spans="1:27" s="101" customFormat="1" hidden="1">
      <c r="A985" s="97">
        <f>SUBTOTAL(3,C$2:C985)</f>
        <v>468</v>
      </c>
      <c r="B985" s="97" t="s">
        <v>1086</v>
      </c>
      <c r="C985" s="97" t="s">
        <v>31</v>
      </c>
      <c r="D985" s="97" t="s">
        <v>32</v>
      </c>
      <c r="E985" s="97" t="s">
        <v>33</v>
      </c>
      <c r="F985" s="101" t="s">
        <v>778</v>
      </c>
      <c r="G985" s="102" t="s">
        <v>34</v>
      </c>
      <c r="H985" s="103" t="s">
        <v>2109</v>
      </c>
      <c r="I985" s="104">
        <v>46166</v>
      </c>
      <c r="J985" s="97">
        <f t="shared" ca="1" si="1967"/>
        <v>18</v>
      </c>
      <c r="K985" s="97" t="str">
        <f t="shared" si="1968"/>
        <v>Pending</v>
      </c>
      <c r="L985" s="101" t="s">
        <v>1697</v>
      </c>
      <c r="M985" s="97">
        <v>18300</v>
      </c>
      <c r="N985" s="97">
        <v>16500</v>
      </c>
      <c r="O985" s="104">
        <v>46167</v>
      </c>
      <c r="P985" s="97">
        <f t="shared" si="1969"/>
        <v>1800</v>
      </c>
      <c r="Q985" s="97" t="s">
        <v>33</v>
      </c>
      <c r="R985" s="97" t="s">
        <v>37</v>
      </c>
      <c r="S985" s="97">
        <v>21500</v>
      </c>
      <c r="T985" s="64" t="s">
        <v>33</v>
      </c>
      <c r="U985" s="65" t="s">
        <v>33</v>
      </c>
      <c r="V985" s="97" t="s">
        <v>28</v>
      </c>
      <c r="W985" s="97">
        <f t="shared" si="1970"/>
        <v>3200</v>
      </c>
      <c r="X985" s="97" t="s">
        <v>36</v>
      </c>
      <c r="Y985" s="97" t="s">
        <v>29</v>
      </c>
      <c r="Z985" s="105">
        <f t="shared" si="1971"/>
        <v>17.486338797814209</v>
      </c>
      <c r="AA985" s="93"/>
    </row>
    <row r="986" spans="1:27" s="101" customFormat="1" hidden="1">
      <c r="A986" s="97">
        <f>SUBTOTAL(3,C$2:C986)</f>
        <v>468</v>
      </c>
      <c r="B986" s="97" t="s">
        <v>1086</v>
      </c>
      <c r="C986" s="97" t="s">
        <v>31</v>
      </c>
      <c r="D986" s="97" t="s">
        <v>32</v>
      </c>
      <c r="E986" s="97" t="s">
        <v>33</v>
      </c>
      <c r="F986" s="101" t="s">
        <v>310</v>
      </c>
      <c r="G986" s="102" t="s">
        <v>34</v>
      </c>
      <c r="H986" s="111" t="s">
        <v>2110</v>
      </c>
      <c r="I986" s="104">
        <v>46166</v>
      </c>
      <c r="J986" s="97">
        <f t="shared" ca="1" si="1967"/>
        <v>18</v>
      </c>
      <c r="K986" s="97" t="str">
        <f t="shared" si="1968"/>
        <v>Pending</v>
      </c>
      <c r="L986" s="101" t="s">
        <v>1411</v>
      </c>
      <c r="M986" s="97">
        <v>19000</v>
      </c>
      <c r="N986" s="97">
        <v>17000</v>
      </c>
      <c r="O986" s="104">
        <v>46167</v>
      </c>
      <c r="P986" s="97">
        <f t="shared" si="1969"/>
        <v>2000</v>
      </c>
      <c r="Q986" s="97" t="s">
        <v>33</v>
      </c>
      <c r="R986" s="97" t="s">
        <v>39</v>
      </c>
      <c r="S986" s="97">
        <v>21800</v>
      </c>
      <c r="T986" s="64" t="s">
        <v>33</v>
      </c>
      <c r="U986" s="65" t="s">
        <v>33</v>
      </c>
      <c r="V986" s="97" t="s">
        <v>28</v>
      </c>
      <c r="W986" s="97">
        <f t="shared" si="1970"/>
        <v>2800</v>
      </c>
      <c r="X986" s="97" t="s">
        <v>36</v>
      </c>
      <c r="Y986" s="97" t="s">
        <v>29</v>
      </c>
      <c r="Z986" s="105">
        <f t="shared" si="1971"/>
        <v>14.736842105263158</v>
      </c>
      <c r="AA986" s="93"/>
    </row>
    <row r="987" spans="1:27" s="101" customFormat="1" hidden="1">
      <c r="A987" s="97">
        <f>SUBTOTAL(3,C$2:C987)</f>
        <v>468</v>
      </c>
      <c r="B987" s="97" t="s">
        <v>1086</v>
      </c>
      <c r="C987" s="97" t="s">
        <v>44</v>
      </c>
      <c r="D987" s="97" t="s">
        <v>32</v>
      </c>
      <c r="E987" s="97" t="s">
        <v>33</v>
      </c>
      <c r="F987" s="101" t="s">
        <v>2091</v>
      </c>
      <c r="G987" s="102" t="s">
        <v>143</v>
      </c>
      <c r="H987" s="103" t="s">
        <v>2111</v>
      </c>
      <c r="I987" s="104">
        <v>46166</v>
      </c>
      <c r="J987" s="97">
        <f t="shared" ca="1" si="1967"/>
        <v>18</v>
      </c>
      <c r="K987" s="97" t="str">
        <f t="shared" si="1968"/>
        <v>Pending</v>
      </c>
      <c r="L987" s="101" t="s">
        <v>2092</v>
      </c>
      <c r="M987" s="97">
        <v>31500</v>
      </c>
      <c r="N987" s="97">
        <v>28500</v>
      </c>
      <c r="O987" s="104">
        <v>46167</v>
      </c>
      <c r="P987" s="97">
        <f t="shared" si="1969"/>
        <v>3000</v>
      </c>
      <c r="Q987" s="97" t="s">
        <v>33</v>
      </c>
      <c r="R987" s="97" t="s">
        <v>39</v>
      </c>
      <c r="S987" s="97">
        <v>35000</v>
      </c>
      <c r="T987" s="64" t="s">
        <v>33</v>
      </c>
      <c r="U987" s="65" t="s">
        <v>33</v>
      </c>
      <c r="V987" s="97" t="s">
        <v>28</v>
      </c>
      <c r="W987" s="97">
        <f t="shared" si="1970"/>
        <v>3500</v>
      </c>
      <c r="X987" s="97" t="s">
        <v>36</v>
      </c>
      <c r="Y987" s="97" t="s">
        <v>29</v>
      </c>
      <c r="Z987" s="105">
        <f t="shared" si="1971"/>
        <v>11.111111111111111</v>
      </c>
      <c r="AA987" s="93"/>
    </row>
    <row r="988" spans="1:27" s="101" customFormat="1" hidden="1">
      <c r="A988" s="97">
        <f>SUBTOTAL(3,C$2:C988)</f>
        <v>468</v>
      </c>
      <c r="B988" s="97" t="s">
        <v>1086</v>
      </c>
      <c r="C988" s="97" t="s">
        <v>1031</v>
      </c>
      <c r="D988" s="97" t="s">
        <v>32</v>
      </c>
      <c r="E988" s="97" t="s">
        <v>33</v>
      </c>
      <c r="F988" s="101" t="s">
        <v>967</v>
      </c>
      <c r="G988" s="102" t="s">
        <v>34</v>
      </c>
      <c r="H988" s="103" t="s">
        <v>2112</v>
      </c>
      <c r="I988" s="104">
        <v>46165</v>
      </c>
      <c r="J988" s="97">
        <f t="shared" ca="1" si="1967"/>
        <v>19</v>
      </c>
      <c r="K988" s="97" t="str">
        <f t="shared" si="1968"/>
        <v>Pending</v>
      </c>
      <c r="L988" s="101" t="s">
        <v>698</v>
      </c>
      <c r="M988" s="97">
        <v>18000</v>
      </c>
      <c r="N988" s="97">
        <v>16000</v>
      </c>
      <c r="O988" s="104">
        <v>46167</v>
      </c>
      <c r="P988" s="97">
        <f t="shared" si="1969"/>
        <v>2000</v>
      </c>
      <c r="Q988" s="97" t="s">
        <v>33</v>
      </c>
      <c r="R988" s="97" t="s">
        <v>56</v>
      </c>
      <c r="S988" s="97">
        <v>20500</v>
      </c>
      <c r="T988" s="64" t="s">
        <v>33</v>
      </c>
      <c r="U988" s="65" t="s">
        <v>33</v>
      </c>
      <c r="V988" s="97" t="s">
        <v>28</v>
      </c>
      <c r="W988" s="97">
        <f t="shared" si="1970"/>
        <v>2500</v>
      </c>
      <c r="X988" s="97" t="s">
        <v>963</v>
      </c>
      <c r="Y988" s="97" t="s">
        <v>29</v>
      </c>
      <c r="Z988" s="105">
        <f t="shared" si="1971"/>
        <v>13.888888888888889</v>
      </c>
      <c r="AA988" s="93"/>
    </row>
    <row r="989" spans="1:27" s="101" customFormat="1" hidden="1">
      <c r="A989" s="97">
        <f>SUBTOTAL(3,C$2:C989)</f>
        <v>468</v>
      </c>
      <c r="B989" s="97" t="s">
        <v>1086</v>
      </c>
      <c r="C989" s="97" t="s">
        <v>1031</v>
      </c>
      <c r="D989" s="97" t="s">
        <v>32</v>
      </c>
      <c r="E989" s="97" t="s">
        <v>33</v>
      </c>
      <c r="F989" s="101" t="s">
        <v>922</v>
      </c>
      <c r="G989" s="102" t="s">
        <v>34</v>
      </c>
      <c r="H989" s="103" t="s">
        <v>2113</v>
      </c>
      <c r="I989" s="104">
        <v>46166</v>
      </c>
      <c r="J989" s="97">
        <f t="shared" ca="1" si="1967"/>
        <v>18</v>
      </c>
      <c r="K989" s="97" t="str">
        <f t="shared" si="1968"/>
        <v>Pending</v>
      </c>
      <c r="L989" s="101" t="s">
        <v>698</v>
      </c>
      <c r="M989" s="97">
        <v>18000</v>
      </c>
      <c r="N989" s="97">
        <v>16000</v>
      </c>
      <c r="O989" s="104">
        <v>46167</v>
      </c>
      <c r="P989" s="97">
        <f t="shared" si="1969"/>
        <v>2000</v>
      </c>
      <c r="Q989" s="97" t="s">
        <v>33</v>
      </c>
      <c r="R989" s="97" t="s">
        <v>56</v>
      </c>
      <c r="S989" s="97">
        <v>20500</v>
      </c>
      <c r="T989" s="64" t="s">
        <v>33</v>
      </c>
      <c r="U989" s="65" t="s">
        <v>33</v>
      </c>
      <c r="V989" s="97" t="s">
        <v>28</v>
      </c>
      <c r="W989" s="97">
        <f t="shared" si="1970"/>
        <v>2500</v>
      </c>
      <c r="X989" s="97" t="s">
        <v>963</v>
      </c>
      <c r="Y989" s="97" t="s">
        <v>29</v>
      </c>
      <c r="Z989" s="105">
        <f t="shared" si="1971"/>
        <v>13.888888888888889</v>
      </c>
      <c r="AA989" s="93"/>
    </row>
    <row r="990" spans="1:27" s="101" customFormat="1" hidden="1">
      <c r="A990" s="97">
        <f>SUBTOTAL(3,C$2:C990)</f>
        <v>468</v>
      </c>
      <c r="B990" s="97" t="s">
        <v>1086</v>
      </c>
      <c r="C990" s="97" t="s">
        <v>1031</v>
      </c>
      <c r="D990" s="97" t="s">
        <v>32</v>
      </c>
      <c r="E990" s="97" t="s">
        <v>33</v>
      </c>
      <c r="F990" s="101" t="s">
        <v>254</v>
      </c>
      <c r="G990" s="102" t="s">
        <v>34</v>
      </c>
      <c r="H990" s="111" t="s">
        <v>2114</v>
      </c>
      <c r="I990" s="104">
        <v>46166</v>
      </c>
      <c r="J990" s="97">
        <f t="shared" ca="1" si="1967"/>
        <v>18</v>
      </c>
      <c r="K990" s="97" t="str">
        <f t="shared" si="1968"/>
        <v>Pending</v>
      </c>
      <c r="L990" s="101" t="s">
        <v>698</v>
      </c>
      <c r="M990" s="97">
        <v>18000</v>
      </c>
      <c r="N990" s="97">
        <v>16000</v>
      </c>
      <c r="O990" s="104">
        <v>46167</v>
      </c>
      <c r="P990" s="97">
        <f t="shared" si="1969"/>
        <v>2000</v>
      </c>
      <c r="Q990" s="97" t="s">
        <v>33</v>
      </c>
      <c r="R990" s="97" t="s">
        <v>56</v>
      </c>
      <c r="S990" s="97">
        <v>20500</v>
      </c>
      <c r="T990" s="64" t="s">
        <v>33</v>
      </c>
      <c r="U990" s="65" t="s">
        <v>33</v>
      </c>
      <c r="V990" s="97" t="s">
        <v>28</v>
      </c>
      <c r="W990" s="97">
        <f t="shared" si="1970"/>
        <v>2500</v>
      </c>
      <c r="X990" s="97" t="s">
        <v>963</v>
      </c>
      <c r="Y990" s="97" t="s">
        <v>29</v>
      </c>
      <c r="Z990" s="105">
        <f t="shared" si="1971"/>
        <v>13.888888888888889</v>
      </c>
      <c r="AA990" s="93"/>
    </row>
    <row r="991" spans="1:27" s="101" customFormat="1" hidden="1">
      <c r="A991" s="97">
        <f>SUBTOTAL(3,C$2:C991)</f>
        <v>468</v>
      </c>
      <c r="B991" s="97" t="s">
        <v>1086</v>
      </c>
      <c r="C991" s="97" t="s">
        <v>44</v>
      </c>
      <c r="D991" s="97" t="s">
        <v>32</v>
      </c>
      <c r="E991" s="97" t="s">
        <v>33</v>
      </c>
      <c r="F991" s="101" t="s">
        <v>150</v>
      </c>
      <c r="G991" s="102">
        <v>407</v>
      </c>
      <c r="H991" s="111" t="s">
        <v>2115</v>
      </c>
      <c r="I991" s="104">
        <v>46166</v>
      </c>
      <c r="J991" s="97">
        <f t="shared" ca="1" si="1967"/>
        <v>18</v>
      </c>
      <c r="K991" s="97" t="str">
        <f t="shared" si="1968"/>
        <v>Pending</v>
      </c>
      <c r="L991" s="101" t="s">
        <v>2093</v>
      </c>
      <c r="M991" s="97">
        <v>28000</v>
      </c>
      <c r="N991" s="97">
        <v>25000</v>
      </c>
      <c r="O991" s="104">
        <v>46167</v>
      </c>
      <c r="P991" s="97">
        <f t="shared" si="1969"/>
        <v>3000</v>
      </c>
      <c r="Q991" s="97" t="s">
        <v>33</v>
      </c>
      <c r="R991" s="97" t="s">
        <v>56</v>
      </c>
      <c r="S991" s="97">
        <v>30800</v>
      </c>
      <c r="T991" s="64" t="s">
        <v>33</v>
      </c>
      <c r="U991" s="65" t="s">
        <v>33</v>
      </c>
      <c r="V991" s="97" t="s">
        <v>28</v>
      </c>
      <c r="W991" s="97">
        <f t="shared" si="1970"/>
        <v>2800</v>
      </c>
      <c r="X991" s="97" t="s">
        <v>36</v>
      </c>
      <c r="Y991" s="97" t="s">
        <v>29</v>
      </c>
      <c r="Z991" s="105">
        <f t="shared" si="1971"/>
        <v>10</v>
      </c>
      <c r="AA991" s="93"/>
    </row>
    <row r="992" spans="1:27" s="101" customFormat="1" hidden="1">
      <c r="A992" s="97">
        <f>SUBTOTAL(3,C$2:C992)</f>
        <v>468</v>
      </c>
      <c r="B992" s="97" t="s">
        <v>1086</v>
      </c>
      <c r="C992" s="97" t="s">
        <v>31</v>
      </c>
      <c r="D992" s="97" t="s">
        <v>32</v>
      </c>
      <c r="E992" s="97" t="s">
        <v>33</v>
      </c>
      <c r="F992" s="101" t="s">
        <v>2094</v>
      </c>
      <c r="G992" s="102" t="s">
        <v>34</v>
      </c>
      <c r="H992" s="111" t="s">
        <v>2116</v>
      </c>
      <c r="I992" s="104">
        <v>46166</v>
      </c>
      <c r="J992" s="97">
        <f t="shared" ca="1" si="1967"/>
        <v>18</v>
      </c>
      <c r="K992" s="97" t="str">
        <f t="shared" si="1968"/>
        <v>Pending</v>
      </c>
      <c r="L992" s="101" t="s">
        <v>111</v>
      </c>
      <c r="M992" s="97">
        <v>11700</v>
      </c>
      <c r="N992" s="97">
        <v>10700</v>
      </c>
      <c r="O992" s="104">
        <v>46167</v>
      </c>
      <c r="P992" s="97">
        <f t="shared" si="1969"/>
        <v>1000</v>
      </c>
      <c r="Q992" s="97" t="s">
        <v>33</v>
      </c>
      <c r="R992" s="97" t="s">
        <v>112</v>
      </c>
      <c r="S992" s="97">
        <v>13500</v>
      </c>
      <c r="T992" s="64" t="s">
        <v>33</v>
      </c>
      <c r="U992" s="65" t="s">
        <v>33</v>
      </c>
      <c r="V992" s="97" t="s">
        <v>28</v>
      </c>
      <c r="W992" s="97">
        <f t="shared" si="1970"/>
        <v>1800</v>
      </c>
      <c r="X992" s="97" t="s">
        <v>36</v>
      </c>
      <c r="Y992" s="97" t="s">
        <v>29</v>
      </c>
      <c r="Z992" s="105">
        <f t="shared" si="1971"/>
        <v>15.384615384615385</v>
      </c>
      <c r="AA992" s="93"/>
    </row>
    <row r="993" spans="1:27" s="101" customFormat="1" hidden="1">
      <c r="A993" s="97">
        <f>SUBTOTAL(3,C$2:C993)</f>
        <v>468</v>
      </c>
      <c r="B993" s="97" t="s">
        <v>1086</v>
      </c>
      <c r="C993" s="97" t="s">
        <v>44</v>
      </c>
      <c r="D993" s="97" t="s">
        <v>32</v>
      </c>
      <c r="E993" s="97" t="s">
        <v>33</v>
      </c>
      <c r="F993" s="101" t="s">
        <v>2095</v>
      </c>
      <c r="G993" s="102" t="s">
        <v>994</v>
      </c>
      <c r="H993" s="111" t="s">
        <v>2117</v>
      </c>
      <c r="I993" s="104">
        <v>46165</v>
      </c>
      <c r="J993" s="97">
        <f t="shared" ca="1" si="1967"/>
        <v>19</v>
      </c>
      <c r="K993" s="97" t="str">
        <f t="shared" si="1968"/>
        <v>Pending</v>
      </c>
      <c r="L993" s="101" t="s">
        <v>995</v>
      </c>
      <c r="M993" s="97">
        <v>39000</v>
      </c>
      <c r="N993" s="97">
        <v>36000</v>
      </c>
      <c r="O993" s="104">
        <v>46167</v>
      </c>
      <c r="P993" s="97">
        <f t="shared" si="1969"/>
        <v>3000</v>
      </c>
      <c r="Q993" s="97" t="s">
        <v>33</v>
      </c>
      <c r="R993" s="97" t="s">
        <v>174</v>
      </c>
      <c r="S993" s="97">
        <v>44000</v>
      </c>
      <c r="T993" s="64" t="s">
        <v>33</v>
      </c>
      <c r="U993" s="65" t="s">
        <v>33</v>
      </c>
      <c r="V993" s="97" t="s">
        <v>28</v>
      </c>
      <c r="W993" s="97">
        <f t="shared" si="1970"/>
        <v>5000</v>
      </c>
      <c r="X993" s="97" t="s">
        <v>36</v>
      </c>
      <c r="Y993" s="97" t="s">
        <v>29</v>
      </c>
      <c r="Z993" s="105">
        <f t="shared" si="1971"/>
        <v>12.820512820512821</v>
      </c>
      <c r="AA993" s="93"/>
    </row>
    <row r="994" spans="1:27" s="101" customFormat="1" hidden="1">
      <c r="A994" s="97">
        <f>SUBTOTAL(3,C$2:C994)</f>
        <v>468</v>
      </c>
      <c r="B994" s="97" t="s">
        <v>1086</v>
      </c>
      <c r="C994" s="97" t="s">
        <v>31</v>
      </c>
      <c r="D994" s="97" t="s">
        <v>32</v>
      </c>
      <c r="E994" s="97" t="s">
        <v>33</v>
      </c>
      <c r="F994" s="101" t="s">
        <v>298</v>
      </c>
      <c r="G994" s="102" t="s">
        <v>34</v>
      </c>
      <c r="H994" s="103" t="s">
        <v>2118</v>
      </c>
      <c r="I994" s="104">
        <v>46166</v>
      </c>
      <c r="J994" s="97">
        <f t="shared" ca="1" si="1967"/>
        <v>18</v>
      </c>
      <c r="K994" s="97" t="str">
        <f t="shared" si="1968"/>
        <v>Pending</v>
      </c>
      <c r="L994" s="101" t="s">
        <v>1954</v>
      </c>
      <c r="M994" s="97">
        <v>18300</v>
      </c>
      <c r="N994" s="97">
        <v>16500</v>
      </c>
      <c r="O994" s="104">
        <v>46167</v>
      </c>
      <c r="P994" s="97">
        <f t="shared" si="1969"/>
        <v>1800</v>
      </c>
      <c r="Q994" s="97" t="s">
        <v>33</v>
      </c>
      <c r="R994" s="97" t="s">
        <v>37</v>
      </c>
      <c r="S994" s="97">
        <v>21500</v>
      </c>
      <c r="T994" s="64" t="s">
        <v>33</v>
      </c>
      <c r="U994" s="65" t="s">
        <v>33</v>
      </c>
      <c r="V994" s="97" t="s">
        <v>28</v>
      </c>
      <c r="W994" s="97">
        <f t="shared" si="1970"/>
        <v>3200</v>
      </c>
      <c r="X994" s="97" t="s">
        <v>36</v>
      </c>
      <c r="Y994" s="97" t="s">
        <v>29</v>
      </c>
      <c r="Z994" s="105">
        <f t="shared" si="1971"/>
        <v>17.486338797814209</v>
      </c>
      <c r="AA994" s="93"/>
    </row>
    <row r="995" spans="1:27" s="101" customFormat="1" hidden="1">
      <c r="A995" s="97">
        <f>SUBTOTAL(3,C$2:C995)</f>
        <v>468</v>
      </c>
      <c r="B995" s="97" t="s">
        <v>1086</v>
      </c>
      <c r="C995" s="97" t="s">
        <v>119</v>
      </c>
      <c r="D995" s="97" t="s">
        <v>32</v>
      </c>
      <c r="E995" s="97" t="s">
        <v>33</v>
      </c>
      <c r="F995" s="101" t="s">
        <v>304</v>
      </c>
      <c r="G995" s="102" t="s">
        <v>59</v>
      </c>
      <c r="H995" s="103" t="s">
        <v>2119</v>
      </c>
      <c r="I995" s="104">
        <v>46163</v>
      </c>
      <c r="J995" s="97">
        <f t="shared" ca="1" si="1967"/>
        <v>21</v>
      </c>
      <c r="K995" s="97">
        <f t="shared" si="1968"/>
        <v>46170</v>
      </c>
      <c r="L995" s="101" t="s">
        <v>2096</v>
      </c>
      <c r="M995" s="97">
        <v>22000</v>
      </c>
      <c r="N995" s="97">
        <v>22000</v>
      </c>
      <c r="O995" s="104">
        <v>46167</v>
      </c>
      <c r="P995" s="97">
        <f t="shared" si="1969"/>
        <v>0</v>
      </c>
      <c r="Q995" s="97" t="s">
        <v>33</v>
      </c>
      <c r="R995" s="97" t="s">
        <v>78</v>
      </c>
      <c r="S995" s="97">
        <v>25500</v>
      </c>
      <c r="T995" s="64" t="s">
        <v>2679</v>
      </c>
      <c r="U995" s="65">
        <v>46170</v>
      </c>
      <c r="V995" s="97" t="s">
        <v>28</v>
      </c>
      <c r="W995" s="97">
        <f t="shared" si="1970"/>
        <v>3500</v>
      </c>
      <c r="X995" s="97" t="s">
        <v>36</v>
      </c>
      <c r="Y995" s="97" t="s">
        <v>29</v>
      </c>
      <c r="Z995" s="105">
        <f t="shared" si="1971"/>
        <v>15.909090909090908</v>
      </c>
      <c r="AA995" s="93"/>
    </row>
    <row r="996" spans="1:27" s="101" customFormat="1" hidden="1">
      <c r="A996" s="97">
        <f>SUBTOTAL(3,C$2:C996)</f>
        <v>468</v>
      </c>
      <c r="B996" s="97" t="s">
        <v>1086</v>
      </c>
      <c r="C996" s="97" t="s">
        <v>31</v>
      </c>
      <c r="D996" s="97" t="s">
        <v>32</v>
      </c>
      <c r="E996" s="97" t="s">
        <v>33</v>
      </c>
      <c r="F996" s="101" t="s">
        <v>592</v>
      </c>
      <c r="G996" s="102" t="s">
        <v>34</v>
      </c>
      <c r="H996" s="103" t="s">
        <v>2120</v>
      </c>
      <c r="I996" s="104">
        <v>46166</v>
      </c>
      <c r="J996" s="97">
        <f t="shared" ca="1" si="1967"/>
        <v>18</v>
      </c>
      <c r="K996" s="97" t="str">
        <f t="shared" si="1968"/>
        <v>Pending</v>
      </c>
      <c r="L996" s="101" t="s">
        <v>1697</v>
      </c>
      <c r="M996" s="97">
        <v>18300</v>
      </c>
      <c r="N996" s="97">
        <v>16500</v>
      </c>
      <c r="O996" s="104">
        <v>46167</v>
      </c>
      <c r="P996" s="97">
        <f t="shared" si="1969"/>
        <v>1800</v>
      </c>
      <c r="Q996" s="97" t="s">
        <v>33</v>
      </c>
      <c r="R996" s="97" t="s">
        <v>37</v>
      </c>
      <c r="S996" s="97">
        <v>21500</v>
      </c>
      <c r="T996" s="64" t="s">
        <v>33</v>
      </c>
      <c r="U996" s="65" t="s">
        <v>33</v>
      </c>
      <c r="V996" s="97" t="s">
        <v>28</v>
      </c>
      <c r="W996" s="97">
        <f t="shared" si="1970"/>
        <v>3200</v>
      </c>
      <c r="X996" s="97" t="s">
        <v>36</v>
      </c>
      <c r="Y996" s="97" t="s">
        <v>29</v>
      </c>
      <c r="Z996" s="105">
        <f t="shared" si="1971"/>
        <v>17.486338797814209</v>
      </c>
      <c r="AA996" s="93"/>
    </row>
    <row r="997" spans="1:27" s="101" customFormat="1" hidden="1">
      <c r="A997" s="97">
        <f>SUBTOTAL(3,C$2:C997)</f>
        <v>468</v>
      </c>
      <c r="B997" s="97" t="s">
        <v>1086</v>
      </c>
      <c r="C997" s="97" t="s">
        <v>48</v>
      </c>
      <c r="D997" s="97" t="s">
        <v>32</v>
      </c>
      <c r="E997" s="97" t="s">
        <v>33</v>
      </c>
      <c r="F997" s="101" t="s">
        <v>49</v>
      </c>
      <c r="G997" s="102" t="s">
        <v>50</v>
      </c>
      <c r="H997" s="103" t="s">
        <v>2121</v>
      </c>
      <c r="I997" s="104">
        <v>46166</v>
      </c>
      <c r="J997" s="97">
        <f t="shared" ca="1" si="1967"/>
        <v>18</v>
      </c>
      <c r="K997" s="97" t="str">
        <f t="shared" si="1968"/>
        <v>Pending</v>
      </c>
      <c r="L997" s="101" t="s">
        <v>2097</v>
      </c>
      <c r="M997" s="97">
        <f>3000+44000</f>
        <v>47000</v>
      </c>
      <c r="N997" s="97">
        <v>40000</v>
      </c>
      <c r="O997" s="104">
        <v>46167</v>
      </c>
      <c r="P997" s="97">
        <f t="shared" si="1969"/>
        <v>7000</v>
      </c>
      <c r="Q997" s="97" t="s">
        <v>33</v>
      </c>
      <c r="R997" s="97" t="s">
        <v>52</v>
      </c>
      <c r="S997" s="97">
        <f>5000+48000</f>
        <v>53000</v>
      </c>
      <c r="T997" s="64" t="s">
        <v>33</v>
      </c>
      <c r="U997" s="65" t="s">
        <v>33</v>
      </c>
      <c r="V997" s="97" t="s">
        <v>28</v>
      </c>
      <c r="W997" s="97">
        <f t="shared" si="1970"/>
        <v>6000</v>
      </c>
      <c r="X997" s="97" t="s">
        <v>36</v>
      </c>
      <c r="Y997" s="97" t="s">
        <v>29</v>
      </c>
      <c r="Z997" s="105">
        <f t="shared" si="1971"/>
        <v>12.76595744680851</v>
      </c>
      <c r="AA997" s="93"/>
    </row>
    <row r="998" spans="1:27" s="101" customFormat="1" hidden="1">
      <c r="A998" s="97">
        <f>SUBTOTAL(3,C$2:C998)</f>
        <v>468</v>
      </c>
      <c r="B998" s="97" t="s">
        <v>1086</v>
      </c>
      <c r="C998" s="97" t="s">
        <v>44</v>
      </c>
      <c r="D998" s="97" t="s">
        <v>32</v>
      </c>
      <c r="E998" s="97" t="s">
        <v>33</v>
      </c>
      <c r="F998" s="101" t="s">
        <v>331</v>
      </c>
      <c r="G998" s="102" t="s">
        <v>994</v>
      </c>
      <c r="H998" s="111" t="s">
        <v>2122</v>
      </c>
      <c r="I998" s="104">
        <v>46166</v>
      </c>
      <c r="J998" s="97">
        <f t="shared" ca="1" si="1967"/>
        <v>18</v>
      </c>
      <c r="K998" s="97" t="str">
        <f t="shared" si="1968"/>
        <v>Pending</v>
      </c>
      <c r="L998" s="101" t="s">
        <v>609</v>
      </c>
      <c r="M998" s="97">
        <v>38500</v>
      </c>
      <c r="N998" s="97">
        <v>35500</v>
      </c>
      <c r="O998" s="104">
        <v>46167</v>
      </c>
      <c r="P998" s="97">
        <f t="shared" si="1969"/>
        <v>3000</v>
      </c>
      <c r="Q998" s="97" t="s">
        <v>33</v>
      </c>
      <c r="R998" s="97" t="s">
        <v>52</v>
      </c>
      <c r="S998" s="97">
        <v>41500</v>
      </c>
      <c r="T998" s="64" t="s">
        <v>33</v>
      </c>
      <c r="U998" s="65" t="s">
        <v>33</v>
      </c>
      <c r="V998" s="97" t="s">
        <v>28</v>
      </c>
      <c r="W998" s="97">
        <f t="shared" si="1970"/>
        <v>3000</v>
      </c>
      <c r="X998" s="97" t="s">
        <v>36</v>
      </c>
      <c r="Y998" s="97" t="s">
        <v>29</v>
      </c>
      <c r="Z998" s="105">
        <f t="shared" si="1971"/>
        <v>7.7922077922077921</v>
      </c>
      <c r="AA998" s="93"/>
    </row>
    <row r="999" spans="1:27" s="101" customFormat="1" hidden="1">
      <c r="A999" s="97">
        <f>SUBTOTAL(3,C$2:C999)</f>
        <v>468</v>
      </c>
      <c r="B999" s="97" t="s">
        <v>1086</v>
      </c>
      <c r="C999" s="97" t="s">
        <v>31</v>
      </c>
      <c r="D999" s="97" t="s">
        <v>32</v>
      </c>
      <c r="E999" s="97" t="s">
        <v>33</v>
      </c>
      <c r="F999" s="101" t="s">
        <v>2098</v>
      </c>
      <c r="G999" s="102" t="s">
        <v>34</v>
      </c>
      <c r="H999" s="111" t="s">
        <v>2123</v>
      </c>
      <c r="I999" s="104">
        <v>46166</v>
      </c>
      <c r="J999" s="97">
        <f t="shared" ca="1" si="1967"/>
        <v>18</v>
      </c>
      <c r="K999" s="97" t="str">
        <f t="shared" si="1968"/>
        <v>Pending</v>
      </c>
      <c r="L999" s="101" t="s">
        <v>1411</v>
      </c>
      <c r="M999" s="97">
        <v>19000</v>
      </c>
      <c r="N999" s="97">
        <v>17000</v>
      </c>
      <c r="O999" s="104">
        <v>46167</v>
      </c>
      <c r="P999" s="97">
        <f t="shared" si="1969"/>
        <v>2000</v>
      </c>
      <c r="Q999" s="97" t="s">
        <v>33</v>
      </c>
      <c r="R999" s="97" t="s">
        <v>39</v>
      </c>
      <c r="S999" s="97">
        <v>21800</v>
      </c>
      <c r="T999" s="64" t="s">
        <v>33</v>
      </c>
      <c r="U999" s="65" t="s">
        <v>33</v>
      </c>
      <c r="V999" s="97" t="s">
        <v>28</v>
      </c>
      <c r="W999" s="97">
        <f t="shared" si="1970"/>
        <v>2800</v>
      </c>
      <c r="X999" s="97" t="s">
        <v>36</v>
      </c>
      <c r="Y999" s="97" t="s">
        <v>29</v>
      </c>
      <c r="Z999" s="105">
        <f t="shared" si="1971"/>
        <v>14.736842105263158</v>
      </c>
      <c r="AA999" s="93"/>
    </row>
    <row r="1000" spans="1:27" s="101" customFormat="1" hidden="1">
      <c r="A1000" s="97">
        <f>SUBTOTAL(3,C$2:C1000)</f>
        <v>468</v>
      </c>
      <c r="B1000" s="97" t="s">
        <v>1086</v>
      </c>
      <c r="C1000" s="97" t="s">
        <v>31</v>
      </c>
      <c r="D1000" s="97" t="s">
        <v>32</v>
      </c>
      <c r="E1000" s="97" t="s">
        <v>33</v>
      </c>
      <c r="F1000" s="101" t="s">
        <v>253</v>
      </c>
      <c r="G1000" s="102" t="s">
        <v>34</v>
      </c>
      <c r="H1000" s="103" t="s">
        <v>2124</v>
      </c>
      <c r="I1000" s="104">
        <v>46167</v>
      </c>
      <c r="J1000" s="97">
        <f t="shared" ca="1" si="1967"/>
        <v>17</v>
      </c>
      <c r="K1000" s="97" t="str">
        <f t="shared" si="1968"/>
        <v>Pending</v>
      </c>
      <c r="L1000" s="101" t="s">
        <v>400</v>
      </c>
      <c r="M1000" s="97">
        <v>23300</v>
      </c>
      <c r="N1000" s="97">
        <v>21500</v>
      </c>
      <c r="O1000" s="104">
        <v>46167</v>
      </c>
      <c r="P1000" s="97">
        <f t="shared" si="1969"/>
        <v>1800</v>
      </c>
      <c r="Q1000" s="97" t="s">
        <v>33</v>
      </c>
      <c r="R1000" s="97" t="s">
        <v>37</v>
      </c>
      <c r="S1000" s="97">
        <v>26000</v>
      </c>
      <c r="T1000" s="64" t="s">
        <v>33</v>
      </c>
      <c r="U1000" s="65" t="s">
        <v>33</v>
      </c>
      <c r="V1000" s="97" t="s">
        <v>28</v>
      </c>
      <c r="W1000" s="97">
        <f t="shared" si="1970"/>
        <v>2700</v>
      </c>
      <c r="X1000" s="97" t="s">
        <v>36</v>
      </c>
      <c r="Y1000" s="97" t="s">
        <v>29</v>
      </c>
      <c r="Z1000" s="105">
        <f t="shared" si="1971"/>
        <v>11.587982832618026</v>
      </c>
      <c r="AA1000" s="93"/>
    </row>
    <row r="1001" spans="1:27" s="101" customFormat="1" hidden="1">
      <c r="A1001" s="97">
        <f>SUBTOTAL(3,C$2:C1001)</f>
        <v>468</v>
      </c>
      <c r="B1001" s="97" t="s">
        <v>1086</v>
      </c>
      <c r="C1001" s="97" t="s">
        <v>44</v>
      </c>
      <c r="D1001" s="97" t="s">
        <v>32</v>
      </c>
      <c r="E1001" s="97" t="s">
        <v>33</v>
      </c>
      <c r="F1001" s="101" t="s">
        <v>2099</v>
      </c>
      <c r="G1001" s="102" t="s">
        <v>994</v>
      </c>
      <c r="H1001" s="103" t="s">
        <v>2125</v>
      </c>
      <c r="I1001" s="104">
        <v>46167</v>
      </c>
      <c r="J1001" s="97">
        <f t="shared" ca="1" si="1967"/>
        <v>17</v>
      </c>
      <c r="K1001" s="97" t="str">
        <f t="shared" si="1968"/>
        <v>Pending</v>
      </c>
      <c r="L1001" s="101" t="s">
        <v>270</v>
      </c>
      <c r="M1001" s="97">
        <v>29000</v>
      </c>
      <c r="N1001" s="97">
        <v>27000</v>
      </c>
      <c r="O1001" s="104">
        <v>46167</v>
      </c>
      <c r="P1001" s="97">
        <f t="shared" si="1969"/>
        <v>2000</v>
      </c>
      <c r="Q1001" s="97" t="s">
        <v>33</v>
      </c>
      <c r="R1001" s="97" t="s">
        <v>52</v>
      </c>
      <c r="S1001" s="97">
        <v>32500</v>
      </c>
      <c r="T1001" s="64" t="s">
        <v>33</v>
      </c>
      <c r="U1001" s="65" t="s">
        <v>33</v>
      </c>
      <c r="V1001" s="97" t="s">
        <v>28</v>
      </c>
      <c r="W1001" s="97">
        <f t="shared" si="1970"/>
        <v>3500</v>
      </c>
      <c r="X1001" s="97" t="s">
        <v>36</v>
      </c>
      <c r="Y1001" s="97" t="s">
        <v>29</v>
      </c>
      <c r="Z1001" s="105">
        <f t="shared" si="1971"/>
        <v>12.068965517241379</v>
      </c>
      <c r="AA1001" s="93"/>
    </row>
    <row r="1002" spans="1:27" s="101" customFormat="1" hidden="1">
      <c r="A1002" s="97">
        <f>SUBTOTAL(3,C$2:C1002)</f>
        <v>468</v>
      </c>
      <c r="B1002" s="97" t="s">
        <v>1086</v>
      </c>
      <c r="C1002" s="97" t="s">
        <v>44</v>
      </c>
      <c r="D1002" s="97" t="s">
        <v>32</v>
      </c>
      <c r="E1002" s="97" t="s">
        <v>33</v>
      </c>
      <c r="F1002" s="101" t="s">
        <v>304</v>
      </c>
      <c r="G1002" s="102" t="s">
        <v>143</v>
      </c>
      <c r="H1002" s="103" t="s">
        <v>2126</v>
      </c>
      <c r="I1002" s="104">
        <v>46166</v>
      </c>
      <c r="J1002" s="97">
        <f t="shared" ref="J1002" ca="1" si="1972">+TODAY()-I1002</f>
        <v>18</v>
      </c>
      <c r="K1002" s="97" t="str">
        <f t="shared" ref="K1002" si="1973">+U1002</f>
        <v>Pending</v>
      </c>
      <c r="L1002" s="101" t="s">
        <v>2092</v>
      </c>
      <c r="M1002" s="97">
        <v>31500</v>
      </c>
      <c r="N1002" s="97">
        <v>28500</v>
      </c>
      <c r="O1002" s="104">
        <v>46167</v>
      </c>
      <c r="P1002" s="97">
        <f t="shared" ref="P1002" si="1974">+M1002-N1002</f>
        <v>3000</v>
      </c>
      <c r="Q1002" s="97" t="s">
        <v>33</v>
      </c>
      <c r="R1002" s="97" t="s">
        <v>39</v>
      </c>
      <c r="S1002" s="97">
        <v>35000</v>
      </c>
      <c r="T1002" s="64" t="s">
        <v>33</v>
      </c>
      <c r="U1002" s="65" t="s">
        <v>33</v>
      </c>
      <c r="V1002" s="97" t="s">
        <v>28</v>
      </c>
      <c r="W1002" s="97">
        <f t="shared" ref="W1002" si="1975">+S1002-M1002</f>
        <v>3500</v>
      </c>
      <c r="X1002" s="97" t="s">
        <v>36</v>
      </c>
      <c r="Y1002" s="97" t="s">
        <v>29</v>
      </c>
      <c r="Z1002" s="105">
        <f t="shared" ref="Z1002" si="1976">+W1002*100/M1002</f>
        <v>11.111111111111111</v>
      </c>
      <c r="AA1002" s="93"/>
    </row>
    <row r="1003" spans="1:27" s="101" customFormat="1" hidden="1">
      <c r="A1003" s="97">
        <f>SUBTOTAL(3,C$2:C1003)</f>
        <v>468</v>
      </c>
      <c r="B1003" s="97" t="s">
        <v>1086</v>
      </c>
      <c r="C1003" s="97" t="s">
        <v>44</v>
      </c>
      <c r="D1003" s="97" t="s">
        <v>32</v>
      </c>
      <c r="E1003" s="97" t="s">
        <v>33</v>
      </c>
      <c r="F1003" s="101" t="s">
        <v>175</v>
      </c>
      <c r="G1003" s="102" t="s">
        <v>143</v>
      </c>
      <c r="H1003" s="103" t="s">
        <v>2127</v>
      </c>
      <c r="I1003" s="104">
        <v>46167</v>
      </c>
      <c r="J1003" s="97">
        <f t="shared" ref="J1003" ca="1" si="1977">+TODAY()-I1003</f>
        <v>17</v>
      </c>
      <c r="K1003" s="97" t="str">
        <f t="shared" ref="K1003" si="1978">+U1003</f>
        <v>Pending</v>
      </c>
      <c r="L1003" s="101" t="s">
        <v>2092</v>
      </c>
      <c r="M1003" s="97">
        <v>31500</v>
      </c>
      <c r="N1003" s="97">
        <v>28500</v>
      </c>
      <c r="O1003" s="104">
        <v>46167</v>
      </c>
      <c r="P1003" s="97">
        <f t="shared" ref="P1003" si="1979">+M1003-N1003</f>
        <v>3000</v>
      </c>
      <c r="Q1003" s="97" t="s">
        <v>33</v>
      </c>
      <c r="R1003" s="97" t="s">
        <v>39</v>
      </c>
      <c r="S1003" s="97">
        <v>35000</v>
      </c>
      <c r="T1003" s="64" t="s">
        <v>33</v>
      </c>
      <c r="U1003" s="65" t="s">
        <v>33</v>
      </c>
      <c r="V1003" s="97" t="s">
        <v>28</v>
      </c>
      <c r="W1003" s="97">
        <f t="shared" ref="W1003" si="1980">+S1003-M1003</f>
        <v>3500</v>
      </c>
      <c r="X1003" s="97" t="s">
        <v>36</v>
      </c>
      <c r="Y1003" s="97" t="s">
        <v>29</v>
      </c>
      <c r="Z1003" s="105">
        <f t="shared" ref="Z1003" si="1981">+W1003*100/M1003</f>
        <v>11.111111111111111</v>
      </c>
      <c r="AA1003" s="93"/>
    </row>
    <row r="1004" spans="1:27" s="101" customFormat="1" hidden="1">
      <c r="A1004" s="97">
        <f>SUBTOTAL(3,C$2:C1004)</f>
        <v>468</v>
      </c>
      <c r="B1004" s="97" t="s">
        <v>1086</v>
      </c>
      <c r="C1004" s="97" t="s">
        <v>1031</v>
      </c>
      <c r="D1004" s="97" t="s">
        <v>32</v>
      </c>
      <c r="E1004" s="97" t="s">
        <v>33</v>
      </c>
      <c r="F1004" s="101" t="s">
        <v>1707</v>
      </c>
      <c r="G1004" s="102" t="s">
        <v>34</v>
      </c>
      <c r="H1004" s="111" t="s">
        <v>2128</v>
      </c>
      <c r="I1004" s="104">
        <v>46167</v>
      </c>
      <c r="J1004" s="97">
        <f t="shared" ref="J1004" ca="1" si="1982">+TODAY()-I1004</f>
        <v>17</v>
      </c>
      <c r="K1004" s="97" t="str">
        <f t="shared" ref="K1004" si="1983">+U1004</f>
        <v>Pending</v>
      </c>
      <c r="L1004" s="101" t="s">
        <v>698</v>
      </c>
      <c r="M1004" s="97">
        <v>18000</v>
      </c>
      <c r="N1004" s="97">
        <v>16000</v>
      </c>
      <c r="O1004" s="104">
        <v>46167</v>
      </c>
      <c r="P1004" s="97">
        <f t="shared" ref="P1004" si="1984">+M1004-N1004</f>
        <v>2000</v>
      </c>
      <c r="Q1004" s="97" t="s">
        <v>33</v>
      </c>
      <c r="R1004" s="97" t="s">
        <v>56</v>
      </c>
      <c r="S1004" s="97">
        <v>20500</v>
      </c>
      <c r="T1004" s="64" t="s">
        <v>33</v>
      </c>
      <c r="U1004" s="65" t="s">
        <v>33</v>
      </c>
      <c r="V1004" s="97" t="s">
        <v>28</v>
      </c>
      <c r="W1004" s="97">
        <f t="shared" ref="W1004" si="1985">+S1004-M1004</f>
        <v>2500</v>
      </c>
      <c r="X1004" s="97" t="s">
        <v>963</v>
      </c>
      <c r="Y1004" s="97" t="s">
        <v>29</v>
      </c>
      <c r="Z1004" s="105">
        <f t="shared" ref="Z1004" si="1986">+W1004*100/M1004</f>
        <v>13.888888888888889</v>
      </c>
      <c r="AA1004" s="93"/>
    </row>
    <row r="1005" spans="1:27" s="101" customFormat="1" hidden="1">
      <c r="A1005" s="97">
        <f>SUBTOTAL(3,C$2:C1005)</f>
        <v>468</v>
      </c>
      <c r="B1005" s="97" t="s">
        <v>1086</v>
      </c>
      <c r="C1005" s="97" t="s">
        <v>1031</v>
      </c>
      <c r="D1005" s="97" t="s">
        <v>32</v>
      </c>
      <c r="E1005" s="97" t="s">
        <v>33</v>
      </c>
      <c r="F1005" s="101" t="s">
        <v>782</v>
      </c>
      <c r="G1005" s="102" t="s">
        <v>34</v>
      </c>
      <c r="H1005" s="111" t="s">
        <v>2129</v>
      </c>
      <c r="I1005" s="104">
        <v>46166</v>
      </c>
      <c r="J1005" s="97">
        <f t="shared" ref="J1005:J1006" ca="1" si="1987">+TODAY()-I1005</f>
        <v>18</v>
      </c>
      <c r="K1005" s="97" t="str">
        <f t="shared" ref="K1005:K1006" si="1988">+U1005</f>
        <v>Pending</v>
      </c>
      <c r="L1005" s="101" t="s">
        <v>698</v>
      </c>
      <c r="M1005" s="97">
        <v>18000</v>
      </c>
      <c r="N1005" s="97">
        <v>16000</v>
      </c>
      <c r="O1005" s="104">
        <v>46167</v>
      </c>
      <c r="P1005" s="97">
        <f t="shared" ref="P1005:P1006" si="1989">+M1005-N1005</f>
        <v>2000</v>
      </c>
      <c r="Q1005" s="97" t="s">
        <v>33</v>
      </c>
      <c r="R1005" s="97" t="s">
        <v>56</v>
      </c>
      <c r="S1005" s="97">
        <v>20500</v>
      </c>
      <c r="T1005" s="64" t="s">
        <v>33</v>
      </c>
      <c r="U1005" s="65" t="s">
        <v>33</v>
      </c>
      <c r="V1005" s="97" t="s">
        <v>28</v>
      </c>
      <c r="W1005" s="97">
        <f t="shared" ref="W1005:W1006" si="1990">+S1005-M1005</f>
        <v>2500</v>
      </c>
      <c r="X1005" s="97" t="s">
        <v>963</v>
      </c>
      <c r="Y1005" s="97" t="s">
        <v>29</v>
      </c>
      <c r="Z1005" s="105">
        <f t="shared" ref="Z1005:Z1006" si="1991">+W1005*100/M1005</f>
        <v>13.888888888888889</v>
      </c>
      <c r="AA1005" s="93"/>
    </row>
    <row r="1006" spans="1:27" s="101" customFormat="1" hidden="1">
      <c r="A1006" s="97">
        <f>SUBTOTAL(3,C$2:C1006)</f>
        <v>468</v>
      </c>
      <c r="B1006" s="97" t="s">
        <v>1086</v>
      </c>
      <c r="C1006" s="97" t="s">
        <v>31</v>
      </c>
      <c r="D1006" s="97" t="s">
        <v>32</v>
      </c>
      <c r="E1006" s="97" t="s">
        <v>33</v>
      </c>
      <c r="F1006" s="101" t="s">
        <v>2100</v>
      </c>
      <c r="G1006" s="102" t="s">
        <v>34</v>
      </c>
      <c r="H1006" s="111" t="s">
        <v>2130</v>
      </c>
      <c r="I1006" s="104">
        <v>46167</v>
      </c>
      <c r="J1006" s="97">
        <f t="shared" ca="1" si="1987"/>
        <v>17</v>
      </c>
      <c r="K1006" s="97" t="str">
        <f t="shared" si="1988"/>
        <v>Pending</v>
      </c>
      <c r="L1006" s="101" t="s">
        <v>1951</v>
      </c>
      <c r="M1006" s="97">
        <v>28000</v>
      </c>
      <c r="N1006" s="97">
        <v>26000</v>
      </c>
      <c r="O1006" s="104">
        <v>46167</v>
      </c>
      <c r="P1006" s="97">
        <f t="shared" si="1989"/>
        <v>2000</v>
      </c>
      <c r="Q1006" s="97" t="s">
        <v>33</v>
      </c>
      <c r="R1006" s="97" t="s">
        <v>39</v>
      </c>
      <c r="S1006" s="97">
        <v>31500</v>
      </c>
      <c r="T1006" s="64" t="s">
        <v>33</v>
      </c>
      <c r="U1006" s="65" t="s">
        <v>33</v>
      </c>
      <c r="V1006" s="97" t="s">
        <v>28</v>
      </c>
      <c r="W1006" s="97">
        <f t="shared" si="1990"/>
        <v>3500</v>
      </c>
      <c r="X1006" s="97" t="s">
        <v>36</v>
      </c>
      <c r="Y1006" s="97" t="s">
        <v>29</v>
      </c>
      <c r="Z1006" s="105">
        <f t="shared" si="1991"/>
        <v>12.5</v>
      </c>
      <c r="AA1006" s="93"/>
    </row>
    <row r="1007" spans="1:27" s="101" customFormat="1" hidden="1">
      <c r="A1007" s="97">
        <f>SUBTOTAL(3,C$2:C1007)</f>
        <v>468</v>
      </c>
      <c r="B1007" s="97" t="s">
        <v>1086</v>
      </c>
      <c r="C1007" s="97" t="s">
        <v>31</v>
      </c>
      <c r="D1007" s="97" t="s">
        <v>32</v>
      </c>
      <c r="E1007" s="97" t="s">
        <v>33</v>
      </c>
      <c r="F1007" s="101" t="s">
        <v>1279</v>
      </c>
      <c r="G1007" s="102">
        <v>407</v>
      </c>
      <c r="H1007" s="103" t="s">
        <v>2131</v>
      </c>
      <c r="I1007" s="104">
        <v>46166</v>
      </c>
      <c r="J1007" s="97">
        <f t="shared" ref="J1007" ca="1" si="1992">+TODAY()-I1007</f>
        <v>18</v>
      </c>
      <c r="K1007" s="97" t="str">
        <f t="shared" ref="K1007" si="1993">+U1007</f>
        <v>Pending</v>
      </c>
      <c r="L1007" s="101" t="s">
        <v>687</v>
      </c>
      <c r="M1007" s="97">
        <v>28000</v>
      </c>
      <c r="N1007" s="97">
        <v>26000</v>
      </c>
      <c r="O1007" s="104">
        <v>46167</v>
      </c>
      <c r="P1007" s="97">
        <f t="shared" ref="P1007" si="1994">+M1007-N1007</f>
        <v>2000</v>
      </c>
      <c r="Q1007" s="97" t="s">
        <v>33</v>
      </c>
      <c r="R1007" s="97" t="s">
        <v>37</v>
      </c>
      <c r="S1007" s="97">
        <v>33000</v>
      </c>
      <c r="T1007" s="64" t="s">
        <v>33</v>
      </c>
      <c r="U1007" s="65" t="s">
        <v>33</v>
      </c>
      <c r="V1007" s="97" t="s">
        <v>28</v>
      </c>
      <c r="W1007" s="97">
        <f t="shared" ref="W1007" si="1995">+S1007-M1007</f>
        <v>5000</v>
      </c>
      <c r="X1007" s="97" t="s">
        <v>36</v>
      </c>
      <c r="Y1007" s="97" t="s">
        <v>29</v>
      </c>
      <c r="Z1007" s="105">
        <f t="shared" ref="Z1007" si="1996">+W1007*100/M1007</f>
        <v>17.857142857142858</v>
      </c>
      <c r="AA1007" s="93"/>
    </row>
    <row r="1008" spans="1:27" s="101" customFormat="1" hidden="1">
      <c r="A1008" s="97">
        <f>SUBTOTAL(3,C$2:C1008)</f>
        <v>468</v>
      </c>
      <c r="B1008" s="97" t="s">
        <v>1086</v>
      </c>
      <c r="C1008" s="97" t="s">
        <v>31</v>
      </c>
      <c r="D1008" s="97" t="s">
        <v>32</v>
      </c>
      <c r="E1008" s="97" t="s">
        <v>33</v>
      </c>
      <c r="F1008" s="101" t="s">
        <v>327</v>
      </c>
      <c r="G1008" s="102" t="s">
        <v>34</v>
      </c>
      <c r="H1008" s="111" t="s">
        <v>2132</v>
      </c>
      <c r="I1008" s="104">
        <v>46167</v>
      </c>
      <c r="J1008" s="97">
        <f t="shared" ref="J1008" ca="1" si="1997">+TODAY()-I1008</f>
        <v>17</v>
      </c>
      <c r="K1008" s="97" t="str">
        <f t="shared" ref="K1008" si="1998">+U1008</f>
        <v>Pending</v>
      </c>
      <c r="L1008" s="101" t="s">
        <v>355</v>
      </c>
      <c r="M1008" s="97">
        <v>19000</v>
      </c>
      <c r="N1008" s="97">
        <v>17000</v>
      </c>
      <c r="O1008" s="104">
        <v>46167</v>
      </c>
      <c r="P1008" s="97">
        <f t="shared" ref="P1008" si="1999">+M1008-N1008</f>
        <v>2000</v>
      </c>
      <c r="Q1008" s="97" t="s">
        <v>33</v>
      </c>
      <c r="R1008" s="97" t="s">
        <v>39</v>
      </c>
      <c r="S1008" s="97">
        <v>21800</v>
      </c>
      <c r="T1008" s="64" t="s">
        <v>33</v>
      </c>
      <c r="U1008" s="65" t="s">
        <v>33</v>
      </c>
      <c r="V1008" s="97" t="s">
        <v>28</v>
      </c>
      <c r="W1008" s="97">
        <f t="shared" ref="W1008" si="2000">+S1008-M1008</f>
        <v>2800</v>
      </c>
      <c r="X1008" s="97" t="s">
        <v>36</v>
      </c>
      <c r="Y1008" s="97" t="s">
        <v>29</v>
      </c>
      <c r="Z1008" s="105">
        <f t="shared" ref="Z1008" si="2001">+W1008*100/M1008</f>
        <v>14.736842105263158</v>
      </c>
      <c r="AA1008" s="93"/>
    </row>
    <row r="1009" spans="1:27" s="101" customFormat="1" hidden="1">
      <c r="A1009" s="97">
        <f>SUBTOTAL(3,C$2:C1009)</f>
        <v>468</v>
      </c>
      <c r="B1009" s="97" t="s">
        <v>1086</v>
      </c>
      <c r="C1009" s="97" t="s">
        <v>31</v>
      </c>
      <c r="D1009" s="97" t="s">
        <v>32</v>
      </c>
      <c r="E1009" s="97" t="s">
        <v>33</v>
      </c>
      <c r="F1009" s="101" t="s">
        <v>199</v>
      </c>
      <c r="G1009" s="102" t="s">
        <v>34</v>
      </c>
      <c r="H1009" s="103" t="s">
        <v>2133</v>
      </c>
      <c r="I1009" s="104">
        <v>46167</v>
      </c>
      <c r="J1009" s="97">
        <f t="shared" ref="J1009:J1011" ca="1" si="2002">+TODAY()-I1009</f>
        <v>17</v>
      </c>
      <c r="K1009" s="97" t="str">
        <f t="shared" ref="K1009:K1011" si="2003">+U1009</f>
        <v>Pending</v>
      </c>
      <c r="L1009" s="101" t="s">
        <v>1697</v>
      </c>
      <c r="M1009" s="97">
        <v>18300</v>
      </c>
      <c r="N1009" s="97">
        <v>16500</v>
      </c>
      <c r="O1009" s="104">
        <v>46167</v>
      </c>
      <c r="P1009" s="97">
        <f t="shared" ref="P1009:P1011" si="2004">+M1009-N1009</f>
        <v>1800</v>
      </c>
      <c r="Q1009" s="97" t="s">
        <v>33</v>
      </c>
      <c r="R1009" s="97" t="s">
        <v>37</v>
      </c>
      <c r="S1009" s="97">
        <v>21500</v>
      </c>
      <c r="T1009" s="64" t="s">
        <v>33</v>
      </c>
      <c r="U1009" s="65" t="s">
        <v>33</v>
      </c>
      <c r="V1009" s="97" t="s">
        <v>28</v>
      </c>
      <c r="W1009" s="97">
        <f t="shared" ref="W1009:W1011" si="2005">+S1009-M1009</f>
        <v>3200</v>
      </c>
      <c r="X1009" s="97" t="s">
        <v>36</v>
      </c>
      <c r="Y1009" s="97" t="s">
        <v>29</v>
      </c>
      <c r="Z1009" s="105">
        <f t="shared" ref="Z1009:Z1011" si="2006">+W1009*100/M1009</f>
        <v>17.486338797814209</v>
      </c>
      <c r="AA1009" s="93"/>
    </row>
    <row r="1010" spans="1:27" s="101" customFormat="1" hidden="1">
      <c r="A1010" s="97">
        <f>SUBTOTAL(3,C$2:C1010)</f>
        <v>468</v>
      </c>
      <c r="B1010" s="97" t="s">
        <v>1086</v>
      </c>
      <c r="C1010" s="97" t="s">
        <v>44</v>
      </c>
      <c r="D1010" s="97" t="s">
        <v>32</v>
      </c>
      <c r="E1010" s="97" t="s">
        <v>33</v>
      </c>
      <c r="F1010" s="101" t="s">
        <v>2089</v>
      </c>
      <c r="G1010" s="102">
        <v>407</v>
      </c>
      <c r="H1010" s="103" t="s">
        <v>2134</v>
      </c>
      <c r="I1010" s="104">
        <v>46167</v>
      </c>
      <c r="J1010" s="97">
        <f t="shared" ca="1" si="2002"/>
        <v>17</v>
      </c>
      <c r="K1010" s="97" t="str">
        <f t="shared" si="2003"/>
        <v>Pending</v>
      </c>
      <c r="L1010" s="101" t="s">
        <v>84</v>
      </c>
      <c r="M1010" s="97">
        <v>27500</v>
      </c>
      <c r="N1010" s="97">
        <v>25500</v>
      </c>
      <c r="O1010" s="104">
        <v>46167</v>
      </c>
      <c r="P1010" s="97">
        <f t="shared" si="2004"/>
        <v>2000</v>
      </c>
      <c r="Q1010" s="97" t="s">
        <v>33</v>
      </c>
      <c r="R1010" s="97" t="s">
        <v>78</v>
      </c>
      <c r="S1010" s="97">
        <v>29800</v>
      </c>
      <c r="T1010" s="64" t="s">
        <v>33</v>
      </c>
      <c r="U1010" s="65" t="s">
        <v>33</v>
      </c>
      <c r="V1010" s="97" t="s">
        <v>28</v>
      </c>
      <c r="W1010" s="97">
        <f t="shared" si="2005"/>
        <v>2300</v>
      </c>
      <c r="X1010" s="97" t="s">
        <v>36</v>
      </c>
      <c r="Y1010" s="97" t="s">
        <v>29</v>
      </c>
      <c r="Z1010" s="105">
        <f t="shared" si="2006"/>
        <v>8.3636363636363633</v>
      </c>
      <c r="AA1010" s="93"/>
    </row>
    <row r="1011" spans="1:27" s="101" customFormat="1" hidden="1">
      <c r="A1011" s="97">
        <f>SUBTOTAL(3,C$2:C1011)</f>
        <v>468</v>
      </c>
      <c r="B1011" s="97" t="s">
        <v>1086</v>
      </c>
      <c r="C1011" s="97" t="s">
        <v>44</v>
      </c>
      <c r="D1011" s="97" t="s">
        <v>32</v>
      </c>
      <c r="E1011" s="97" t="s">
        <v>33</v>
      </c>
      <c r="F1011" s="101" t="s">
        <v>1952</v>
      </c>
      <c r="G1011" s="102" t="s">
        <v>46</v>
      </c>
      <c r="H1011" s="103" t="s">
        <v>2135</v>
      </c>
      <c r="I1011" s="104">
        <v>46164</v>
      </c>
      <c r="J1011" s="97">
        <f t="shared" ca="1" si="2002"/>
        <v>20</v>
      </c>
      <c r="K1011" s="97" t="str">
        <f t="shared" si="2003"/>
        <v>Pending</v>
      </c>
      <c r="L1011" s="101" t="s">
        <v>1288</v>
      </c>
      <c r="M1011" s="97">
        <v>18500</v>
      </c>
      <c r="N1011" s="97">
        <v>18500</v>
      </c>
      <c r="O1011" s="104">
        <v>46167</v>
      </c>
      <c r="P1011" s="97">
        <f t="shared" si="2004"/>
        <v>0</v>
      </c>
      <c r="Q1011" s="97" t="s">
        <v>33</v>
      </c>
      <c r="R1011" s="97" t="s">
        <v>78</v>
      </c>
      <c r="S1011" s="97">
        <v>21000</v>
      </c>
      <c r="T1011" s="64" t="s">
        <v>33</v>
      </c>
      <c r="U1011" s="65" t="s">
        <v>33</v>
      </c>
      <c r="V1011" s="97" t="s">
        <v>28</v>
      </c>
      <c r="W1011" s="97">
        <f t="shared" si="2005"/>
        <v>2500</v>
      </c>
      <c r="X1011" s="97" t="s">
        <v>36</v>
      </c>
      <c r="Y1011" s="97" t="s">
        <v>29</v>
      </c>
      <c r="Z1011" s="105">
        <f t="shared" si="2006"/>
        <v>13.513513513513514</v>
      </c>
      <c r="AA1011" s="93"/>
    </row>
    <row r="1012" spans="1:27" s="101" customFormat="1" hidden="1">
      <c r="A1012" s="97">
        <f>SUBTOTAL(3,C$2:C1012)</f>
        <v>468</v>
      </c>
      <c r="B1012" s="97" t="s">
        <v>1086</v>
      </c>
      <c r="C1012" s="97" t="s">
        <v>44</v>
      </c>
      <c r="D1012" s="97" t="s">
        <v>32</v>
      </c>
      <c r="E1012" s="97" t="s">
        <v>33</v>
      </c>
      <c r="F1012" s="101" t="s">
        <v>2191</v>
      </c>
      <c r="G1012" s="102" t="s">
        <v>994</v>
      </c>
      <c r="H1012" s="111" t="s">
        <v>2215</v>
      </c>
      <c r="I1012" s="104">
        <v>46167</v>
      </c>
      <c r="J1012" s="97">
        <f t="shared" ref="J1012" ca="1" si="2007">+TODAY()-I1012</f>
        <v>17</v>
      </c>
      <c r="K1012" s="97" t="str">
        <f t="shared" ref="K1012" si="2008">+U1012</f>
        <v>Pending</v>
      </c>
      <c r="L1012" s="101" t="s">
        <v>2192</v>
      </c>
      <c r="M1012" s="97">
        <v>39000</v>
      </c>
      <c r="N1012" s="97">
        <v>36000</v>
      </c>
      <c r="O1012" s="104">
        <v>46168</v>
      </c>
      <c r="P1012" s="97">
        <f t="shared" ref="P1012" si="2009">+M1012-N1012</f>
        <v>3000</v>
      </c>
      <c r="Q1012" s="97" t="s">
        <v>33</v>
      </c>
      <c r="R1012" s="97" t="s">
        <v>174</v>
      </c>
      <c r="S1012" s="97">
        <v>44000</v>
      </c>
      <c r="T1012" s="64" t="s">
        <v>33</v>
      </c>
      <c r="U1012" s="65" t="s">
        <v>33</v>
      </c>
      <c r="V1012" s="97" t="s">
        <v>28</v>
      </c>
      <c r="W1012" s="97">
        <f t="shared" ref="W1012" si="2010">+S1012-M1012</f>
        <v>5000</v>
      </c>
      <c r="X1012" s="97" t="s">
        <v>36</v>
      </c>
      <c r="Y1012" s="97" t="s">
        <v>29</v>
      </c>
      <c r="Z1012" s="105">
        <f t="shared" ref="Z1012" si="2011">+W1012*100/M1012</f>
        <v>12.820512820512821</v>
      </c>
      <c r="AA1012" s="93"/>
    </row>
    <row r="1013" spans="1:27" s="101" customFormat="1" hidden="1">
      <c r="A1013" s="97">
        <f>SUBTOTAL(3,C$2:C1013)</f>
        <v>468</v>
      </c>
      <c r="B1013" s="97" t="s">
        <v>1086</v>
      </c>
      <c r="C1013" s="97" t="s">
        <v>44</v>
      </c>
      <c r="D1013" s="97" t="s">
        <v>32</v>
      </c>
      <c r="E1013" s="97" t="s">
        <v>33</v>
      </c>
      <c r="F1013" s="101" t="s">
        <v>2193</v>
      </c>
      <c r="G1013" s="102" t="s">
        <v>1093</v>
      </c>
      <c r="H1013" s="111" t="s">
        <v>2216</v>
      </c>
      <c r="I1013" s="104">
        <v>46166</v>
      </c>
      <c r="J1013" s="97">
        <f t="shared" ref="J1013" ca="1" si="2012">+TODAY()-I1013</f>
        <v>18</v>
      </c>
      <c r="K1013" s="97" t="str">
        <f t="shared" ref="K1013" si="2013">+U1013</f>
        <v>Pending</v>
      </c>
      <c r="L1013" s="101" t="s">
        <v>2192</v>
      </c>
      <c r="M1013" s="97">
        <v>28000</v>
      </c>
      <c r="N1013" s="97">
        <v>26000</v>
      </c>
      <c r="O1013" s="104">
        <v>46168</v>
      </c>
      <c r="P1013" s="97">
        <f t="shared" ref="P1013" si="2014">+M1013-N1013</f>
        <v>2000</v>
      </c>
      <c r="Q1013" s="97" t="s">
        <v>33</v>
      </c>
      <c r="R1013" s="97" t="s">
        <v>37</v>
      </c>
      <c r="S1013" s="97">
        <v>31500</v>
      </c>
      <c r="T1013" s="64" t="s">
        <v>33</v>
      </c>
      <c r="U1013" s="65" t="s">
        <v>33</v>
      </c>
      <c r="V1013" s="97" t="s">
        <v>28</v>
      </c>
      <c r="W1013" s="97">
        <f t="shared" ref="W1013" si="2015">+S1013-M1013</f>
        <v>3500</v>
      </c>
      <c r="X1013" s="97" t="s">
        <v>36</v>
      </c>
      <c r="Y1013" s="97" t="s">
        <v>29</v>
      </c>
      <c r="Z1013" s="105">
        <f t="shared" ref="Z1013" si="2016">+W1013*100/M1013</f>
        <v>12.5</v>
      </c>
      <c r="AA1013" s="93"/>
    </row>
    <row r="1014" spans="1:27" s="101" customFormat="1" hidden="1">
      <c r="A1014" s="97">
        <f>SUBTOTAL(3,C$2:C1014)</f>
        <v>468</v>
      </c>
      <c r="B1014" s="97" t="s">
        <v>1086</v>
      </c>
      <c r="C1014" s="97" t="s">
        <v>44</v>
      </c>
      <c r="D1014" s="97" t="s">
        <v>32</v>
      </c>
      <c r="E1014" s="97" t="s">
        <v>33</v>
      </c>
      <c r="F1014" s="101" t="s">
        <v>2194</v>
      </c>
      <c r="G1014" s="102" t="s">
        <v>1093</v>
      </c>
      <c r="H1014" s="111" t="s">
        <v>2217</v>
      </c>
      <c r="I1014" s="104">
        <v>46166</v>
      </c>
      <c r="J1014" s="97">
        <f t="shared" ref="J1014" ca="1" si="2017">+TODAY()-I1014</f>
        <v>18</v>
      </c>
      <c r="K1014" s="97" t="str">
        <f t="shared" ref="K1014" si="2018">+U1014</f>
        <v>Pending</v>
      </c>
      <c r="L1014" s="101" t="s">
        <v>2192</v>
      </c>
      <c r="M1014" s="97">
        <v>28000</v>
      </c>
      <c r="N1014" s="97">
        <v>26000</v>
      </c>
      <c r="O1014" s="104">
        <v>46168</v>
      </c>
      <c r="P1014" s="97">
        <f t="shared" ref="P1014" si="2019">+M1014-N1014</f>
        <v>2000</v>
      </c>
      <c r="Q1014" s="97" t="s">
        <v>33</v>
      </c>
      <c r="R1014" s="97" t="s">
        <v>37</v>
      </c>
      <c r="S1014" s="97">
        <v>31500</v>
      </c>
      <c r="T1014" s="64" t="s">
        <v>33</v>
      </c>
      <c r="U1014" s="65" t="s">
        <v>33</v>
      </c>
      <c r="V1014" s="97" t="s">
        <v>28</v>
      </c>
      <c r="W1014" s="97">
        <f t="shared" ref="W1014" si="2020">+S1014-M1014</f>
        <v>3500</v>
      </c>
      <c r="X1014" s="97" t="s">
        <v>36</v>
      </c>
      <c r="Y1014" s="97" t="s">
        <v>29</v>
      </c>
      <c r="Z1014" s="105">
        <f t="shared" ref="Z1014" si="2021">+W1014*100/M1014</f>
        <v>12.5</v>
      </c>
      <c r="AA1014" s="93"/>
    </row>
    <row r="1015" spans="1:27" s="101" customFormat="1" hidden="1">
      <c r="A1015" s="97">
        <f>SUBTOTAL(3,C$2:C1015)</f>
        <v>468</v>
      </c>
      <c r="B1015" s="97" t="s">
        <v>1086</v>
      </c>
      <c r="C1015" s="97" t="s">
        <v>44</v>
      </c>
      <c r="D1015" s="97" t="s">
        <v>32</v>
      </c>
      <c r="E1015" s="97" t="s">
        <v>33</v>
      </c>
      <c r="F1015" s="101" t="s">
        <v>1414</v>
      </c>
      <c r="G1015" s="102" t="s">
        <v>1093</v>
      </c>
      <c r="H1015" s="103" t="s">
        <v>2218</v>
      </c>
      <c r="I1015" s="104">
        <v>46165</v>
      </c>
      <c r="J1015" s="97">
        <f t="shared" ref="J1015:J1016" ca="1" si="2022">+TODAY()-I1015</f>
        <v>19</v>
      </c>
      <c r="K1015" s="97" t="str">
        <f t="shared" ref="K1015:K1016" si="2023">+U1015</f>
        <v>Pending</v>
      </c>
      <c r="L1015" s="101" t="s">
        <v>1288</v>
      </c>
      <c r="M1015" s="97">
        <v>18500</v>
      </c>
      <c r="N1015" s="97">
        <v>18500</v>
      </c>
      <c r="O1015" s="104">
        <v>46168</v>
      </c>
      <c r="P1015" s="97">
        <f t="shared" ref="P1015:P1016" si="2024">+M1015-N1015</f>
        <v>0</v>
      </c>
      <c r="Q1015" s="97" t="s">
        <v>33</v>
      </c>
      <c r="R1015" s="97" t="s">
        <v>2748</v>
      </c>
      <c r="S1015" s="97">
        <v>21000</v>
      </c>
      <c r="T1015" s="64" t="s">
        <v>33</v>
      </c>
      <c r="U1015" s="65" t="s">
        <v>33</v>
      </c>
      <c r="V1015" s="97" t="s">
        <v>28</v>
      </c>
      <c r="W1015" s="97">
        <f t="shared" ref="W1015:W1016" si="2025">+S1015-M1015</f>
        <v>2500</v>
      </c>
      <c r="X1015" s="97" t="s">
        <v>36</v>
      </c>
      <c r="Y1015" s="97" t="s">
        <v>29</v>
      </c>
      <c r="Z1015" s="105">
        <f t="shared" ref="Z1015:Z1016" si="2026">+W1015*100/M1015</f>
        <v>13.513513513513514</v>
      </c>
      <c r="AA1015" s="93"/>
    </row>
    <row r="1016" spans="1:27" s="101" customFormat="1" hidden="1">
      <c r="A1016" s="97">
        <f>SUBTOTAL(3,C$2:C1016)</f>
        <v>468</v>
      </c>
      <c r="B1016" s="97" t="s">
        <v>1086</v>
      </c>
      <c r="C1016" s="97" t="s">
        <v>31</v>
      </c>
      <c r="D1016" s="97" t="s">
        <v>32</v>
      </c>
      <c r="E1016" s="97" t="s">
        <v>33</v>
      </c>
      <c r="F1016" s="101" t="s">
        <v>2195</v>
      </c>
      <c r="G1016" s="102" t="s">
        <v>34</v>
      </c>
      <c r="H1016" s="111" t="s">
        <v>2219</v>
      </c>
      <c r="I1016" s="104">
        <v>46167</v>
      </c>
      <c r="J1016" s="97">
        <f t="shared" ca="1" si="2022"/>
        <v>17</v>
      </c>
      <c r="K1016" s="97" t="str">
        <f t="shared" si="2023"/>
        <v>Pending</v>
      </c>
      <c r="L1016" s="101" t="s">
        <v>483</v>
      </c>
      <c r="M1016" s="97">
        <v>28000</v>
      </c>
      <c r="N1016" s="97">
        <v>26000</v>
      </c>
      <c r="O1016" s="104">
        <v>46168</v>
      </c>
      <c r="P1016" s="97">
        <f t="shared" si="2024"/>
        <v>2000</v>
      </c>
      <c r="Q1016" s="97" t="s">
        <v>33</v>
      </c>
      <c r="R1016" s="97" t="s">
        <v>39</v>
      </c>
      <c r="S1016" s="97">
        <v>31500</v>
      </c>
      <c r="T1016" s="64" t="s">
        <v>33</v>
      </c>
      <c r="U1016" s="65" t="s">
        <v>33</v>
      </c>
      <c r="V1016" s="97" t="s">
        <v>28</v>
      </c>
      <c r="W1016" s="97">
        <f t="shared" si="2025"/>
        <v>3500</v>
      </c>
      <c r="X1016" s="97" t="s">
        <v>36</v>
      </c>
      <c r="Y1016" s="97" t="s">
        <v>29</v>
      </c>
      <c r="Z1016" s="105">
        <f t="shared" si="2026"/>
        <v>12.5</v>
      </c>
      <c r="AA1016" s="93"/>
    </row>
    <row r="1017" spans="1:27" s="101" customFormat="1" hidden="1">
      <c r="A1017" s="97">
        <f>SUBTOTAL(3,C$2:C1017)</f>
        <v>468</v>
      </c>
      <c r="B1017" s="97" t="s">
        <v>1086</v>
      </c>
      <c r="C1017" s="97" t="s">
        <v>31</v>
      </c>
      <c r="D1017" s="97" t="s">
        <v>32</v>
      </c>
      <c r="E1017" s="97" t="s">
        <v>33</v>
      </c>
      <c r="F1017" s="101" t="s">
        <v>149</v>
      </c>
      <c r="G1017" s="102" t="s">
        <v>34</v>
      </c>
      <c r="H1017" s="103" t="s">
        <v>2220</v>
      </c>
      <c r="I1017" s="104">
        <v>46167</v>
      </c>
      <c r="J1017" s="97">
        <f t="shared" ref="J1017:J1018" ca="1" si="2027">+TODAY()-I1017</f>
        <v>17</v>
      </c>
      <c r="K1017" s="97" t="str">
        <f t="shared" ref="K1017:K1018" si="2028">+U1017</f>
        <v>Pending</v>
      </c>
      <c r="L1017" s="101" t="s">
        <v>2196</v>
      </c>
      <c r="M1017" s="97">
        <v>18300</v>
      </c>
      <c r="N1017" s="97">
        <v>16500</v>
      </c>
      <c r="O1017" s="104">
        <v>46168</v>
      </c>
      <c r="P1017" s="97">
        <f t="shared" ref="P1017:P1018" si="2029">+M1017-N1017</f>
        <v>1800</v>
      </c>
      <c r="Q1017" s="97" t="s">
        <v>33</v>
      </c>
      <c r="R1017" s="97" t="s">
        <v>37</v>
      </c>
      <c r="S1017" s="97">
        <v>21500</v>
      </c>
      <c r="T1017" s="64" t="s">
        <v>33</v>
      </c>
      <c r="U1017" s="65" t="s">
        <v>33</v>
      </c>
      <c r="V1017" s="97" t="s">
        <v>28</v>
      </c>
      <c r="W1017" s="97">
        <f t="shared" ref="W1017:W1018" si="2030">+S1017-M1017</f>
        <v>3200</v>
      </c>
      <c r="X1017" s="97" t="s">
        <v>36</v>
      </c>
      <c r="Y1017" s="97" t="s">
        <v>29</v>
      </c>
      <c r="Z1017" s="105">
        <f t="shared" ref="Z1017:Z1018" si="2031">+W1017*100/M1017</f>
        <v>17.486338797814209</v>
      </c>
      <c r="AA1017" s="93"/>
    </row>
    <row r="1018" spans="1:27" s="101" customFormat="1" hidden="1">
      <c r="A1018" s="97">
        <f>SUBTOTAL(3,C$2:C1018)</f>
        <v>468</v>
      </c>
      <c r="B1018" s="97" t="s">
        <v>1086</v>
      </c>
      <c r="C1018" s="97" t="s">
        <v>44</v>
      </c>
      <c r="D1018" s="97" t="s">
        <v>32</v>
      </c>
      <c r="E1018" s="97" t="s">
        <v>33</v>
      </c>
      <c r="F1018" s="101" t="s">
        <v>2197</v>
      </c>
      <c r="G1018" s="102" t="s">
        <v>994</v>
      </c>
      <c r="H1018" s="111" t="s">
        <v>2221</v>
      </c>
      <c r="I1018" s="104">
        <v>46167</v>
      </c>
      <c r="J1018" s="97">
        <f t="shared" ca="1" si="2027"/>
        <v>17</v>
      </c>
      <c r="K1018" s="97" t="str">
        <f t="shared" si="2028"/>
        <v>Pending</v>
      </c>
      <c r="L1018" s="101" t="s">
        <v>995</v>
      </c>
      <c r="M1018" s="97">
        <v>39000</v>
      </c>
      <c r="N1018" s="97">
        <v>36000</v>
      </c>
      <c r="O1018" s="104">
        <v>46168</v>
      </c>
      <c r="P1018" s="97">
        <f t="shared" si="2029"/>
        <v>3000</v>
      </c>
      <c r="Q1018" s="97" t="s">
        <v>33</v>
      </c>
      <c r="R1018" s="97" t="s">
        <v>174</v>
      </c>
      <c r="S1018" s="97">
        <v>44000</v>
      </c>
      <c r="T1018" s="64" t="s">
        <v>33</v>
      </c>
      <c r="U1018" s="65" t="s">
        <v>33</v>
      </c>
      <c r="V1018" s="97" t="s">
        <v>28</v>
      </c>
      <c r="W1018" s="97">
        <f t="shared" si="2030"/>
        <v>5000</v>
      </c>
      <c r="X1018" s="97" t="s">
        <v>36</v>
      </c>
      <c r="Y1018" s="97" t="s">
        <v>29</v>
      </c>
      <c r="Z1018" s="105">
        <f t="shared" si="2031"/>
        <v>12.820512820512821</v>
      </c>
      <c r="AA1018" s="93"/>
    </row>
    <row r="1019" spans="1:27" s="101" customFormat="1" hidden="1">
      <c r="A1019" s="97">
        <f>SUBTOTAL(3,C$2:C1019)</f>
        <v>468</v>
      </c>
      <c r="B1019" s="97" t="s">
        <v>1086</v>
      </c>
      <c r="C1019" s="97" t="s">
        <v>31</v>
      </c>
      <c r="D1019" s="97" t="s">
        <v>32</v>
      </c>
      <c r="E1019" s="97" t="s">
        <v>33</v>
      </c>
      <c r="F1019" s="101" t="s">
        <v>1861</v>
      </c>
      <c r="G1019" s="102" t="s">
        <v>34</v>
      </c>
      <c r="H1019" s="103" t="s">
        <v>2222</v>
      </c>
      <c r="I1019" s="104">
        <v>46167</v>
      </c>
      <c r="J1019" s="97">
        <f t="shared" ref="J1019" ca="1" si="2032">+TODAY()-I1019</f>
        <v>17</v>
      </c>
      <c r="K1019" s="97" t="str">
        <f t="shared" ref="K1019" si="2033">+U1019</f>
        <v>Pending</v>
      </c>
      <c r="L1019" s="101" t="s">
        <v>2196</v>
      </c>
      <c r="M1019" s="97">
        <v>18300</v>
      </c>
      <c r="N1019" s="97">
        <v>16500</v>
      </c>
      <c r="O1019" s="104">
        <v>46168</v>
      </c>
      <c r="P1019" s="97">
        <f t="shared" ref="P1019" si="2034">+M1019-N1019</f>
        <v>1800</v>
      </c>
      <c r="Q1019" s="97" t="s">
        <v>33</v>
      </c>
      <c r="R1019" s="97" t="s">
        <v>174</v>
      </c>
      <c r="S1019" s="97">
        <v>21500</v>
      </c>
      <c r="T1019" s="64" t="s">
        <v>33</v>
      </c>
      <c r="U1019" s="65" t="s">
        <v>33</v>
      </c>
      <c r="V1019" s="97" t="s">
        <v>28</v>
      </c>
      <c r="W1019" s="97">
        <f t="shared" ref="W1019" si="2035">+S1019-M1019</f>
        <v>3200</v>
      </c>
      <c r="X1019" s="97" t="s">
        <v>36</v>
      </c>
      <c r="Y1019" s="97" t="s">
        <v>29</v>
      </c>
      <c r="Z1019" s="105">
        <f t="shared" ref="Z1019" si="2036">+W1019*100/M1019</f>
        <v>17.486338797814209</v>
      </c>
      <c r="AA1019" s="93"/>
    </row>
    <row r="1020" spans="1:27" s="101" customFormat="1" hidden="1">
      <c r="A1020" s="97">
        <f>SUBTOTAL(3,C$2:C1020)</f>
        <v>468</v>
      </c>
      <c r="B1020" s="97" t="s">
        <v>1086</v>
      </c>
      <c r="C1020" s="97" t="s">
        <v>31</v>
      </c>
      <c r="D1020" s="97" t="s">
        <v>32</v>
      </c>
      <c r="E1020" s="97" t="s">
        <v>33</v>
      </c>
      <c r="F1020" s="101" t="s">
        <v>2198</v>
      </c>
      <c r="G1020" s="102" t="s">
        <v>34</v>
      </c>
      <c r="H1020" s="111" t="s">
        <v>2223</v>
      </c>
      <c r="I1020" s="104">
        <v>46167</v>
      </c>
      <c r="J1020" s="97">
        <f t="shared" ref="J1020:J1022" ca="1" si="2037">+TODAY()-I1020</f>
        <v>17</v>
      </c>
      <c r="K1020" s="97" t="str">
        <f t="shared" ref="K1020:K1022" si="2038">+U1020</f>
        <v>Pending</v>
      </c>
      <c r="L1020" s="101" t="s">
        <v>2199</v>
      </c>
      <c r="M1020" s="97">
        <v>28000</v>
      </c>
      <c r="N1020" s="97">
        <v>26000</v>
      </c>
      <c r="O1020" s="104">
        <v>46168</v>
      </c>
      <c r="P1020" s="97">
        <f t="shared" ref="P1020:P1022" si="2039">+M1020-N1020</f>
        <v>2000</v>
      </c>
      <c r="Q1020" s="97" t="s">
        <v>33</v>
      </c>
      <c r="R1020" s="97" t="s">
        <v>52</v>
      </c>
      <c r="S1020" s="97">
        <v>31500</v>
      </c>
      <c r="T1020" s="64" t="s">
        <v>33</v>
      </c>
      <c r="U1020" s="65" t="s">
        <v>33</v>
      </c>
      <c r="V1020" s="97" t="s">
        <v>28</v>
      </c>
      <c r="W1020" s="97">
        <f t="shared" ref="W1020:W1022" si="2040">+S1020-M1020</f>
        <v>3500</v>
      </c>
      <c r="X1020" s="97" t="s">
        <v>36</v>
      </c>
      <c r="Y1020" s="97" t="s">
        <v>29</v>
      </c>
      <c r="Z1020" s="105">
        <f t="shared" ref="Z1020:Z1022" si="2041">+W1020*100/M1020</f>
        <v>12.5</v>
      </c>
      <c r="AA1020" s="93"/>
    </row>
    <row r="1021" spans="1:27" s="101" customFormat="1" hidden="1">
      <c r="A1021" s="97">
        <f>SUBTOTAL(3,C$2:C1021)</f>
        <v>468</v>
      </c>
      <c r="B1021" s="97" t="s">
        <v>1086</v>
      </c>
      <c r="C1021" s="97" t="s">
        <v>227</v>
      </c>
      <c r="D1021" s="97" t="s">
        <v>32</v>
      </c>
      <c r="E1021" s="97" t="s">
        <v>33</v>
      </c>
      <c r="F1021" s="101" t="s">
        <v>228</v>
      </c>
      <c r="G1021" s="102" t="s">
        <v>67</v>
      </c>
      <c r="H1021" s="111" t="s">
        <v>2224</v>
      </c>
      <c r="I1021" s="104">
        <v>46167</v>
      </c>
      <c r="J1021" s="97">
        <f t="shared" ca="1" si="2037"/>
        <v>17</v>
      </c>
      <c r="K1021" s="97" t="str">
        <f t="shared" si="2038"/>
        <v>Pending</v>
      </c>
      <c r="L1021" s="101" t="s">
        <v>229</v>
      </c>
      <c r="M1021" s="97">
        <v>17800</v>
      </c>
      <c r="N1021" s="97">
        <v>15800</v>
      </c>
      <c r="O1021" s="104">
        <v>46168</v>
      </c>
      <c r="P1021" s="97">
        <f t="shared" si="2039"/>
        <v>2000</v>
      </c>
      <c r="Q1021" s="97" t="s">
        <v>33</v>
      </c>
      <c r="R1021" s="97" t="s">
        <v>112</v>
      </c>
      <c r="S1021" s="97">
        <v>20050</v>
      </c>
      <c r="T1021" s="64" t="s">
        <v>33</v>
      </c>
      <c r="U1021" s="65" t="s">
        <v>33</v>
      </c>
      <c r="V1021" s="97" t="s">
        <v>28</v>
      </c>
      <c r="W1021" s="97">
        <f t="shared" si="2040"/>
        <v>2250</v>
      </c>
      <c r="X1021" s="97" t="s">
        <v>36</v>
      </c>
      <c r="Y1021" s="97" t="s">
        <v>29</v>
      </c>
      <c r="Z1021" s="105">
        <f t="shared" si="2041"/>
        <v>12.640449438202246</v>
      </c>
      <c r="AA1021" s="93"/>
    </row>
    <row r="1022" spans="1:27" s="101" customFormat="1" hidden="1">
      <c r="A1022" s="97">
        <f>SUBTOTAL(3,C$2:C1022)</f>
        <v>468</v>
      </c>
      <c r="B1022" s="97" t="s">
        <v>1086</v>
      </c>
      <c r="C1022" s="97" t="s">
        <v>119</v>
      </c>
      <c r="D1022" s="97" t="s">
        <v>32</v>
      </c>
      <c r="E1022" s="97" t="s">
        <v>33</v>
      </c>
      <c r="F1022" s="101" t="s">
        <v>120</v>
      </c>
      <c r="G1022" s="102" t="s">
        <v>59</v>
      </c>
      <c r="H1022" s="103" t="s">
        <v>2225</v>
      </c>
      <c r="I1022" s="104">
        <v>46164</v>
      </c>
      <c r="J1022" s="97">
        <f t="shared" ca="1" si="2037"/>
        <v>20</v>
      </c>
      <c r="K1022" s="97" t="str">
        <f t="shared" si="2038"/>
        <v>Pending</v>
      </c>
      <c r="L1022" s="101" t="s">
        <v>2208</v>
      </c>
      <c r="M1022" s="97">
        <v>22500</v>
      </c>
      <c r="N1022" s="97">
        <v>22500</v>
      </c>
      <c r="O1022" s="104">
        <v>46168</v>
      </c>
      <c r="P1022" s="97">
        <f t="shared" si="2039"/>
        <v>0</v>
      </c>
      <c r="Q1022" s="97" t="s">
        <v>33</v>
      </c>
      <c r="R1022" s="97" t="s">
        <v>39</v>
      </c>
      <c r="S1022" s="97">
        <v>25200</v>
      </c>
      <c r="T1022" s="64" t="s">
        <v>33</v>
      </c>
      <c r="U1022" s="65" t="s">
        <v>33</v>
      </c>
      <c r="V1022" s="97" t="s">
        <v>28</v>
      </c>
      <c r="W1022" s="97">
        <f t="shared" si="2040"/>
        <v>2700</v>
      </c>
      <c r="X1022" s="97" t="s">
        <v>36</v>
      </c>
      <c r="Y1022" s="97" t="s">
        <v>29</v>
      </c>
      <c r="Z1022" s="105">
        <f t="shared" si="2041"/>
        <v>12</v>
      </c>
      <c r="AA1022" s="93"/>
    </row>
    <row r="1023" spans="1:27" s="101" customFormat="1" hidden="1">
      <c r="A1023" s="97">
        <f>SUBTOTAL(3,C$2:C1023)</f>
        <v>468</v>
      </c>
      <c r="B1023" s="97" t="s">
        <v>1086</v>
      </c>
      <c r="C1023" s="97" t="s">
        <v>119</v>
      </c>
      <c r="D1023" s="97" t="s">
        <v>32</v>
      </c>
      <c r="E1023" s="97" t="s">
        <v>33</v>
      </c>
      <c r="F1023" s="101" t="s">
        <v>2209</v>
      </c>
      <c r="G1023" s="102" t="s">
        <v>59</v>
      </c>
      <c r="H1023" s="103" t="s">
        <v>2226</v>
      </c>
      <c r="I1023" s="104">
        <v>46165</v>
      </c>
      <c r="J1023" s="97">
        <f t="shared" ref="J1023:J1026" ca="1" si="2042">+TODAY()-I1023</f>
        <v>19</v>
      </c>
      <c r="K1023" s="97" t="str">
        <f t="shared" ref="K1023:K1026" si="2043">+U1023</f>
        <v>Pending</v>
      </c>
      <c r="L1023" s="101" t="s">
        <v>2208</v>
      </c>
      <c r="M1023" s="97">
        <v>22500</v>
      </c>
      <c r="N1023" s="97">
        <v>22500</v>
      </c>
      <c r="O1023" s="104">
        <v>46168</v>
      </c>
      <c r="P1023" s="97">
        <f t="shared" ref="P1023:P1026" si="2044">+M1023-N1023</f>
        <v>0</v>
      </c>
      <c r="Q1023" s="97" t="s">
        <v>33</v>
      </c>
      <c r="R1023" s="97" t="s">
        <v>39</v>
      </c>
      <c r="S1023" s="97">
        <v>25200</v>
      </c>
      <c r="T1023" s="64" t="s">
        <v>33</v>
      </c>
      <c r="U1023" s="65" t="s">
        <v>33</v>
      </c>
      <c r="V1023" s="97" t="s">
        <v>28</v>
      </c>
      <c r="W1023" s="97">
        <f t="shared" ref="W1023:W1026" si="2045">+S1023-M1023</f>
        <v>2700</v>
      </c>
      <c r="X1023" s="97" t="s">
        <v>36</v>
      </c>
      <c r="Y1023" s="97" t="s">
        <v>29</v>
      </c>
      <c r="Z1023" s="105">
        <f t="shared" ref="Z1023:Z1026" si="2046">+W1023*100/M1023</f>
        <v>12</v>
      </c>
      <c r="AA1023" s="93"/>
    </row>
    <row r="1024" spans="1:27" s="101" customFormat="1" hidden="1">
      <c r="A1024" s="97">
        <f>SUBTOTAL(3,C$2:C1024)</f>
        <v>468</v>
      </c>
      <c r="B1024" s="97" t="s">
        <v>1086</v>
      </c>
      <c r="C1024" s="97" t="s">
        <v>31</v>
      </c>
      <c r="D1024" s="97" t="s">
        <v>32</v>
      </c>
      <c r="E1024" s="97" t="s">
        <v>33</v>
      </c>
      <c r="F1024" s="101" t="s">
        <v>1642</v>
      </c>
      <c r="G1024" s="102" t="s">
        <v>34</v>
      </c>
      <c r="H1024" s="111" t="s">
        <v>2227</v>
      </c>
      <c r="I1024" s="104">
        <v>46167</v>
      </c>
      <c r="J1024" s="97">
        <f t="shared" ca="1" si="2042"/>
        <v>17</v>
      </c>
      <c r="K1024" s="97" t="str">
        <f t="shared" si="2043"/>
        <v>Pending</v>
      </c>
      <c r="L1024" s="101" t="s">
        <v>1411</v>
      </c>
      <c r="M1024" s="97">
        <v>19000</v>
      </c>
      <c r="N1024" s="97">
        <v>17000</v>
      </c>
      <c r="O1024" s="104">
        <v>46168</v>
      </c>
      <c r="P1024" s="97">
        <f t="shared" si="2044"/>
        <v>2000</v>
      </c>
      <c r="Q1024" s="97" t="s">
        <v>33</v>
      </c>
      <c r="R1024" s="97" t="s">
        <v>39</v>
      </c>
      <c r="S1024" s="97">
        <v>21800</v>
      </c>
      <c r="T1024" s="64" t="s">
        <v>33</v>
      </c>
      <c r="U1024" s="65" t="s">
        <v>33</v>
      </c>
      <c r="V1024" s="97" t="s">
        <v>28</v>
      </c>
      <c r="W1024" s="97">
        <f t="shared" si="2045"/>
        <v>2800</v>
      </c>
      <c r="X1024" s="97" t="s">
        <v>36</v>
      </c>
      <c r="Y1024" s="97" t="s">
        <v>29</v>
      </c>
      <c r="Z1024" s="105">
        <f t="shared" si="2046"/>
        <v>14.736842105263158</v>
      </c>
      <c r="AA1024" s="93"/>
    </row>
    <row r="1025" spans="1:27" s="101" customFormat="1" hidden="1">
      <c r="A1025" s="97">
        <f>SUBTOTAL(3,C$2:C1025)</f>
        <v>468</v>
      </c>
      <c r="B1025" s="97" t="s">
        <v>1086</v>
      </c>
      <c r="C1025" s="97" t="s">
        <v>328</v>
      </c>
      <c r="D1025" s="97" t="s">
        <v>32</v>
      </c>
      <c r="E1025" s="97" t="s">
        <v>33</v>
      </c>
      <c r="F1025" s="101" t="s">
        <v>329</v>
      </c>
      <c r="G1025" s="102" t="s">
        <v>1152</v>
      </c>
      <c r="H1025" s="111" t="s">
        <v>2228</v>
      </c>
      <c r="I1025" s="104">
        <v>46167</v>
      </c>
      <c r="J1025" s="97">
        <f t="shared" ca="1" si="2042"/>
        <v>17</v>
      </c>
      <c r="K1025" s="97" t="str">
        <f t="shared" si="2043"/>
        <v>Pending</v>
      </c>
      <c r="L1025" s="101" t="s">
        <v>246</v>
      </c>
      <c r="M1025" s="97">
        <f>3000+44000</f>
        <v>47000</v>
      </c>
      <c r="N1025" s="97">
        <v>40000</v>
      </c>
      <c r="O1025" s="104">
        <v>46168</v>
      </c>
      <c r="P1025" s="97">
        <f t="shared" si="2044"/>
        <v>7000</v>
      </c>
      <c r="Q1025" s="97" t="s">
        <v>33</v>
      </c>
      <c r="R1025" s="97" t="s">
        <v>52</v>
      </c>
      <c r="S1025" s="97">
        <f>5000+48000</f>
        <v>53000</v>
      </c>
      <c r="T1025" s="64" t="s">
        <v>33</v>
      </c>
      <c r="U1025" s="65" t="s">
        <v>33</v>
      </c>
      <c r="V1025" s="97" t="s">
        <v>28</v>
      </c>
      <c r="W1025" s="97">
        <f t="shared" si="2045"/>
        <v>6000</v>
      </c>
      <c r="X1025" s="97" t="s">
        <v>36</v>
      </c>
      <c r="Y1025" s="97" t="s">
        <v>29</v>
      </c>
      <c r="Z1025" s="105">
        <f t="shared" si="2046"/>
        <v>12.76595744680851</v>
      </c>
      <c r="AA1025" s="93"/>
    </row>
    <row r="1026" spans="1:27" s="101" customFormat="1" hidden="1">
      <c r="A1026" s="97">
        <f>SUBTOTAL(3,C$2:C1026)</f>
        <v>468</v>
      </c>
      <c r="B1026" s="97" t="s">
        <v>1086</v>
      </c>
      <c r="C1026" s="97" t="s">
        <v>124</v>
      </c>
      <c r="D1026" s="97" t="s">
        <v>32</v>
      </c>
      <c r="E1026" s="97" t="s">
        <v>33</v>
      </c>
      <c r="F1026" s="101" t="s">
        <v>122</v>
      </c>
      <c r="G1026" s="102" t="s">
        <v>67</v>
      </c>
      <c r="H1026" s="103" t="s">
        <v>2229</v>
      </c>
      <c r="I1026" s="104">
        <v>46168</v>
      </c>
      <c r="J1026" s="97">
        <f t="shared" ca="1" si="2042"/>
        <v>16</v>
      </c>
      <c r="K1026" s="97" t="str">
        <f t="shared" si="2043"/>
        <v>Pending</v>
      </c>
      <c r="L1026" s="101" t="s">
        <v>123</v>
      </c>
      <c r="M1026" s="97">
        <f>3000+38500</f>
        <v>41500</v>
      </c>
      <c r="N1026" s="97">
        <v>35500</v>
      </c>
      <c r="O1026" s="104">
        <v>46168</v>
      </c>
      <c r="P1026" s="97">
        <f t="shared" si="2044"/>
        <v>6000</v>
      </c>
      <c r="Q1026" s="97" t="s">
        <v>33</v>
      </c>
      <c r="R1026" s="97" t="s">
        <v>52</v>
      </c>
      <c r="S1026" s="97">
        <f>5000+42000</f>
        <v>47000</v>
      </c>
      <c r="T1026" s="64" t="s">
        <v>33</v>
      </c>
      <c r="U1026" s="65" t="s">
        <v>33</v>
      </c>
      <c r="V1026" s="97" t="s">
        <v>28</v>
      </c>
      <c r="W1026" s="97">
        <f t="shared" si="2045"/>
        <v>5500</v>
      </c>
      <c r="X1026" s="97" t="s">
        <v>36</v>
      </c>
      <c r="Y1026" s="97" t="s">
        <v>29</v>
      </c>
      <c r="Z1026" s="105">
        <f t="shared" si="2046"/>
        <v>13.253012048192771</v>
      </c>
      <c r="AA1026" s="93"/>
    </row>
    <row r="1027" spans="1:27" s="101" customFormat="1" hidden="1">
      <c r="A1027" s="97">
        <f>SUBTOTAL(3,C$2:C1027)</f>
        <v>468</v>
      </c>
      <c r="B1027" s="97" t="s">
        <v>1086</v>
      </c>
      <c r="C1027" s="97" t="s">
        <v>31</v>
      </c>
      <c r="D1027" s="97" t="s">
        <v>32</v>
      </c>
      <c r="E1027" s="97" t="s">
        <v>33</v>
      </c>
      <c r="F1027" s="101" t="s">
        <v>250</v>
      </c>
      <c r="G1027" s="102" t="s">
        <v>34</v>
      </c>
      <c r="H1027" s="103" t="s">
        <v>2230</v>
      </c>
      <c r="I1027" s="104">
        <v>46168</v>
      </c>
      <c r="J1027" s="97">
        <f t="shared" ref="J1027:J1028" ca="1" si="2047">+TODAY()-I1027</f>
        <v>16</v>
      </c>
      <c r="K1027" s="97" t="str">
        <f t="shared" ref="K1027:K1028" si="2048">+U1027</f>
        <v>Pending</v>
      </c>
      <c r="L1027" s="101" t="s">
        <v>1697</v>
      </c>
      <c r="M1027" s="97">
        <v>18300</v>
      </c>
      <c r="N1027" s="97">
        <v>16500</v>
      </c>
      <c r="O1027" s="104">
        <v>46168</v>
      </c>
      <c r="P1027" s="97">
        <f t="shared" ref="P1027:P1028" si="2049">+M1027-N1027</f>
        <v>1800</v>
      </c>
      <c r="Q1027" s="97" t="s">
        <v>33</v>
      </c>
      <c r="R1027" s="97" t="s">
        <v>37</v>
      </c>
      <c r="S1027" s="97">
        <v>21500</v>
      </c>
      <c r="T1027" s="64" t="s">
        <v>33</v>
      </c>
      <c r="U1027" s="65" t="s">
        <v>33</v>
      </c>
      <c r="V1027" s="97" t="s">
        <v>28</v>
      </c>
      <c r="W1027" s="97">
        <f t="shared" ref="W1027:W1028" si="2050">+S1027-M1027</f>
        <v>3200</v>
      </c>
      <c r="X1027" s="97" t="s">
        <v>36</v>
      </c>
      <c r="Y1027" s="97" t="s">
        <v>29</v>
      </c>
      <c r="Z1027" s="105">
        <f t="shared" ref="Z1027:Z1028" si="2051">+W1027*100/M1027</f>
        <v>17.486338797814209</v>
      </c>
      <c r="AA1027" s="93"/>
    </row>
    <row r="1028" spans="1:27" s="101" customFormat="1" hidden="1">
      <c r="A1028" s="97">
        <f>SUBTOTAL(3,C$2:C1028)</f>
        <v>468</v>
      </c>
      <c r="B1028" s="97" t="s">
        <v>1086</v>
      </c>
      <c r="C1028" s="97" t="s">
        <v>80</v>
      </c>
      <c r="D1028" s="97" t="s">
        <v>32</v>
      </c>
      <c r="E1028" s="97" t="s">
        <v>33</v>
      </c>
      <c r="F1028" s="101" t="s">
        <v>2210</v>
      </c>
      <c r="G1028" s="102" t="s">
        <v>1215</v>
      </c>
      <c r="H1028" s="103" t="s">
        <v>2231</v>
      </c>
      <c r="I1028" s="104">
        <v>46168</v>
      </c>
      <c r="J1028" s="97">
        <f t="shared" ca="1" si="2047"/>
        <v>16</v>
      </c>
      <c r="K1028" s="97" t="str">
        <f t="shared" si="2048"/>
        <v>Pending</v>
      </c>
      <c r="L1028" s="101" t="s">
        <v>1939</v>
      </c>
      <c r="M1028" s="97">
        <v>28000</v>
      </c>
      <c r="N1028" s="97">
        <v>26000</v>
      </c>
      <c r="O1028" s="104">
        <v>46168</v>
      </c>
      <c r="P1028" s="97">
        <f t="shared" si="2049"/>
        <v>2000</v>
      </c>
      <c r="Q1028" s="97" t="s">
        <v>33</v>
      </c>
      <c r="R1028" s="97" t="s">
        <v>39</v>
      </c>
      <c r="S1028" s="97">
        <v>31500</v>
      </c>
      <c r="T1028" s="64" t="s">
        <v>33</v>
      </c>
      <c r="U1028" s="65" t="s">
        <v>33</v>
      </c>
      <c r="V1028" s="97" t="s">
        <v>28</v>
      </c>
      <c r="W1028" s="97">
        <f t="shared" si="2050"/>
        <v>3500</v>
      </c>
      <c r="X1028" s="97" t="s">
        <v>36</v>
      </c>
      <c r="Y1028" s="97" t="s">
        <v>29</v>
      </c>
      <c r="Z1028" s="105">
        <f t="shared" si="2051"/>
        <v>12.5</v>
      </c>
      <c r="AA1028" s="93"/>
    </row>
    <row r="1029" spans="1:27" s="101" customFormat="1" hidden="1">
      <c r="A1029" s="97">
        <f>SUBTOTAL(3,C$2:C1029)</f>
        <v>468</v>
      </c>
      <c r="B1029" s="97" t="s">
        <v>1086</v>
      </c>
      <c r="C1029" s="97" t="s">
        <v>31</v>
      </c>
      <c r="D1029" s="97" t="s">
        <v>32</v>
      </c>
      <c r="E1029" s="97" t="s">
        <v>33</v>
      </c>
      <c r="F1029" s="101" t="s">
        <v>92</v>
      </c>
      <c r="G1029" s="102" t="s">
        <v>34</v>
      </c>
      <c r="H1029" s="111" t="s">
        <v>2232</v>
      </c>
      <c r="I1029" s="104">
        <v>46168</v>
      </c>
      <c r="J1029" s="97">
        <f t="shared" ref="J1029" ca="1" si="2052">+TODAY()-I1029</f>
        <v>16</v>
      </c>
      <c r="K1029" s="97" t="str">
        <f t="shared" ref="K1029" si="2053">+U1029</f>
        <v>Pending</v>
      </c>
      <c r="L1029" s="101" t="s">
        <v>2211</v>
      </c>
      <c r="M1029" s="97">
        <v>19000</v>
      </c>
      <c r="N1029" s="97">
        <v>17000</v>
      </c>
      <c r="O1029" s="104">
        <v>46168</v>
      </c>
      <c r="P1029" s="97">
        <f t="shared" ref="P1029" si="2054">+M1029-N1029</f>
        <v>2000</v>
      </c>
      <c r="Q1029" s="97" t="s">
        <v>33</v>
      </c>
      <c r="R1029" s="97" t="s">
        <v>39</v>
      </c>
      <c r="S1029" s="97">
        <v>21800</v>
      </c>
      <c r="T1029" s="64" t="s">
        <v>33</v>
      </c>
      <c r="U1029" s="65" t="s">
        <v>33</v>
      </c>
      <c r="V1029" s="97" t="s">
        <v>28</v>
      </c>
      <c r="W1029" s="97">
        <f t="shared" ref="W1029" si="2055">+S1029-M1029</f>
        <v>2800</v>
      </c>
      <c r="X1029" s="97" t="s">
        <v>36</v>
      </c>
      <c r="Y1029" s="97" t="s">
        <v>29</v>
      </c>
      <c r="Z1029" s="105">
        <f t="shared" ref="Z1029" si="2056">+W1029*100/M1029</f>
        <v>14.736842105263158</v>
      </c>
      <c r="AA1029" s="93"/>
    </row>
    <row r="1030" spans="1:27" s="101" customFormat="1" hidden="1">
      <c r="A1030" s="97">
        <f>SUBTOTAL(3,C$2:C1030)</f>
        <v>468</v>
      </c>
      <c r="B1030" s="97" t="s">
        <v>1086</v>
      </c>
      <c r="C1030" s="97" t="s">
        <v>31</v>
      </c>
      <c r="D1030" s="97" t="s">
        <v>32</v>
      </c>
      <c r="E1030" s="97" t="s">
        <v>33</v>
      </c>
      <c r="F1030" s="101" t="s">
        <v>465</v>
      </c>
      <c r="G1030" s="102" t="s">
        <v>34</v>
      </c>
      <c r="H1030" s="103" t="s">
        <v>2233</v>
      </c>
      <c r="I1030" s="104">
        <v>46168</v>
      </c>
      <c r="J1030" s="97">
        <f t="shared" ref="J1030:J1032" ca="1" si="2057">+TODAY()-I1030</f>
        <v>16</v>
      </c>
      <c r="K1030" s="97" t="str">
        <f t="shared" ref="K1030:K1032" si="2058">+U1030</f>
        <v>Pending</v>
      </c>
      <c r="L1030" s="101" t="s">
        <v>1697</v>
      </c>
      <c r="M1030" s="97">
        <v>18300</v>
      </c>
      <c r="N1030" s="97">
        <v>16500</v>
      </c>
      <c r="O1030" s="104">
        <v>46168</v>
      </c>
      <c r="P1030" s="97">
        <f t="shared" ref="P1030:P1032" si="2059">+M1030-N1030</f>
        <v>1800</v>
      </c>
      <c r="Q1030" s="97" t="s">
        <v>33</v>
      </c>
      <c r="R1030" s="97" t="s">
        <v>37</v>
      </c>
      <c r="S1030" s="97">
        <v>21500</v>
      </c>
      <c r="T1030" s="64" t="s">
        <v>33</v>
      </c>
      <c r="U1030" s="65" t="s">
        <v>33</v>
      </c>
      <c r="V1030" s="97" t="s">
        <v>28</v>
      </c>
      <c r="W1030" s="97">
        <f t="shared" ref="W1030:W1032" si="2060">+S1030-M1030</f>
        <v>3200</v>
      </c>
      <c r="X1030" s="97" t="s">
        <v>36</v>
      </c>
      <c r="Y1030" s="97" t="s">
        <v>29</v>
      </c>
      <c r="Z1030" s="105">
        <f t="shared" ref="Z1030:Z1032" si="2061">+W1030*100/M1030</f>
        <v>17.486338797814209</v>
      </c>
      <c r="AA1030" s="93"/>
    </row>
    <row r="1031" spans="1:27" s="101" customFormat="1" hidden="1">
      <c r="A1031" s="97">
        <f>SUBTOTAL(3,C$2:C1031)</f>
        <v>468</v>
      </c>
      <c r="B1031" s="97" t="s">
        <v>1086</v>
      </c>
      <c r="C1031" s="97" t="s">
        <v>1031</v>
      </c>
      <c r="D1031" s="97" t="s">
        <v>32</v>
      </c>
      <c r="E1031" s="97" t="s">
        <v>33</v>
      </c>
      <c r="F1031" s="101" t="s">
        <v>931</v>
      </c>
      <c r="G1031" s="102" t="s">
        <v>34</v>
      </c>
      <c r="H1031" s="111" t="s">
        <v>2234</v>
      </c>
      <c r="I1031" s="104">
        <v>46168</v>
      </c>
      <c r="J1031" s="97">
        <f t="shared" ca="1" si="2057"/>
        <v>16</v>
      </c>
      <c r="K1031" s="97" t="str">
        <f t="shared" si="2058"/>
        <v>Pending</v>
      </c>
      <c r="L1031" s="101" t="s">
        <v>1024</v>
      </c>
      <c r="M1031" s="97">
        <v>19000</v>
      </c>
      <c r="N1031" s="97">
        <v>17000</v>
      </c>
      <c r="O1031" s="104">
        <v>46168</v>
      </c>
      <c r="P1031" s="97">
        <f t="shared" si="2059"/>
        <v>2000</v>
      </c>
      <c r="Q1031" s="97" t="s">
        <v>33</v>
      </c>
      <c r="R1031" s="97" t="s">
        <v>39</v>
      </c>
      <c r="S1031" s="97">
        <v>21800</v>
      </c>
      <c r="T1031" s="64" t="s">
        <v>33</v>
      </c>
      <c r="U1031" s="65" t="s">
        <v>33</v>
      </c>
      <c r="V1031" s="97" t="s">
        <v>28</v>
      </c>
      <c r="W1031" s="97">
        <f t="shared" si="2060"/>
        <v>2800</v>
      </c>
      <c r="X1031" s="97" t="s">
        <v>963</v>
      </c>
      <c r="Y1031" s="97" t="s">
        <v>29</v>
      </c>
      <c r="Z1031" s="105">
        <f t="shared" si="2061"/>
        <v>14.736842105263158</v>
      </c>
      <c r="AA1031" s="93"/>
    </row>
    <row r="1032" spans="1:27" s="101" customFormat="1" hidden="1">
      <c r="A1032" s="97">
        <f>SUBTOTAL(3,C$2:C1032)</f>
        <v>468</v>
      </c>
      <c r="B1032" s="97" t="s">
        <v>1086</v>
      </c>
      <c r="C1032" s="97" t="s">
        <v>80</v>
      </c>
      <c r="D1032" s="97" t="s">
        <v>32</v>
      </c>
      <c r="E1032" s="97" t="s">
        <v>33</v>
      </c>
      <c r="F1032" s="101" t="s">
        <v>1216</v>
      </c>
      <c r="G1032" s="102" t="s">
        <v>1215</v>
      </c>
      <c r="H1032" s="111" t="s">
        <v>2235</v>
      </c>
      <c r="I1032" s="104">
        <v>46168</v>
      </c>
      <c r="J1032" s="97">
        <f t="shared" ca="1" si="2057"/>
        <v>16</v>
      </c>
      <c r="K1032" s="97" t="str">
        <f t="shared" si="2058"/>
        <v>Pending</v>
      </c>
      <c r="L1032" s="101" t="s">
        <v>1939</v>
      </c>
      <c r="M1032" s="97">
        <v>28000</v>
      </c>
      <c r="N1032" s="97">
        <v>26000</v>
      </c>
      <c r="O1032" s="104">
        <v>46168</v>
      </c>
      <c r="P1032" s="97">
        <f t="shared" si="2059"/>
        <v>2000</v>
      </c>
      <c r="Q1032" s="97" t="s">
        <v>33</v>
      </c>
      <c r="R1032" s="97" t="s">
        <v>39</v>
      </c>
      <c r="S1032" s="97">
        <v>31500</v>
      </c>
      <c r="T1032" s="64" t="s">
        <v>33</v>
      </c>
      <c r="U1032" s="65" t="s">
        <v>33</v>
      </c>
      <c r="V1032" s="97" t="s">
        <v>28</v>
      </c>
      <c r="W1032" s="97">
        <f t="shared" si="2060"/>
        <v>3500</v>
      </c>
      <c r="X1032" s="97" t="s">
        <v>36</v>
      </c>
      <c r="Y1032" s="97" t="s">
        <v>29</v>
      </c>
      <c r="Z1032" s="105">
        <f t="shared" si="2061"/>
        <v>12.5</v>
      </c>
      <c r="AA1032" s="93"/>
    </row>
    <row r="1033" spans="1:27" s="101" customFormat="1" hidden="1">
      <c r="A1033" s="97">
        <f>SUBTOTAL(3,C$2:C1033)</f>
        <v>468</v>
      </c>
      <c r="B1033" s="97" t="s">
        <v>1086</v>
      </c>
      <c r="C1033" s="97" t="s">
        <v>31</v>
      </c>
      <c r="D1033" s="97" t="s">
        <v>32</v>
      </c>
      <c r="E1033" s="97" t="s">
        <v>33</v>
      </c>
      <c r="F1033" s="101" t="s">
        <v>195</v>
      </c>
      <c r="G1033" s="102" t="s">
        <v>34</v>
      </c>
      <c r="H1033" s="111" t="s">
        <v>2236</v>
      </c>
      <c r="I1033" s="104">
        <v>46168</v>
      </c>
      <c r="J1033" s="97">
        <f t="shared" ref="J1033:J1034" ca="1" si="2062">+TODAY()-I1033</f>
        <v>16</v>
      </c>
      <c r="K1033" s="97" t="str">
        <f t="shared" ref="K1033:K1034" si="2063">+U1033</f>
        <v>Pending</v>
      </c>
      <c r="L1033" s="101" t="s">
        <v>1697</v>
      </c>
      <c r="M1033" s="97">
        <v>18300</v>
      </c>
      <c r="N1033" s="97">
        <v>16500</v>
      </c>
      <c r="O1033" s="104">
        <v>46168</v>
      </c>
      <c r="P1033" s="97">
        <f t="shared" ref="P1033:P1034" si="2064">+M1033-N1033</f>
        <v>1800</v>
      </c>
      <c r="Q1033" s="97" t="s">
        <v>33</v>
      </c>
      <c r="R1033" s="97" t="s">
        <v>37</v>
      </c>
      <c r="S1033" s="97">
        <v>21500</v>
      </c>
      <c r="T1033" s="64" t="s">
        <v>33</v>
      </c>
      <c r="U1033" s="65" t="s">
        <v>33</v>
      </c>
      <c r="V1033" s="97" t="s">
        <v>28</v>
      </c>
      <c r="W1033" s="97">
        <f t="shared" ref="W1033:W1034" si="2065">+S1033-M1033</f>
        <v>3200</v>
      </c>
      <c r="X1033" s="97" t="s">
        <v>36</v>
      </c>
      <c r="Y1033" s="97" t="s">
        <v>29</v>
      </c>
      <c r="Z1033" s="105">
        <f t="shared" ref="Z1033:Z1034" si="2066">+W1033*100/M1033</f>
        <v>17.486338797814209</v>
      </c>
      <c r="AA1033" s="93"/>
    </row>
    <row r="1034" spans="1:27" s="101" customFormat="1" hidden="1">
      <c r="A1034" s="97">
        <f>SUBTOTAL(3,C$2:C1034)</f>
        <v>468</v>
      </c>
      <c r="B1034" s="97" t="s">
        <v>1086</v>
      </c>
      <c r="C1034" s="97" t="s">
        <v>1031</v>
      </c>
      <c r="D1034" s="97" t="s">
        <v>32</v>
      </c>
      <c r="E1034" s="97" t="s">
        <v>33</v>
      </c>
      <c r="F1034" s="101" t="s">
        <v>2212</v>
      </c>
      <c r="G1034" s="102" t="s">
        <v>34</v>
      </c>
      <c r="H1034" s="111" t="s">
        <v>2237</v>
      </c>
      <c r="I1034" s="104">
        <v>46167</v>
      </c>
      <c r="J1034" s="97">
        <f t="shared" ca="1" si="2062"/>
        <v>17</v>
      </c>
      <c r="K1034" s="97" t="str">
        <f t="shared" si="2063"/>
        <v>Pending</v>
      </c>
      <c r="L1034" s="101" t="s">
        <v>698</v>
      </c>
      <c r="M1034" s="97">
        <v>18000</v>
      </c>
      <c r="N1034" s="97">
        <v>16000</v>
      </c>
      <c r="O1034" s="104">
        <v>46168</v>
      </c>
      <c r="P1034" s="97">
        <f t="shared" si="2064"/>
        <v>2000</v>
      </c>
      <c r="Q1034" s="97" t="s">
        <v>33</v>
      </c>
      <c r="R1034" s="97" t="s">
        <v>56</v>
      </c>
      <c r="S1034" s="97">
        <v>20500</v>
      </c>
      <c r="T1034" s="64" t="s">
        <v>33</v>
      </c>
      <c r="U1034" s="65" t="s">
        <v>33</v>
      </c>
      <c r="V1034" s="97" t="s">
        <v>28</v>
      </c>
      <c r="W1034" s="97">
        <f t="shared" si="2065"/>
        <v>2500</v>
      </c>
      <c r="X1034" s="97" t="s">
        <v>963</v>
      </c>
      <c r="Y1034" s="97" t="s">
        <v>29</v>
      </c>
      <c r="Z1034" s="105">
        <f t="shared" si="2066"/>
        <v>13.888888888888889</v>
      </c>
      <c r="AA1034" s="93"/>
    </row>
    <row r="1035" spans="1:27" s="101" customFormat="1" hidden="1">
      <c r="A1035" s="97">
        <f>SUBTOTAL(3,C$2:C1035)</f>
        <v>468</v>
      </c>
      <c r="B1035" s="97" t="s">
        <v>1086</v>
      </c>
      <c r="C1035" s="97" t="s">
        <v>1031</v>
      </c>
      <c r="D1035" s="97" t="s">
        <v>32</v>
      </c>
      <c r="E1035" s="97" t="s">
        <v>33</v>
      </c>
      <c r="F1035" s="101" t="s">
        <v>2213</v>
      </c>
      <c r="G1035" s="102" t="s">
        <v>34</v>
      </c>
      <c r="H1035" s="111" t="s">
        <v>2238</v>
      </c>
      <c r="I1035" s="104">
        <v>46167</v>
      </c>
      <c r="J1035" s="97">
        <f t="shared" ref="J1035" ca="1" si="2067">+TODAY()-I1035</f>
        <v>17</v>
      </c>
      <c r="K1035" s="97" t="str">
        <f t="shared" ref="K1035" si="2068">+U1035</f>
        <v>Pending</v>
      </c>
      <c r="L1035" s="101" t="s">
        <v>698</v>
      </c>
      <c r="M1035" s="97">
        <v>18000</v>
      </c>
      <c r="N1035" s="97">
        <v>16000</v>
      </c>
      <c r="O1035" s="104">
        <v>46168</v>
      </c>
      <c r="P1035" s="97">
        <f t="shared" ref="P1035" si="2069">+M1035-N1035</f>
        <v>2000</v>
      </c>
      <c r="Q1035" s="97" t="s">
        <v>33</v>
      </c>
      <c r="R1035" s="97" t="s">
        <v>56</v>
      </c>
      <c r="S1035" s="97">
        <v>20500</v>
      </c>
      <c r="T1035" s="64" t="s">
        <v>33</v>
      </c>
      <c r="U1035" s="65" t="s">
        <v>33</v>
      </c>
      <c r="V1035" s="97" t="s">
        <v>28</v>
      </c>
      <c r="W1035" s="97">
        <f t="shared" ref="W1035" si="2070">+S1035-M1035</f>
        <v>2500</v>
      </c>
      <c r="X1035" s="97" t="s">
        <v>963</v>
      </c>
      <c r="Y1035" s="97" t="s">
        <v>29</v>
      </c>
      <c r="Z1035" s="105">
        <f t="shared" ref="Z1035" si="2071">+W1035*100/M1035</f>
        <v>13.888888888888889</v>
      </c>
      <c r="AA1035" s="93"/>
    </row>
    <row r="1036" spans="1:27" s="101" customFormat="1" hidden="1">
      <c r="A1036" s="97">
        <f>SUBTOTAL(3,C$2:C1036)</f>
        <v>468</v>
      </c>
      <c r="B1036" s="97" t="s">
        <v>1086</v>
      </c>
      <c r="C1036" s="97" t="s">
        <v>1031</v>
      </c>
      <c r="D1036" s="97" t="s">
        <v>32</v>
      </c>
      <c r="E1036" s="97" t="s">
        <v>33</v>
      </c>
      <c r="F1036" s="101" t="s">
        <v>785</v>
      </c>
      <c r="G1036" s="102" t="s">
        <v>34</v>
      </c>
      <c r="H1036" s="111" t="s">
        <v>2239</v>
      </c>
      <c r="I1036" s="104">
        <v>46167</v>
      </c>
      <c r="J1036" s="97">
        <f t="shared" ref="J1036" ca="1" si="2072">+TODAY()-I1036</f>
        <v>17</v>
      </c>
      <c r="K1036" s="97" t="str">
        <f t="shared" ref="K1036" si="2073">+U1036</f>
        <v>Pending</v>
      </c>
      <c r="L1036" s="101" t="s">
        <v>698</v>
      </c>
      <c r="M1036" s="97">
        <v>18000</v>
      </c>
      <c r="N1036" s="97">
        <v>16000</v>
      </c>
      <c r="O1036" s="104">
        <v>46168</v>
      </c>
      <c r="P1036" s="97">
        <f t="shared" ref="P1036" si="2074">+M1036-N1036</f>
        <v>2000</v>
      </c>
      <c r="Q1036" s="97" t="s">
        <v>33</v>
      </c>
      <c r="R1036" s="97" t="s">
        <v>56</v>
      </c>
      <c r="S1036" s="97">
        <v>20500</v>
      </c>
      <c r="T1036" s="64" t="s">
        <v>33</v>
      </c>
      <c r="U1036" s="65" t="s">
        <v>33</v>
      </c>
      <c r="V1036" s="97" t="s">
        <v>28</v>
      </c>
      <c r="W1036" s="97">
        <f t="shared" ref="W1036" si="2075">+S1036-M1036</f>
        <v>2500</v>
      </c>
      <c r="X1036" s="97" t="s">
        <v>963</v>
      </c>
      <c r="Y1036" s="97" t="s">
        <v>29</v>
      </c>
      <c r="Z1036" s="105">
        <f t="shared" ref="Z1036" si="2076">+W1036*100/M1036</f>
        <v>13.888888888888889</v>
      </c>
      <c r="AA1036" s="93"/>
    </row>
    <row r="1037" spans="1:27" s="101" customFormat="1" hidden="1">
      <c r="A1037" s="97">
        <f>SUBTOTAL(3,C$2:C1037)</f>
        <v>468</v>
      </c>
      <c r="B1037" s="97" t="s">
        <v>1086</v>
      </c>
      <c r="C1037" s="97" t="s">
        <v>1031</v>
      </c>
      <c r="D1037" s="97" t="s">
        <v>32</v>
      </c>
      <c r="E1037" s="97" t="s">
        <v>33</v>
      </c>
      <c r="F1037" s="101" t="s">
        <v>2214</v>
      </c>
      <c r="G1037" s="102" t="s">
        <v>34</v>
      </c>
      <c r="H1037" s="111" t="s">
        <v>2240</v>
      </c>
      <c r="I1037" s="104">
        <v>46168</v>
      </c>
      <c r="J1037" s="97">
        <f t="shared" ref="J1037" ca="1" si="2077">+TODAY()-I1037</f>
        <v>16</v>
      </c>
      <c r="K1037" s="97" t="str">
        <f t="shared" ref="K1037" si="2078">+U1037</f>
        <v>Pending</v>
      </c>
      <c r="L1037" s="101" t="s">
        <v>698</v>
      </c>
      <c r="M1037" s="97">
        <v>18000</v>
      </c>
      <c r="N1037" s="97">
        <v>16000</v>
      </c>
      <c r="O1037" s="104">
        <v>46168</v>
      </c>
      <c r="P1037" s="97">
        <f t="shared" ref="P1037" si="2079">+M1037-N1037</f>
        <v>2000</v>
      </c>
      <c r="Q1037" s="97" t="s">
        <v>33</v>
      </c>
      <c r="R1037" s="97" t="s">
        <v>56</v>
      </c>
      <c r="S1037" s="97">
        <v>20500</v>
      </c>
      <c r="T1037" s="64" t="s">
        <v>33</v>
      </c>
      <c r="U1037" s="65" t="s">
        <v>33</v>
      </c>
      <c r="V1037" s="97" t="s">
        <v>28</v>
      </c>
      <c r="W1037" s="97">
        <f t="shared" ref="W1037" si="2080">+S1037-M1037</f>
        <v>2500</v>
      </c>
      <c r="X1037" s="97" t="s">
        <v>963</v>
      </c>
      <c r="Y1037" s="97" t="s">
        <v>29</v>
      </c>
      <c r="Z1037" s="105">
        <f t="shared" ref="Z1037" si="2081">+W1037*100/M1037</f>
        <v>13.888888888888889</v>
      </c>
      <c r="AA1037" s="93"/>
    </row>
    <row r="1038" spans="1:27" s="101" customFormat="1" hidden="1">
      <c r="A1038" s="97">
        <f>SUBTOTAL(3,C$2:C1038)</f>
        <v>468</v>
      </c>
      <c r="B1038" s="97" t="s">
        <v>1086</v>
      </c>
      <c r="C1038" s="97" t="s">
        <v>1031</v>
      </c>
      <c r="D1038" s="97" t="s">
        <v>32</v>
      </c>
      <c r="E1038" s="97" t="s">
        <v>33</v>
      </c>
      <c r="F1038" s="101" t="s">
        <v>182</v>
      </c>
      <c r="G1038" s="102" t="s">
        <v>34</v>
      </c>
      <c r="H1038" s="111" t="s">
        <v>2241</v>
      </c>
      <c r="I1038" s="104">
        <v>46168</v>
      </c>
      <c r="J1038" s="97">
        <f t="shared" ref="J1038:J1066" ca="1" si="2082">+TODAY()-I1038</f>
        <v>16</v>
      </c>
      <c r="K1038" s="97" t="str">
        <f t="shared" ref="K1038:K1066" si="2083">+U1038</f>
        <v>Pending</v>
      </c>
      <c r="L1038" s="101" t="s">
        <v>698</v>
      </c>
      <c r="M1038" s="97">
        <v>18000</v>
      </c>
      <c r="N1038" s="97">
        <v>16000</v>
      </c>
      <c r="O1038" s="104">
        <v>46168</v>
      </c>
      <c r="P1038" s="97">
        <f t="shared" ref="P1038:P1066" si="2084">+M1038-N1038</f>
        <v>2000</v>
      </c>
      <c r="Q1038" s="97" t="s">
        <v>33</v>
      </c>
      <c r="R1038" s="97" t="s">
        <v>56</v>
      </c>
      <c r="S1038" s="97">
        <v>20500</v>
      </c>
      <c r="T1038" s="64" t="s">
        <v>33</v>
      </c>
      <c r="U1038" s="65" t="s">
        <v>33</v>
      </c>
      <c r="V1038" s="97" t="s">
        <v>28</v>
      </c>
      <c r="W1038" s="97">
        <f t="shared" ref="W1038:W1066" si="2085">+S1038-M1038</f>
        <v>2500</v>
      </c>
      <c r="X1038" s="97" t="s">
        <v>963</v>
      </c>
      <c r="Y1038" s="97" t="s">
        <v>29</v>
      </c>
      <c r="Z1038" s="105">
        <f t="shared" ref="Z1038:Z1066" si="2086">+W1038*100/M1038</f>
        <v>13.888888888888889</v>
      </c>
      <c r="AA1038" s="93"/>
    </row>
    <row r="1039" spans="1:27" s="101" customFormat="1" hidden="1">
      <c r="A1039" s="97">
        <f>SUBTOTAL(3,C$2:C1039)</f>
        <v>468</v>
      </c>
      <c r="B1039" s="97" t="s">
        <v>1086</v>
      </c>
      <c r="C1039" s="97" t="s">
        <v>31</v>
      </c>
      <c r="D1039" s="97" t="s">
        <v>32</v>
      </c>
      <c r="E1039" s="97" t="s">
        <v>33</v>
      </c>
      <c r="F1039" s="101" t="s">
        <v>1416</v>
      </c>
      <c r="G1039" s="102" t="s">
        <v>34</v>
      </c>
      <c r="H1039" s="111" t="s">
        <v>2242</v>
      </c>
      <c r="I1039" s="104">
        <v>46168</v>
      </c>
      <c r="J1039" s="97">
        <f t="shared" ca="1" si="2082"/>
        <v>16</v>
      </c>
      <c r="K1039" s="97" t="str">
        <f t="shared" si="2083"/>
        <v>Pending</v>
      </c>
      <c r="L1039" s="101" t="s">
        <v>1697</v>
      </c>
      <c r="M1039" s="97">
        <v>18300</v>
      </c>
      <c r="N1039" s="97">
        <v>16500</v>
      </c>
      <c r="O1039" s="104">
        <v>46168</v>
      </c>
      <c r="P1039" s="97">
        <f t="shared" si="2084"/>
        <v>1800</v>
      </c>
      <c r="Q1039" s="97" t="s">
        <v>33</v>
      </c>
      <c r="R1039" s="97" t="s">
        <v>37</v>
      </c>
      <c r="S1039" s="97">
        <v>21500</v>
      </c>
      <c r="T1039" s="64" t="s">
        <v>33</v>
      </c>
      <c r="U1039" s="65" t="s">
        <v>33</v>
      </c>
      <c r="V1039" s="97" t="s">
        <v>28</v>
      </c>
      <c r="W1039" s="97">
        <f t="shared" si="2085"/>
        <v>3200</v>
      </c>
      <c r="X1039" s="97" t="s">
        <v>36</v>
      </c>
      <c r="Y1039" s="97" t="s">
        <v>29</v>
      </c>
      <c r="Z1039" s="105">
        <f t="shared" si="2086"/>
        <v>17.486338797814209</v>
      </c>
      <c r="AA1039" s="93"/>
    </row>
    <row r="1040" spans="1:27" s="101" customFormat="1" hidden="1">
      <c r="A1040" s="97">
        <f>SUBTOTAL(3,C$2:C1040)</f>
        <v>468</v>
      </c>
      <c r="B1040" s="97" t="s">
        <v>1086</v>
      </c>
      <c r="C1040" s="97" t="s">
        <v>80</v>
      </c>
      <c r="D1040" s="97" t="s">
        <v>32</v>
      </c>
      <c r="E1040" s="97" t="s">
        <v>33</v>
      </c>
      <c r="F1040" s="101" t="s">
        <v>1090</v>
      </c>
      <c r="G1040" s="102" t="s">
        <v>1215</v>
      </c>
      <c r="H1040" s="111" t="s">
        <v>2243</v>
      </c>
      <c r="I1040" s="104">
        <v>46168</v>
      </c>
      <c r="J1040" s="97">
        <f t="shared" ca="1" si="2082"/>
        <v>16</v>
      </c>
      <c r="K1040" s="97" t="str">
        <f t="shared" si="2083"/>
        <v>Pending</v>
      </c>
      <c r="L1040" s="101" t="s">
        <v>1939</v>
      </c>
      <c r="M1040" s="97">
        <v>28000</v>
      </c>
      <c r="N1040" s="97">
        <v>26000</v>
      </c>
      <c r="O1040" s="104">
        <v>46168</v>
      </c>
      <c r="P1040" s="97">
        <f t="shared" si="2084"/>
        <v>2000</v>
      </c>
      <c r="Q1040" s="97" t="s">
        <v>33</v>
      </c>
      <c r="R1040" s="97" t="s">
        <v>39</v>
      </c>
      <c r="S1040" s="97">
        <v>31500</v>
      </c>
      <c r="T1040" s="64" t="s">
        <v>33</v>
      </c>
      <c r="U1040" s="65" t="s">
        <v>33</v>
      </c>
      <c r="V1040" s="97" t="s">
        <v>28</v>
      </c>
      <c r="W1040" s="97">
        <f t="shared" si="2085"/>
        <v>3500</v>
      </c>
      <c r="X1040" s="97" t="s">
        <v>36</v>
      </c>
      <c r="Y1040" s="97" t="s">
        <v>29</v>
      </c>
      <c r="Z1040" s="105">
        <f t="shared" si="2086"/>
        <v>12.5</v>
      </c>
      <c r="AA1040" s="93"/>
    </row>
    <row r="1041" spans="1:27" s="101" customFormat="1" hidden="1">
      <c r="A1041" s="97">
        <f>SUBTOTAL(3,C$2:C1041)</f>
        <v>468</v>
      </c>
      <c r="B1041" s="97" t="s">
        <v>1086</v>
      </c>
      <c r="C1041" s="97" t="s">
        <v>80</v>
      </c>
      <c r="D1041" s="97" t="s">
        <v>32</v>
      </c>
      <c r="E1041" s="97" t="s">
        <v>33</v>
      </c>
      <c r="F1041" s="101" t="s">
        <v>1683</v>
      </c>
      <c r="G1041" s="102" t="s">
        <v>1215</v>
      </c>
      <c r="H1041" s="111" t="s">
        <v>2267</v>
      </c>
      <c r="I1041" s="104">
        <v>46161</v>
      </c>
      <c r="J1041" s="97">
        <f t="shared" ca="1" si="2082"/>
        <v>23</v>
      </c>
      <c r="K1041" s="97">
        <f t="shared" si="2083"/>
        <v>46169</v>
      </c>
      <c r="L1041" s="101" t="s">
        <v>1939</v>
      </c>
      <c r="M1041" s="97">
        <v>28000</v>
      </c>
      <c r="N1041" s="97">
        <v>26000</v>
      </c>
      <c r="O1041" s="104">
        <v>46169</v>
      </c>
      <c r="P1041" s="97">
        <f t="shared" si="2084"/>
        <v>2000</v>
      </c>
      <c r="Q1041" s="97" t="s">
        <v>33</v>
      </c>
      <c r="R1041" s="97" t="s">
        <v>39</v>
      </c>
      <c r="S1041" s="97">
        <v>31500</v>
      </c>
      <c r="T1041" s="64" t="s">
        <v>2689</v>
      </c>
      <c r="U1041" s="65">
        <v>46169</v>
      </c>
      <c r="V1041" s="97" t="s">
        <v>28</v>
      </c>
      <c r="W1041" s="97">
        <f t="shared" si="2085"/>
        <v>3500</v>
      </c>
      <c r="X1041" s="97" t="s">
        <v>36</v>
      </c>
      <c r="Y1041" s="97" t="s">
        <v>29</v>
      </c>
      <c r="Z1041" s="105">
        <f t="shared" si="2086"/>
        <v>12.5</v>
      </c>
      <c r="AA1041" s="93"/>
    </row>
    <row r="1042" spans="1:27" s="101" customFormat="1" hidden="1">
      <c r="A1042" s="97">
        <f>SUBTOTAL(3,C$2:C1042)</f>
        <v>468</v>
      </c>
      <c r="B1042" s="97" t="s">
        <v>1086</v>
      </c>
      <c r="C1042" s="97" t="s">
        <v>31</v>
      </c>
      <c r="D1042" s="97" t="s">
        <v>32</v>
      </c>
      <c r="E1042" s="97" t="s">
        <v>33</v>
      </c>
      <c r="F1042" s="101" t="s">
        <v>936</v>
      </c>
      <c r="G1042" s="102" t="s">
        <v>34</v>
      </c>
      <c r="H1042" s="103" t="s">
        <v>2259</v>
      </c>
      <c r="I1042" s="104">
        <v>46168</v>
      </c>
      <c r="J1042" s="97">
        <f t="shared" ca="1" si="2082"/>
        <v>16</v>
      </c>
      <c r="K1042" s="97" t="str">
        <f t="shared" si="2083"/>
        <v>Pending</v>
      </c>
      <c r="L1042" s="101" t="s">
        <v>1697</v>
      </c>
      <c r="M1042" s="97">
        <v>18300</v>
      </c>
      <c r="N1042" s="97">
        <v>16500</v>
      </c>
      <c r="O1042" s="104">
        <v>46169</v>
      </c>
      <c r="P1042" s="97">
        <f t="shared" si="2084"/>
        <v>1800</v>
      </c>
      <c r="Q1042" s="97" t="s">
        <v>33</v>
      </c>
      <c r="R1042" s="97" t="s">
        <v>37</v>
      </c>
      <c r="S1042" s="97">
        <v>21500</v>
      </c>
      <c r="T1042" s="64" t="s">
        <v>33</v>
      </c>
      <c r="U1042" s="65" t="s">
        <v>33</v>
      </c>
      <c r="V1042" s="97" t="s">
        <v>28</v>
      </c>
      <c r="W1042" s="97">
        <f t="shared" si="2085"/>
        <v>3200</v>
      </c>
      <c r="X1042" s="97" t="s">
        <v>36</v>
      </c>
      <c r="Y1042" s="97" t="s">
        <v>29</v>
      </c>
      <c r="Z1042" s="105">
        <f t="shared" si="2086"/>
        <v>17.486338797814209</v>
      </c>
      <c r="AA1042" s="93"/>
    </row>
    <row r="1043" spans="1:27" s="101" customFormat="1" hidden="1">
      <c r="A1043" s="97">
        <f>SUBTOTAL(3,C$2:C1043)</f>
        <v>468</v>
      </c>
      <c r="B1043" s="97" t="s">
        <v>1086</v>
      </c>
      <c r="C1043" s="97" t="s">
        <v>80</v>
      </c>
      <c r="D1043" s="97" t="s">
        <v>32</v>
      </c>
      <c r="E1043" s="97" t="s">
        <v>33</v>
      </c>
      <c r="F1043" s="101" t="s">
        <v>2260</v>
      </c>
      <c r="G1043" s="102" t="s">
        <v>1215</v>
      </c>
      <c r="H1043" s="111" t="s">
        <v>2261</v>
      </c>
      <c r="I1043" s="104">
        <v>46168</v>
      </c>
      <c r="J1043" s="97">
        <f t="shared" ca="1" si="2082"/>
        <v>16</v>
      </c>
      <c r="K1043" s="97" t="str">
        <f t="shared" si="2083"/>
        <v>Pending</v>
      </c>
      <c r="L1043" s="101" t="s">
        <v>1939</v>
      </c>
      <c r="M1043" s="97">
        <v>28000</v>
      </c>
      <c r="N1043" s="97">
        <v>26000</v>
      </c>
      <c r="O1043" s="104">
        <v>46169</v>
      </c>
      <c r="P1043" s="97">
        <f t="shared" si="2084"/>
        <v>2000</v>
      </c>
      <c r="Q1043" s="97" t="s">
        <v>33</v>
      </c>
      <c r="R1043" s="97" t="s">
        <v>39</v>
      </c>
      <c r="S1043" s="97">
        <v>31500</v>
      </c>
      <c r="T1043" s="64" t="s">
        <v>33</v>
      </c>
      <c r="U1043" s="65" t="s">
        <v>33</v>
      </c>
      <c r="V1043" s="97" t="s">
        <v>28</v>
      </c>
      <c r="W1043" s="97">
        <f t="shared" si="2085"/>
        <v>3500</v>
      </c>
      <c r="X1043" s="97" t="s">
        <v>36</v>
      </c>
      <c r="Y1043" s="97" t="s">
        <v>29</v>
      </c>
      <c r="Z1043" s="105">
        <f t="shared" si="2086"/>
        <v>12.5</v>
      </c>
      <c r="AA1043" s="93"/>
    </row>
    <row r="1044" spans="1:27" s="101" customFormat="1" hidden="1">
      <c r="A1044" s="97">
        <f>SUBTOTAL(3,C$2:C1044)</f>
        <v>468</v>
      </c>
      <c r="B1044" s="97" t="s">
        <v>1086</v>
      </c>
      <c r="C1044" s="97" t="s">
        <v>44</v>
      </c>
      <c r="D1044" s="97" t="s">
        <v>32</v>
      </c>
      <c r="E1044" s="97" t="s">
        <v>33</v>
      </c>
      <c r="F1044" s="101" t="s">
        <v>2262</v>
      </c>
      <c r="G1044" s="102" t="s">
        <v>994</v>
      </c>
      <c r="H1044" s="111" t="s">
        <v>2263</v>
      </c>
      <c r="I1044" s="104">
        <v>46168</v>
      </c>
      <c r="J1044" s="97">
        <f t="shared" ca="1" si="2082"/>
        <v>16</v>
      </c>
      <c r="K1044" s="97" t="str">
        <f t="shared" si="2083"/>
        <v>Pending</v>
      </c>
      <c r="L1044" s="101" t="s">
        <v>995</v>
      </c>
      <c r="M1044" s="97">
        <v>39000</v>
      </c>
      <c r="N1044" s="97">
        <v>36000</v>
      </c>
      <c r="O1044" s="104">
        <v>46169</v>
      </c>
      <c r="P1044" s="97">
        <f t="shared" si="2084"/>
        <v>3000</v>
      </c>
      <c r="Q1044" s="97" t="s">
        <v>33</v>
      </c>
      <c r="R1044" s="97" t="s">
        <v>174</v>
      </c>
      <c r="S1044" s="97">
        <v>44000</v>
      </c>
      <c r="T1044" s="64" t="s">
        <v>33</v>
      </c>
      <c r="U1044" s="65" t="s">
        <v>33</v>
      </c>
      <c r="V1044" s="97" t="s">
        <v>28</v>
      </c>
      <c r="W1044" s="97">
        <f t="shared" si="2085"/>
        <v>5000</v>
      </c>
      <c r="X1044" s="97" t="s">
        <v>36</v>
      </c>
      <c r="Y1044" s="97" t="s">
        <v>29</v>
      </c>
      <c r="Z1044" s="105">
        <f t="shared" si="2086"/>
        <v>12.820512820512821</v>
      </c>
      <c r="AA1044" s="93"/>
    </row>
    <row r="1045" spans="1:27" s="101" customFormat="1" hidden="1">
      <c r="A1045" s="97">
        <f>SUBTOTAL(3,C$2:C1045)</f>
        <v>468</v>
      </c>
      <c r="B1045" s="97" t="s">
        <v>1086</v>
      </c>
      <c r="C1045" s="97" t="s">
        <v>44</v>
      </c>
      <c r="D1045" s="97" t="s">
        <v>32</v>
      </c>
      <c r="E1045" s="97" t="s">
        <v>33</v>
      </c>
      <c r="F1045" s="101" t="s">
        <v>2264</v>
      </c>
      <c r="G1045" s="102" t="s">
        <v>1215</v>
      </c>
      <c r="H1045" s="111" t="s">
        <v>2265</v>
      </c>
      <c r="I1045" s="104">
        <v>46168</v>
      </c>
      <c r="J1045" s="97">
        <f t="shared" ca="1" si="2082"/>
        <v>16</v>
      </c>
      <c r="K1045" s="97" t="str">
        <f t="shared" si="2083"/>
        <v>Pending</v>
      </c>
      <c r="L1045" s="101" t="s">
        <v>995</v>
      </c>
      <c r="M1045" s="97">
        <v>28000</v>
      </c>
      <c r="N1045" s="97">
        <v>26000</v>
      </c>
      <c r="O1045" s="104">
        <v>46169</v>
      </c>
      <c r="P1045" s="97">
        <f t="shared" si="2084"/>
        <v>2000</v>
      </c>
      <c r="Q1045" s="97" t="s">
        <v>33</v>
      </c>
      <c r="R1045" s="97" t="s">
        <v>174</v>
      </c>
      <c r="S1045" s="97">
        <v>31500</v>
      </c>
      <c r="T1045" s="64" t="s">
        <v>33</v>
      </c>
      <c r="U1045" s="65" t="s">
        <v>33</v>
      </c>
      <c r="V1045" s="97" t="s">
        <v>28</v>
      </c>
      <c r="W1045" s="97">
        <f t="shared" si="2085"/>
        <v>3500</v>
      </c>
      <c r="X1045" s="97" t="s">
        <v>36</v>
      </c>
      <c r="Y1045" s="97" t="s">
        <v>29</v>
      </c>
      <c r="Z1045" s="105">
        <f t="shared" si="2086"/>
        <v>12.5</v>
      </c>
      <c r="AA1045" s="93"/>
    </row>
    <row r="1046" spans="1:27" s="101" customFormat="1" hidden="1">
      <c r="A1046" s="97">
        <f>SUBTOTAL(3,C$2:C1046)</f>
        <v>468</v>
      </c>
      <c r="B1046" s="97" t="s">
        <v>1086</v>
      </c>
      <c r="C1046" s="97" t="s">
        <v>31</v>
      </c>
      <c r="D1046" s="97" t="s">
        <v>32</v>
      </c>
      <c r="E1046" s="97" t="s">
        <v>33</v>
      </c>
      <c r="F1046" s="101" t="s">
        <v>2268</v>
      </c>
      <c r="G1046" s="102" t="s">
        <v>34</v>
      </c>
      <c r="H1046" s="111" t="s">
        <v>2269</v>
      </c>
      <c r="I1046" s="104">
        <v>46168</v>
      </c>
      <c r="J1046" s="97">
        <f t="shared" ca="1" si="2082"/>
        <v>16</v>
      </c>
      <c r="K1046" s="97" t="str">
        <f t="shared" si="2083"/>
        <v>Pending</v>
      </c>
      <c r="L1046" s="101" t="s">
        <v>1939</v>
      </c>
      <c r="M1046" s="97">
        <v>28000</v>
      </c>
      <c r="N1046" s="97">
        <v>26000</v>
      </c>
      <c r="O1046" s="104">
        <v>46169</v>
      </c>
      <c r="P1046" s="97">
        <f t="shared" si="2084"/>
        <v>2000</v>
      </c>
      <c r="Q1046" s="97" t="s">
        <v>33</v>
      </c>
      <c r="R1046" s="97" t="s">
        <v>52</v>
      </c>
      <c r="S1046" s="97">
        <v>31500</v>
      </c>
      <c r="T1046" s="64" t="s">
        <v>33</v>
      </c>
      <c r="U1046" s="65" t="s">
        <v>33</v>
      </c>
      <c r="V1046" s="97" t="s">
        <v>28</v>
      </c>
      <c r="W1046" s="97">
        <f t="shared" si="2085"/>
        <v>3500</v>
      </c>
      <c r="X1046" s="97" t="s">
        <v>36</v>
      </c>
      <c r="Y1046" s="97" t="s">
        <v>29</v>
      </c>
      <c r="Z1046" s="105">
        <f t="shared" si="2086"/>
        <v>12.5</v>
      </c>
      <c r="AA1046" s="93"/>
    </row>
    <row r="1047" spans="1:27" s="101" customFormat="1" hidden="1">
      <c r="A1047" s="97">
        <f>SUBTOTAL(3,C$2:C1047)</f>
        <v>468</v>
      </c>
      <c r="B1047" s="97" t="s">
        <v>1086</v>
      </c>
      <c r="C1047" s="97" t="s">
        <v>44</v>
      </c>
      <c r="D1047" s="97" t="s">
        <v>32</v>
      </c>
      <c r="E1047" s="97" t="s">
        <v>33</v>
      </c>
      <c r="F1047" s="101" t="s">
        <v>2270</v>
      </c>
      <c r="G1047" s="102" t="s">
        <v>1215</v>
      </c>
      <c r="H1047" s="103" t="s">
        <v>2271</v>
      </c>
      <c r="I1047" s="104">
        <v>46168</v>
      </c>
      <c r="J1047" s="97">
        <f t="shared" ca="1" si="2082"/>
        <v>16</v>
      </c>
      <c r="K1047" s="97" t="str">
        <f t="shared" si="2083"/>
        <v>Pending</v>
      </c>
      <c r="L1047" s="101" t="s">
        <v>1411</v>
      </c>
      <c r="M1047" s="97">
        <v>31500</v>
      </c>
      <c r="N1047" s="97">
        <v>28500</v>
      </c>
      <c r="O1047" s="104">
        <v>46169</v>
      </c>
      <c r="P1047" s="97">
        <f t="shared" si="2084"/>
        <v>3000</v>
      </c>
      <c r="Q1047" s="97" t="s">
        <v>33</v>
      </c>
      <c r="R1047" s="97" t="s">
        <v>39</v>
      </c>
      <c r="S1047" s="97">
        <v>35000</v>
      </c>
      <c r="T1047" s="64" t="s">
        <v>33</v>
      </c>
      <c r="U1047" s="65" t="s">
        <v>33</v>
      </c>
      <c r="V1047" s="97" t="s">
        <v>28</v>
      </c>
      <c r="W1047" s="97">
        <f t="shared" si="2085"/>
        <v>3500</v>
      </c>
      <c r="X1047" s="97" t="s">
        <v>36</v>
      </c>
      <c r="Y1047" s="97" t="s">
        <v>29</v>
      </c>
      <c r="Z1047" s="105">
        <f t="shared" si="2086"/>
        <v>11.111111111111111</v>
      </c>
      <c r="AA1047" s="93"/>
    </row>
    <row r="1048" spans="1:27" s="101" customFormat="1" hidden="1">
      <c r="A1048" s="97">
        <f>SUBTOTAL(3,C$2:C1048)</f>
        <v>468</v>
      </c>
      <c r="B1048" s="97" t="s">
        <v>1086</v>
      </c>
      <c r="C1048" s="97" t="s">
        <v>1031</v>
      </c>
      <c r="D1048" s="97" t="s">
        <v>32</v>
      </c>
      <c r="E1048" s="97" t="s">
        <v>33</v>
      </c>
      <c r="F1048" s="101" t="s">
        <v>1638</v>
      </c>
      <c r="G1048" s="102" t="s">
        <v>34</v>
      </c>
      <c r="H1048" s="111" t="s">
        <v>2272</v>
      </c>
      <c r="I1048" s="104">
        <v>46168</v>
      </c>
      <c r="J1048" s="97">
        <f t="shared" ca="1" si="2082"/>
        <v>16</v>
      </c>
      <c r="K1048" s="97" t="str">
        <f t="shared" si="2083"/>
        <v>Pending</v>
      </c>
      <c r="L1048" s="101" t="s">
        <v>783</v>
      </c>
      <c r="M1048" s="97">
        <v>18000</v>
      </c>
      <c r="N1048" s="97">
        <v>16000</v>
      </c>
      <c r="O1048" s="104">
        <v>46169</v>
      </c>
      <c r="P1048" s="97">
        <f t="shared" si="2084"/>
        <v>2000</v>
      </c>
      <c r="Q1048" s="97" t="s">
        <v>33</v>
      </c>
      <c r="R1048" s="97" t="s">
        <v>56</v>
      </c>
      <c r="S1048" s="97">
        <v>20500</v>
      </c>
      <c r="T1048" s="64" t="s">
        <v>33</v>
      </c>
      <c r="U1048" s="65" t="s">
        <v>33</v>
      </c>
      <c r="V1048" s="97" t="s">
        <v>28</v>
      </c>
      <c r="W1048" s="97">
        <f t="shared" si="2085"/>
        <v>2500</v>
      </c>
      <c r="X1048" s="97" t="s">
        <v>963</v>
      </c>
      <c r="Y1048" s="97" t="s">
        <v>29</v>
      </c>
      <c r="Z1048" s="105">
        <f t="shared" si="2086"/>
        <v>13.888888888888889</v>
      </c>
      <c r="AA1048" s="93"/>
    </row>
    <row r="1049" spans="1:27" s="101" customFormat="1" hidden="1">
      <c r="A1049" s="97">
        <f>SUBTOTAL(3,C$2:C1049)</f>
        <v>468</v>
      </c>
      <c r="B1049" s="97" t="s">
        <v>1086</v>
      </c>
      <c r="C1049" s="97" t="s">
        <v>31</v>
      </c>
      <c r="D1049" s="97" t="s">
        <v>32</v>
      </c>
      <c r="E1049" s="97" t="s">
        <v>33</v>
      </c>
      <c r="F1049" s="101" t="s">
        <v>296</v>
      </c>
      <c r="G1049" s="102">
        <v>407</v>
      </c>
      <c r="H1049" s="103" t="s">
        <v>2273</v>
      </c>
      <c r="I1049" s="104">
        <v>46169</v>
      </c>
      <c r="J1049" s="97">
        <f t="shared" ca="1" si="2082"/>
        <v>15</v>
      </c>
      <c r="K1049" s="97" t="str">
        <f t="shared" si="2083"/>
        <v>Pending</v>
      </c>
      <c r="L1049" s="101" t="s">
        <v>687</v>
      </c>
      <c r="M1049" s="97">
        <v>29000</v>
      </c>
      <c r="N1049" s="97">
        <v>26000</v>
      </c>
      <c r="O1049" s="104">
        <v>46169</v>
      </c>
      <c r="P1049" s="97">
        <f t="shared" si="2084"/>
        <v>3000</v>
      </c>
      <c r="Q1049" s="97" t="s">
        <v>33</v>
      </c>
      <c r="R1049" s="97" t="s">
        <v>52</v>
      </c>
      <c r="S1049" s="97">
        <v>32500</v>
      </c>
      <c r="T1049" s="64" t="s">
        <v>33</v>
      </c>
      <c r="U1049" s="65" t="s">
        <v>33</v>
      </c>
      <c r="V1049" s="97" t="s">
        <v>28</v>
      </c>
      <c r="W1049" s="97">
        <f t="shared" si="2085"/>
        <v>3500</v>
      </c>
      <c r="X1049" s="97" t="s">
        <v>36</v>
      </c>
      <c r="Y1049" s="97" t="s">
        <v>29</v>
      </c>
      <c r="Z1049" s="105">
        <f t="shared" si="2086"/>
        <v>12.068965517241379</v>
      </c>
      <c r="AA1049" s="93"/>
    </row>
    <row r="1050" spans="1:27" s="101" customFormat="1" hidden="1">
      <c r="A1050" s="97">
        <f>SUBTOTAL(3,C$2:C1050)</f>
        <v>468</v>
      </c>
      <c r="B1050" s="97" t="s">
        <v>1086</v>
      </c>
      <c r="C1050" s="97" t="s">
        <v>31</v>
      </c>
      <c r="D1050" s="97" t="s">
        <v>32</v>
      </c>
      <c r="E1050" s="97" t="s">
        <v>33</v>
      </c>
      <c r="F1050" s="101" t="s">
        <v>379</v>
      </c>
      <c r="G1050" s="102" t="s">
        <v>34</v>
      </c>
      <c r="H1050" s="111" t="s">
        <v>2274</v>
      </c>
      <c r="I1050" s="104">
        <v>46169</v>
      </c>
      <c r="J1050" s="97">
        <f t="shared" ca="1" si="2082"/>
        <v>15</v>
      </c>
      <c r="K1050" s="97" t="str">
        <f t="shared" si="2083"/>
        <v>Pending</v>
      </c>
      <c r="L1050" s="101" t="s">
        <v>1697</v>
      </c>
      <c r="M1050" s="97">
        <v>18300</v>
      </c>
      <c r="N1050" s="97">
        <v>16500</v>
      </c>
      <c r="O1050" s="104">
        <v>46169</v>
      </c>
      <c r="P1050" s="97">
        <f t="shared" si="2084"/>
        <v>1800</v>
      </c>
      <c r="Q1050" s="97" t="s">
        <v>33</v>
      </c>
      <c r="R1050" s="97" t="s">
        <v>37</v>
      </c>
      <c r="S1050" s="97">
        <v>21500</v>
      </c>
      <c r="T1050" s="64" t="s">
        <v>33</v>
      </c>
      <c r="U1050" s="65" t="s">
        <v>33</v>
      </c>
      <c r="V1050" s="97" t="s">
        <v>28</v>
      </c>
      <c r="W1050" s="97">
        <f t="shared" si="2085"/>
        <v>3200</v>
      </c>
      <c r="X1050" s="97" t="s">
        <v>36</v>
      </c>
      <c r="Y1050" s="97" t="s">
        <v>29</v>
      </c>
      <c r="Z1050" s="105">
        <f t="shared" si="2086"/>
        <v>17.486338797814209</v>
      </c>
      <c r="AA1050" s="93"/>
    </row>
    <row r="1051" spans="1:27" s="101" customFormat="1" hidden="1">
      <c r="A1051" s="97">
        <f>SUBTOTAL(3,C$2:C1051)</f>
        <v>468</v>
      </c>
      <c r="B1051" s="97" t="s">
        <v>1086</v>
      </c>
      <c r="C1051" s="97" t="s">
        <v>31</v>
      </c>
      <c r="D1051" s="97" t="s">
        <v>32</v>
      </c>
      <c r="E1051" s="97" t="s">
        <v>33</v>
      </c>
      <c r="F1051" s="101" t="s">
        <v>148</v>
      </c>
      <c r="G1051" s="102" t="s">
        <v>34</v>
      </c>
      <c r="H1051" s="111" t="s">
        <v>2275</v>
      </c>
      <c r="I1051" s="104">
        <v>46169</v>
      </c>
      <c r="J1051" s="97">
        <f t="shared" ca="1" si="2082"/>
        <v>15</v>
      </c>
      <c r="K1051" s="97" t="str">
        <f t="shared" si="2083"/>
        <v>Pending</v>
      </c>
      <c r="L1051" s="101" t="s">
        <v>400</v>
      </c>
      <c r="M1051" s="97">
        <v>23300</v>
      </c>
      <c r="N1051" s="97">
        <v>21500</v>
      </c>
      <c r="O1051" s="104">
        <v>46169</v>
      </c>
      <c r="P1051" s="97">
        <f t="shared" si="2084"/>
        <v>1800</v>
      </c>
      <c r="Q1051" s="97" t="s">
        <v>33</v>
      </c>
      <c r="R1051" s="97" t="s">
        <v>37</v>
      </c>
      <c r="S1051" s="97">
        <v>26000</v>
      </c>
      <c r="T1051" s="64" t="s">
        <v>33</v>
      </c>
      <c r="U1051" s="65" t="s">
        <v>33</v>
      </c>
      <c r="V1051" s="97" t="s">
        <v>28</v>
      </c>
      <c r="W1051" s="97">
        <f t="shared" si="2085"/>
        <v>2700</v>
      </c>
      <c r="X1051" s="97" t="s">
        <v>36</v>
      </c>
      <c r="Y1051" s="97" t="s">
        <v>29</v>
      </c>
      <c r="Z1051" s="105">
        <f t="shared" si="2086"/>
        <v>11.587982832618026</v>
      </c>
      <c r="AA1051" s="93"/>
    </row>
    <row r="1052" spans="1:27" s="101" customFormat="1" hidden="1">
      <c r="A1052" s="97">
        <f>SUBTOTAL(3,C$2:C1052)</f>
        <v>468</v>
      </c>
      <c r="B1052" s="97" t="s">
        <v>1086</v>
      </c>
      <c r="C1052" s="97" t="s">
        <v>1031</v>
      </c>
      <c r="D1052" s="97" t="s">
        <v>32</v>
      </c>
      <c r="E1052" s="97" t="s">
        <v>33</v>
      </c>
      <c r="F1052" s="101" t="s">
        <v>1356</v>
      </c>
      <c r="G1052" s="102" t="s">
        <v>34</v>
      </c>
      <c r="H1052" s="111" t="s">
        <v>2276</v>
      </c>
      <c r="I1052" s="104">
        <v>46169</v>
      </c>
      <c r="J1052" s="97">
        <f t="shared" ca="1" si="2082"/>
        <v>15</v>
      </c>
      <c r="K1052" s="97" t="str">
        <f t="shared" si="2083"/>
        <v>Pending</v>
      </c>
      <c r="L1052" s="101" t="s">
        <v>1411</v>
      </c>
      <c r="M1052" s="97">
        <v>19000</v>
      </c>
      <c r="N1052" s="97">
        <v>17000</v>
      </c>
      <c r="O1052" s="104">
        <v>46169</v>
      </c>
      <c r="P1052" s="97">
        <f t="shared" si="2084"/>
        <v>2000</v>
      </c>
      <c r="Q1052" s="97" t="s">
        <v>33</v>
      </c>
      <c r="R1052" s="97" t="s">
        <v>39</v>
      </c>
      <c r="S1052" s="97">
        <v>21800</v>
      </c>
      <c r="T1052" s="64" t="s">
        <v>33</v>
      </c>
      <c r="U1052" s="65" t="s">
        <v>33</v>
      </c>
      <c r="V1052" s="97" t="s">
        <v>28</v>
      </c>
      <c r="W1052" s="97">
        <f t="shared" si="2085"/>
        <v>2800</v>
      </c>
      <c r="X1052" s="97" t="s">
        <v>963</v>
      </c>
      <c r="Y1052" s="97" t="s">
        <v>29</v>
      </c>
      <c r="Z1052" s="105">
        <f t="shared" si="2086"/>
        <v>14.736842105263158</v>
      </c>
      <c r="AA1052" s="93"/>
    </row>
    <row r="1053" spans="1:27" s="101" customFormat="1" hidden="1">
      <c r="A1053" s="97">
        <f>SUBTOTAL(3,C$2:C1053)</f>
        <v>468</v>
      </c>
      <c r="B1053" s="97" t="s">
        <v>1086</v>
      </c>
      <c r="C1053" s="97" t="s">
        <v>44</v>
      </c>
      <c r="D1053" s="97" t="s">
        <v>32</v>
      </c>
      <c r="E1053" s="97" t="s">
        <v>33</v>
      </c>
      <c r="F1053" s="101" t="s">
        <v>207</v>
      </c>
      <c r="G1053" s="102" t="s">
        <v>1215</v>
      </c>
      <c r="H1053" s="103" t="s">
        <v>2277</v>
      </c>
      <c r="I1053" s="104">
        <v>46169</v>
      </c>
      <c r="J1053" s="97">
        <f t="shared" ca="1" si="2082"/>
        <v>15</v>
      </c>
      <c r="K1053" s="97" t="str">
        <f t="shared" si="2083"/>
        <v>Pending</v>
      </c>
      <c r="L1053" s="101" t="s">
        <v>1411</v>
      </c>
      <c r="M1053" s="97">
        <v>31500</v>
      </c>
      <c r="N1053" s="97">
        <v>28500</v>
      </c>
      <c r="O1053" s="104">
        <v>46169</v>
      </c>
      <c r="P1053" s="97">
        <f t="shared" si="2084"/>
        <v>3000</v>
      </c>
      <c r="Q1053" s="97" t="s">
        <v>33</v>
      </c>
      <c r="R1053" s="97" t="s">
        <v>39</v>
      </c>
      <c r="S1053" s="97">
        <v>35000</v>
      </c>
      <c r="T1053" s="64" t="s">
        <v>33</v>
      </c>
      <c r="U1053" s="65" t="s">
        <v>33</v>
      </c>
      <c r="V1053" s="97" t="s">
        <v>28</v>
      </c>
      <c r="W1053" s="97">
        <f t="shared" si="2085"/>
        <v>3500</v>
      </c>
      <c r="X1053" s="97" t="s">
        <v>36</v>
      </c>
      <c r="Y1053" s="97" t="s">
        <v>29</v>
      </c>
      <c r="Z1053" s="105">
        <f t="shared" si="2086"/>
        <v>11.111111111111111</v>
      </c>
      <c r="AA1053" s="93"/>
    </row>
    <row r="1054" spans="1:27" s="101" customFormat="1" hidden="1">
      <c r="A1054" s="97">
        <f>SUBTOTAL(3,C$2:C1054)</f>
        <v>468</v>
      </c>
      <c r="B1054" s="97" t="s">
        <v>1086</v>
      </c>
      <c r="C1054" s="97" t="s">
        <v>216</v>
      </c>
      <c r="D1054" s="97" t="s">
        <v>32</v>
      </c>
      <c r="E1054" s="97" t="s">
        <v>33</v>
      </c>
      <c r="F1054" s="101" t="s">
        <v>330</v>
      </c>
      <c r="G1054" s="102" t="s">
        <v>50</v>
      </c>
      <c r="H1054" s="111" t="s">
        <v>2278</v>
      </c>
      <c r="I1054" s="104">
        <v>46169</v>
      </c>
      <c r="J1054" s="97">
        <f t="shared" ca="1" si="2082"/>
        <v>15</v>
      </c>
      <c r="K1054" s="97" t="str">
        <f t="shared" si="2083"/>
        <v>Pending</v>
      </c>
      <c r="L1054" s="101" t="s">
        <v>2279</v>
      </c>
      <c r="M1054" s="97">
        <f>3000+44000</f>
        <v>47000</v>
      </c>
      <c r="N1054" s="97">
        <v>40000</v>
      </c>
      <c r="O1054" s="104">
        <v>46169</v>
      </c>
      <c r="P1054" s="97">
        <f t="shared" si="2084"/>
        <v>7000</v>
      </c>
      <c r="Q1054" s="97" t="s">
        <v>33</v>
      </c>
      <c r="R1054" s="97" t="s">
        <v>52</v>
      </c>
      <c r="S1054" s="97">
        <f>5000+48000</f>
        <v>53000</v>
      </c>
      <c r="T1054" s="64" t="s">
        <v>33</v>
      </c>
      <c r="U1054" s="65" t="s">
        <v>33</v>
      </c>
      <c r="V1054" s="97" t="s">
        <v>28</v>
      </c>
      <c r="W1054" s="97">
        <f t="shared" si="2085"/>
        <v>6000</v>
      </c>
      <c r="X1054" s="97" t="s">
        <v>36</v>
      </c>
      <c r="Y1054" s="97" t="s">
        <v>29</v>
      </c>
      <c r="Z1054" s="105">
        <f t="shared" si="2086"/>
        <v>12.76595744680851</v>
      </c>
      <c r="AA1054" s="93"/>
    </row>
    <row r="1055" spans="1:27" s="101" customFormat="1" hidden="1">
      <c r="A1055" s="97">
        <f>SUBTOTAL(3,C$2:C1055)</f>
        <v>468</v>
      </c>
      <c r="B1055" s="97" t="s">
        <v>1086</v>
      </c>
      <c r="C1055" s="97" t="s">
        <v>1031</v>
      </c>
      <c r="D1055" s="97" t="s">
        <v>32</v>
      </c>
      <c r="E1055" s="97" t="s">
        <v>33</v>
      </c>
      <c r="F1055" s="101" t="s">
        <v>967</v>
      </c>
      <c r="G1055" s="102" t="s">
        <v>34</v>
      </c>
      <c r="H1055" s="111" t="s">
        <v>2280</v>
      </c>
      <c r="I1055" s="104">
        <v>46169</v>
      </c>
      <c r="J1055" s="97">
        <f t="shared" ca="1" si="2082"/>
        <v>15</v>
      </c>
      <c r="K1055" s="97" t="str">
        <f t="shared" si="2083"/>
        <v>Pending</v>
      </c>
      <c r="L1055" s="101" t="s">
        <v>1411</v>
      </c>
      <c r="M1055" s="97">
        <v>19000</v>
      </c>
      <c r="N1055" s="97">
        <v>17000</v>
      </c>
      <c r="O1055" s="104">
        <v>46169</v>
      </c>
      <c r="P1055" s="97">
        <f t="shared" si="2084"/>
        <v>2000</v>
      </c>
      <c r="Q1055" s="97" t="s">
        <v>33</v>
      </c>
      <c r="R1055" s="97" t="s">
        <v>39</v>
      </c>
      <c r="S1055" s="97">
        <v>21800</v>
      </c>
      <c r="T1055" s="64" t="s">
        <v>33</v>
      </c>
      <c r="U1055" s="65" t="s">
        <v>33</v>
      </c>
      <c r="V1055" s="97" t="s">
        <v>28</v>
      </c>
      <c r="W1055" s="97">
        <f t="shared" si="2085"/>
        <v>2800</v>
      </c>
      <c r="X1055" s="97" t="s">
        <v>963</v>
      </c>
      <c r="Y1055" s="97" t="s">
        <v>29</v>
      </c>
      <c r="Z1055" s="105">
        <f t="shared" si="2086"/>
        <v>14.736842105263158</v>
      </c>
      <c r="AA1055" s="93"/>
    </row>
    <row r="1056" spans="1:27" s="101" customFormat="1" hidden="1">
      <c r="A1056" s="97">
        <f>SUBTOTAL(3,C$2:C1056)</f>
        <v>468</v>
      </c>
      <c r="B1056" s="97" t="s">
        <v>1086</v>
      </c>
      <c r="C1056" s="97" t="s">
        <v>1031</v>
      </c>
      <c r="D1056" s="97" t="s">
        <v>32</v>
      </c>
      <c r="E1056" s="97" t="s">
        <v>33</v>
      </c>
      <c r="F1056" s="101" t="s">
        <v>1352</v>
      </c>
      <c r="G1056" s="102" t="s">
        <v>34</v>
      </c>
      <c r="H1056" s="111" t="s">
        <v>2281</v>
      </c>
      <c r="I1056" s="104">
        <v>46168</v>
      </c>
      <c r="J1056" s="97">
        <f t="shared" ca="1" si="2082"/>
        <v>16</v>
      </c>
      <c r="K1056" s="97" t="str">
        <f t="shared" si="2083"/>
        <v>Pending</v>
      </c>
      <c r="L1056" s="101" t="s">
        <v>783</v>
      </c>
      <c r="M1056" s="97">
        <v>18000</v>
      </c>
      <c r="N1056" s="97">
        <v>16000</v>
      </c>
      <c r="O1056" s="104">
        <v>46169</v>
      </c>
      <c r="P1056" s="97">
        <f t="shared" si="2084"/>
        <v>2000</v>
      </c>
      <c r="Q1056" s="97" t="s">
        <v>33</v>
      </c>
      <c r="R1056" s="97" t="s">
        <v>56</v>
      </c>
      <c r="S1056" s="97">
        <v>20500</v>
      </c>
      <c r="T1056" s="64" t="s">
        <v>33</v>
      </c>
      <c r="U1056" s="65" t="s">
        <v>33</v>
      </c>
      <c r="V1056" s="97" t="s">
        <v>28</v>
      </c>
      <c r="W1056" s="97">
        <f t="shared" si="2085"/>
        <v>2500</v>
      </c>
      <c r="X1056" s="97" t="s">
        <v>963</v>
      </c>
      <c r="Y1056" s="97" t="s">
        <v>29</v>
      </c>
      <c r="Z1056" s="105">
        <f t="shared" si="2086"/>
        <v>13.888888888888889</v>
      </c>
      <c r="AA1056" s="93"/>
    </row>
    <row r="1057" spans="1:27" s="101" customFormat="1" hidden="1">
      <c r="A1057" s="97">
        <f>SUBTOTAL(3,C$2:C1057)</f>
        <v>468</v>
      </c>
      <c r="B1057" s="97" t="s">
        <v>1086</v>
      </c>
      <c r="C1057" s="97" t="s">
        <v>44</v>
      </c>
      <c r="D1057" s="97" t="s">
        <v>32</v>
      </c>
      <c r="E1057" s="97" t="s">
        <v>33</v>
      </c>
      <c r="F1057" s="101" t="s">
        <v>281</v>
      </c>
      <c r="G1057" s="102">
        <v>407</v>
      </c>
      <c r="H1057" s="103" t="s">
        <v>2282</v>
      </c>
      <c r="I1057" s="104">
        <v>46167</v>
      </c>
      <c r="J1057" s="97">
        <f t="shared" ca="1" si="2082"/>
        <v>17</v>
      </c>
      <c r="K1057" s="97" t="str">
        <f t="shared" si="2083"/>
        <v>Pending</v>
      </c>
      <c r="L1057" s="101" t="s">
        <v>84</v>
      </c>
      <c r="M1057" s="97">
        <v>27500</v>
      </c>
      <c r="N1057" s="97">
        <v>25500</v>
      </c>
      <c r="O1057" s="104">
        <v>46169</v>
      </c>
      <c r="P1057" s="97">
        <f t="shared" si="2084"/>
        <v>2000</v>
      </c>
      <c r="Q1057" s="97" t="s">
        <v>33</v>
      </c>
      <c r="R1057" s="97" t="s">
        <v>2748</v>
      </c>
      <c r="S1057" s="97">
        <v>29800</v>
      </c>
      <c r="T1057" s="64" t="s">
        <v>33</v>
      </c>
      <c r="U1057" s="65" t="s">
        <v>33</v>
      </c>
      <c r="V1057" s="97" t="s">
        <v>28</v>
      </c>
      <c r="W1057" s="97">
        <f t="shared" si="2085"/>
        <v>2300</v>
      </c>
      <c r="X1057" s="97" t="s">
        <v>36</v>
      </c>
      <c r="Y1057" s="97" t="s">
        <v>29</v>
      </c>
      <c r="Z1057" s="105">
        <f t="shared" si="2086"/>
        <v>8.3636363636363633</v>
      </c>
      <c r="AA1057" s="93"/>
    </row>
    <row r="1058" spans="1:27" s="101" customFormat="1" hidden="1">
      <c r="A1058" s="97">
        <f>SUBTOTAL(3,C$2:C1058)</f>
        <v>468</v>
      </c>
      <c r="B1058" s="97" t="s">
        <v>1086</v>
      </c>
      <c r="C1058" s="97" t="s">
        <v>44</v>
      </c>
      <c r="D1058" s="97" t="s">
        <v>32</v>
      </c>
      <c r="E1058" s="97" t="s">
        <v>33</v>
      </c>
      <c r="F1058" s="101" t="s">
        <v>2283</v>
      </c>
      <c r="G1058" s="102">
        <v>407</v>
      </c>
      <c r="H1058" s="111" t="s">
        <v>2284</v>
      </c>
      <c r="I1058" s="104">
        <v>46167</v>
      </c>
      <c r="J1058" s="97">
        <f t="shared" ca="1" si="2082"/>
        <v>17</v>
      </c>
      <c r="K1058" s="97" t="str">
        <f t="shared" si="2083"/>
        <v>Pending</v>
      </c>
      <c r="L1058" s="101" t="s">
        <v>84</v>
      </c>
      <c r="M1058" s="97">
        <v>27500</v>
      </c>
      <c r="N1058" s="97">
        <v>25500</v>
      </c>
      <c r="O1058" s="104">
        <v>46169</v>
      </c>
      <c r="P1058" s="97">
        <f t="shared" si="2084"/>
        <v>2000</v>
      </c>
      <c r="Q1058" s="97" t="s">
        <v>33</v>
      </c>
      <c r="R1058" s="97" t="s">
        <v>56</v>
      </c>
      <c r="S1058" s="97">
        <v>29800</v>
      </c>
      <c r="T1058" s="64" t="s">
        <v>33</v>
      </c>
      <c r="U1058" s="65" t="s">
        <v>33</v>
      </c>
      <c r="V1058" s="97" t="s">
        <v>28</v>
      </c>
      <c r="W1058" s="97">
        <f t="shared" si="2085"/>
        <v>2300</v>
      </c>
      <c r="X1058" s="97" t="s">
        <v>36</v>
      </c>
      <c r="Y1058" s="97" t="s">
        <v>29</v>
      </c>
      <c r="Z1058" s="105">
        <f t="shared" si="2086"/>
        <v>8.3636363636363633</v>
      </c>
      <c r="AA1058" s="93"/>
    </row>
    <row r="1059" spans="1:27" s="101" customFormat="1" hidden="1">
      <c r="A1059" s="97">
        <f>SUBTOTAL(3,C$2:C1059)</f>
        <v>468</v>
      </c>
      <c r="B1059" s="97" t="s">
        <v>1086</v>
      </c>
      <c r="C1059" s="97" t="s">
        <v>31</v>
      </c>
      <c r="D1059" s="97" t="s">
        <v>32</v>
      </c>
      <c r="E1059" s="97" t="s">
        <v>33</v>
      </c>
      <c r="F1059" s="101" t="s">
        <v>2285</v>
      </c>
      <c r="G1059" s="102" t="s">
        <v>34</v>
      </c>
      <c r="H1059" s="111" t="s">
        <v>2286</v>
      </c>
      <c r="I1059" s="104">
        <v>46168</v>
      </c>
      <c r="J1059" s="97">
        <f t="shared" ca="1" si="2082"/>
        <v>16</v>
      </c>
      <c r="K1059" s="97" t="str">
        <f t="shared" si="2083"/>
        <v>Pending</v>
      </c>
      <c r="L1059" s="101" t="s">
        <v>111</v>
      </c>
      <c r="M1059" s="97">
        <v>11700</v>
      </c>
      <c r="N1059" s="97">
        <v>10700</v>
      </c>
      <c r="O1059" s="104">
        <v>46169</v>
      </c>
      <c r="P1059" s="97">
        <f t="shared" si="2084"/>
        <v>1000</v>
      </c>
      <c r="Q1059" s="97" t="s">
        <v>33</v>
      </c>
      <c r="R1059" s="97" t="s">
        <v>112</v>
      </c>
      <c r="S1059" s="97">
        <v>13500</v>
      </c>
      <c r="T1059" s="64" t="s">
        <v>33</v>
      </c>
      <c r="U1059" s="65" t="s">
        <v>33</v>
      </c>
      <c r="V1059" s="97" t="s">
        <v>28</v>
      </c>
      <c r="W1059" s="97">
        <f t="shared" si="2085"/>
        <v>1800</v>
      </c>
      <c r="X1059" s="97" t="s">
        <v>36</v>
      </c>
      <c r="Y1059" s="97" t="s">
        <v>29</v>
      </c>
      <c r="Z1059" s="105">
        <f t="shared" si="2086"/>
        <v>15.384615384615385</v>
      </c>
      <c r="AA1059" s="93"/>
    </row>
    <row r="1060" spans="1:27" s="101" customFormat="1" hidden="1">
      <c r="A1060" s="97">
        <f>SUBTOTAL(3,C$2:C1060)</f>
        <v>468</v>
      </c>
      <c r="B1060" s="97" t="s">
        <v>1086</v>
      </c>
      <c r="C1060" s="97" t="s">
        <v>31</v>
      </c>
      <c r="D1060" s="97" t="s">
        <v>32</v>
      </c>
      <c r="E1060" s="97" t="s">
        <v>33</v>
      </c>
      <c r="F1060" s="101" t="s">
        <v>1344</v>
      </c>
      <c r="G1060" s="102" t="s">
        <v>34</v>
      </c>
      <c r="H1060" s="103" t="s">
        <v>2287</v>
      </c>
      <c r="I1060" s="104">
        <v>46169</v>
      </c>
      <c r="J1060" s="97">
        <f t="shared" ca="1" si="2082"/>
        <v>15</v>
      </c>
      <c r="K1060" s="97" t="str">
        <f t="shared" si="2083"/>
        <v>Pending</v>
      </c>
      <c r="L1060" s="101" t="s">
        <v>1697</v>
      </c>
      <c r="M1060" s="97">
        <v>18300</v>
      </c>
      <c r="N1060" s="97">
        <v>16500</v>
      </c>
      <c r="O1060" s="104">
        <v>46169</v>
      </c>
      <c r="P1060" s="97">
        <f t="shared" si="2084"/>
        <v>1800</v>
      </c>
      <c r="Q1060" s="97" t="s">
        <v>33</v>
      </c>
      <c r="R1060" s="97" t="s">
        <v>37</v>
      </c>
      <c r="S1060" s="97">
        <v>21500</v>
      </c>
      <c r="T1060" s="64" t="s">
        <v>33</v>
      </c>
      <c r="U1060" s="65" t="s">
        <v>33</v>
      </c>
      <c r="V1060" s="97" t="s">
        <v>28</v>
      </c>
      <c r="W1060" s="97">
        <f t="shared" si="2085"/>
        <v>3200</v>
      </c>
      <c r="X1060" s="97" t="s">
        <v>36</v>
      </c>
      <c r="Y1060" s="97" t="s">
        <v>29</v>
      </c>
      <c r="Z1060" s="105">
        <f t="shared" si="2086"/>
        <v>17.486338797814209</v>
      </c>
      <c r="AA1060" s="93"/>
    </row>
    <row r="1061" spans="1:27" s="101" customFormat="1" hidden="1">
      <c r="A1061" s="97">
        <f>SUBTOTAL(3,C$2:C1061)</f>
        <v>468</v>
      </c>
      <c r="B1061" s="97" t="s">
        <v>1086</v>
      </c>
      <c r="C1061" s="97" t="s">
        <v>1031</v>
      </c>
      <c r="D1061" s="97" t="s">
        <v>32</v>
      </c>
      <c r="E1061" s="97" t="s">
        <v>33</v>
      </c>
      <c r="F1061" s="101" t="s">
        <v>2288</v>
      </c>
      <c r="G1061" s="102" t="s">
        <v>34</v>
      </c>
      <c r="H1061" s="111" t="s">
        <v>2289</v>
      </c>
      <c r="I1061" s="104">
        <v>46168</v>
      </c>
      <c r="J1061" s="97">
        <f t="shared" ca="1" si="2082"/>
        <v>16</v>
      </c>
      <c r="K1061" s="97" t="str">
        <f t="shared" si="2083"/>
        <v>Pending</v>
      </c>
      <c r="L1061" s="101" t="s">
        <v>783</v>
      </c>
      <c r="M1061" s="97">
        <v>18000</v>
      </c>
      <c r="N1061" s="97">
        <v>16000</v>
      </c>
      <c r="O1061" s="104">
        <v>46169</v>
      </c>
      <c r="P1061" s="97">
        <f t="shared" si="2084"/>
        <v>2000</v>
      </c>
      <c r="Q1061" s="97" t="s">
        <v>33</v>
      </c>
      <c r="R1061" s="97" t="s">
        <v>56</v>
      </c>
      <c r="S1061" s="97">
        <v>20500</v>
      </c>
      <c r="T1061" s="64" t="s">
        <v>33</v>
      </c>
      <c r="U1061" s="65" t="s">
        <v>33</v>
      </c>
      <c r="V1061" s="97" t="s">
        <v>28</v>
      </c>
      <c r="W1061" s="97">
        <f t="shared" si="2085"/>
        <v>2500</v>
      </c>
      <c r="X1061" s="97" t="s">
        <v>963</v>
      </c>
      <c r="Y1061" s="97" t="s">
        <v>29</v>
      </c>
      <c r="Z1061" s="105">
        <f t="shared" si="2086"/>
        <v>13.888888888888889</v>
      </c>
      <c r="AA1061" s="93"/>
    </row>
    <row r="1062" spans="1:27" s="101" customFormat="1" hidden="1">
      <c r="A1062" s="97">
        <f>SUBTOTAL(3,C$2:C1062)</f>
        <v>468</v>
      </c>
      <c r="B1062" s="97" t="s">
        <v>1086</v>
      </c>
      <c r="C1062" s="97" t="s">
        <v>1031</v>
      </c>
      <c r="D1062" s="97" t="s">
        <v>32</v>
      </c>
      <c r="E1062" s="97" t="s">
        <v>33</v>
      </c>
      <c r="F1062" s="101" t="s">
        <v>1213</v>
      </c>
      <c r="G1062" s="102" t="s">
        <v>34</v>
      </c>
      <c r="H1062" s="111" t="s">
        <v>2290</v>
      </c>
      <c r="I1062" s="104">
        <v>46168</v>
      </c>
      <c r="J1062" s="97">
        <f t="shared" ca="1" si="2082"/>
        <v>16</v>
      </c>
      <c r="K1062" s="97" t="str">
        <f t="shared" si="2083"/>
        <v>Pending</v>
      </c>
      <c r="L1062" s="101" t="s">
        <v>783</v>
      </c>
      <c r="M1062" s="97">
        <v>18000</v>
      </c>
      <c r="N1062" s="97">
        <v>16000</v>
      </c>
      <c r="O1062" s="104">
        <v>46169</v>
      </c>
      <c r="P1062" s="97">
        <f t="shared" si="2084"/>
        <v>2000</v>
      </c>
      <c r="Q1062" s="97" t="s">
        <v>33</v>
      </c>
      <c r="R1062" s="97" t="s">
        <v>56</v>
      </c>
      <c r="S1062" s="97">
        <v>20500</v>
      </c>
      <c r="T1062" s="64" t="s">
        <v>33</v>
      </c>
      <c r="U1062" s="65" t="s">
        <v>33</v>
      </c>
      <c r="V1062" s="97" t="s">
        <v>28</v>
      </c>
      <c r="W1062" s="97">
        <f t="shared" si="2085"/>
        <v>2500</v>
      </c>
      <c r="X1062" s="97" t="s">
        <v>963</v>
      </c>
      <c r="Y1062" s="97" t="s">
        <v>29</v>
      </c>
      <c r="Z1062" s="105">
        <f t="shared" si="2086"/>
        <v>13.888888888888889</v>
      </c>
      <c r="AA1062" s="93"/>
    </row>
    <row r="1063" spans="1:27" s="101" customFormat="1" hidden="1">
      <c r="A1063" s="97">
        <f>SUBTOTAL(3,C$2:C1063)</f>
        <v>468</v>
      </c>
      <c r="B1063" s="97" t="s">
        <v>1086</v>
      </c>
      <c r="C1063" s="97" t="s">
        <v>44</v>
      </c>
      <c r="D1063" s="97" t="s">
        <v>32</v>
      </c>
      <c r="E1063" s="97" t="s">
        <v>33</v>
      </c>
      <c r="F1063" s="101" t="s">
        <v>2291</v>
      </c>
      <c r="G1063" s="102" t="s">
        <v>994</v>
      </c>
      <c r="H1063" s="111" t="s">
        <v>2292</v>
      </c>
      <c r="I1063" s="104">
        <v>46169</v>
      </c>
      <c r="J1063" s="97">
        <f t="shared" ca="1" si="2082"/>
        <v>15</v>
      </c>
      <c r="K1063" s="97" t="str">
        <f t="shared" si="2083"/>
        <v>Pending</v>
      </c>
      <c r="L1063" s="101" t="s">
        <v>609</v>
      </c>
      <c r="M1063" s="97">
        <v>38500</v>
      </c>
      <c r="N1063" s="97">
        <v>35500</v>
      </c>
      <c r="O1063" s="104">
        <v>46169</v>
      </c>
      <c r="P1063" s="97">
        <f t="shared" si="2084"/>
        <v>3000</v>
      </c>
      <c r="Q1063" s="97" t="s">
        <v>33</v>
      </c>
      <c r="R1063" s="97" t="s">
        <v>52</v>
      </c>
      <c r="S1063" s="97">
        <v>41500</v>
      </c>
      <c r="T1063" s="64" t="s">
        <v>33</v>
      </c>
      <c r="U1063" s="65" t="s">
        <v>33</v>
      </c>
      <c r="V1063" s="97" t="s">
        <v>28</v>
      </c>
      <c r="W1063" s="97">
        <f t="shared" si="2085"/>
        <v>3000</v>
      </c>
      <c r="X1063" s="97" t="s">
        <v>36</v>
      </c>
      <c r="Y1063" s="97" t="s">
        <v>29</v>
      </c>
      <c r="Z1063" s="105">
        <f t="shared" si="2086"/>
        <v>7.7922077922077921</v>
      </c>
      <c r="AA1063" s="93"/>
    </row>
    <row r="1064" spans="1:27" s="101" customFormat="1" hidden="1">
      <c r="A1064" s="97">
        <f>SUBTOTAL(3,C$2:C1064)</f>
        <v>468</v>
      </c>
      <c r="B1064" s="97" t="s">
        <v>1086</v>
      </c>
      <c r="C1064" s="97" t="s">
        <v>156</v>
      </c>
      <c r="D1064" s="97" t="s">
        <v>32</v>
      </c>
      <c r="E1064" s="97" t="s">
        <v>33</v>
      </c>
      <c r="F1064" s="101" t="s">
        <v>164</v>
      </c>
      <c r="G1064" s="102" t="s">
        <v>67</v>
      </c>
      <c r="H1064" s="103" t="s">
        <v>2293</v>
      </c>
      <c r="I1064" s="104">
        <v>46167</v>
      </c>
      <c r="J1064" s="97">
        <f t="shared" ca="1" si="2082"/>
        <v>17</v>
      </c>
      <c r="K1064" s="97" t="str">
        <f t="shared" si="2083"/>
        <v>Pending</v>
      </c>
      <c r="L1064" s="101" t="s">
        <v>830</v>
      </c>
      <c r="M1064" s="97">
        <v>23000</v>
      </c>
      <c r="N1064" s="97">
        <v>23000</v>
      </c>
      <c r="O1064" s="104">
        <v>46167</v>
      </c>
      <c r="P1064" s="97">
        <f t="shared" si="2084"/>
        <v>0</v>
      </c>
      <c r="Q1064" s="97" t="s">
        <v>33</v>
      </c>
      <c r="R1064" s="97" t="s">
        <v>78</v>
      </c>
      <c r="S1064" s="97">
        <v>25500</v>
      </c>
      <c r="T1064" s="64" t="s">
        <v>33</v>
      </c>
      <c r="U1064" s="65" t="s">
        <v>33</v>
      </c>
      <c r="V1064" s="97" t="s">
        <v>28</v>
      </c>
      <c r="W1064" s="97">
        <f t="shared" si="2085"/>
        <v>2500</v>
      </c>
      <c r="X1064" s="97" t="s">
        <v>36</v>
      </c>
      <c r="Y1064" s="97" t="s">
        <v>29</v>
      </c>
      <c r="Z1064" s="105">
        <f t="shared" si="2086"/>
        <v>10.869565217391305</v>
      </c>
      <c r="AA1064" s="93"/>
    </row>
    <row r="1065" spans="1:27" s="101" customFormat="1" hidden="1">
      <c r="A1065" s="97">
        <f>SUBTOTAL(3,C$2:C1065)</f>
        <v>468</v>
      </c>
      <c r="B1065" s="97" t="s">
        <v>1086</v>
      </c>
      <c r="C1065" s="97" t="s">
        <v>31</v>
      </c>
      <c r="D1065" s="97" t="s">
        <v>32</v>
      </c>
      <c r="E1065" s="97" t="s">
        <v>33</v>
      </c>
      <c r="F1065" s="101" t="s">
        <v>2311</v>
      </c>
      <c r="G1065" s="102" t="s">
        <v>34</v>
      </c>
      <c r="H1065" s="111" t="s">
        <v>2320</v>
      </c>
      <c r="I1065" s="104">
        <v>46169</v>
      </c>
      <c r="J1065" s="97">
        <f t="shared" ca="1" si="2082"/>
        <v>15</v>
      </c>
      <c r="K1065" s="97" t="str">
        <f t="shared" si="2083"/>
        <v>Pending</v>
      </c>
      <c r="L1065" s="101" t="s">
        <v>1697</v>
      </c>
      <c r="M1065" s="97">
        <v>18300</v>
      </c>
      <c r="N1065" s="97">
        <v>16500</v>
      </c>
      <c r="O1065" s="104">
        <v>46170</v>
      </c>
      <c r="P1065" s="97">
        <f t="shared" si="2084"/>
        <v>1800</v>
      </c>
      <c r="Q1065" s="97" t="s">
        <v>33</v>
      </c>
      <c r="R1065" s="97" t="s">
        <v>78</v>
      </c>
      <c r="S1065" s="97">
        <v>21500</v>
      </c>
      <c r="T1065" s="64" t="s">
        <v>33</v>
      </c>
      <c r="U1065" s="65" t="s">
        <v>33</v>
      </c>
      <c r="V1065" s="97" t="s">
        <v>28</v>
      </c>
      <c r="W1065" s="97">
        <f t="shared" si="2085"/>
        <v>3200</v>
      </c>
      <c r="X1065" s="97" t="s">
        <v>36</v>
      </c>
      <c r="Y1065" s="97" t="s">
        <v>29</v>
      </c>
      <c r="Z1065" s="105">
        <f t="shared" si="2086"/>
        <v>17.486338797814209</v>
      </c>
      <c r="AA1065" s="93"/>
    </row>
    <row r="1066" spans="1:27" s="101" customFormat="1" hidden="1">
      <c r="A1066" s="97">
        <f>SUBTOTAL(3,C$2:C1066)</f>
        <v>468</v>
      </c>
      <c r="B1066" s="97" t="s">
        <v>1086</v>
      </c>
      <c r="C1066" s="97" t="s">
        <v>31</v>
      </c>
      <c r="D1066" s="97" t="s">
        <v>32</v>
      </c>
      <c r="E1066" s="97" t="s">
        <v>33</v>
      </c>
      <c r="F1066" s="101" t="s">
        <v>1574</v>
      </c>
      <c r="G1066" s="102" t="s">
        <v>34</v>
      </c>
      <c r="H1066" s="111" t="s">
        <v>2321</v>
      </c>
      <c r="I1066" s="104">
        <v>46169</v>
      </c>
      <c r="J1066" s="97">
        <f t="shared" ca="1" si="2082"/>
        <v>15</v>
      </c>
      <c r="K1066" s="97" t="str">
        <f t="shared" si="2083"/>
        <v>Pending</v>
      </c>
      <c r="L1066" s="101" t="s">
        <v>2312</v>
      </c>
      <c r="M1066" s="97">
        <v>24000</v>
      </c>
      <c r="N1066" s="97">
        <v>22000</v>
      </c>
      <c r="O1066" s="104">
        <v>46170</v>
      </c>
      <c r="P1066" s="97">
        <f t="shared" si="2084"/>
        <v>2000</v>
      </c>
      <c r="Q1066" s="97" t="s">
        <v>33</v>
      </c>
      <c r="R1066" s="97" t="s">
        <v>37</v>
      </c>
      <c r="S1066" s="97">
        <v>26000</v>
      </c>
      <c r="T1066" s="64" t="s">
        <v>33</v>
      </c>
      <c r="U1066" s="65" t="s">
        <v>33</v>
      </c>
      <c r="V1066" s="97" t="s">
        <v>28</v>
      </c>
      <c r="W1066" s="97">
        <f t="shared" si="2085"/>
        <v>2000</v>
      </c>
      <c r="X1066" s="97" t="s">
        <v>36</v>
      </c>
      <c r="Y1066" s="97" t="s">
        <v>29</v>
      </c>
      <c r="Z1066" s="105">
        <f t="shared" si="2086"/>
        <v>8.3333333333333339</v>
      </c>
      <c r="AA1066" s="93"/>
    </row>
    <row r="1067" spans="1:27" s="101" customFormat="1" hidden="1">
      <c r="A1067" s="97">
        <f>SUBTOTAL(3,C$2:C1067)</f>
        <v>468</v>
      </c>
      <c r="B1067" s="97" t="s">
        <v>1086</v>
      </c>
      <c r="C1067" s="97" t="s">
        <v>44</v>
      </c>
      <c r="D1067" s="97" t="s">
        <v>32</v>
      </c>
      <c r="E1067" s="97" t="s">
        <v>33</v>
      </c>
      <c r="F1067" s="101" t="s">
        <v>2307</v>
      </c>
      <c r="G1067" s="102" t="s">
        <v>994</v>
      </c>
      <c r="H1067" s="111" t="s">
        <v>2322</v>
      </c>
      <c r="I1067" s="104">
        <v>46169</v>
      </c>
      <c r="J1067" s="97">
        <f t="shared" ref="J1067:J1069" ca="1" si="2087">+TODAY()-I1067</f>
        <v>15</v>
      </c>
      <c r="K1067" s="97" t="str">
        <f t="shared" ref="K1067:K1069" si="2088">+U1067</f>
        <v>Pending</v>
      </c>
      <c r="L1067" s="101" t="s">
        <v>995</v>
      </c>
      <c r="M1067" s="97">
        <v>39000</v>
      </c>
      <c r="N1067" s="97">
        <v>36000</v>
      </c>
      <c r="O1067" s="104">
        <v>46170</v>
      </c>
      <c r="P1067" s="97">
        <f t="shared" ref="P1067:P1069" si="2089">+M1067-N1067</f>
        <v>3000</v>
      </c>
      <c r="Q1067" s="97" t="s">
        <v>33</v>
      </c>
      <c r="R1067" s="97" t="s">
        <v>52</v>
      </c>
      <c r="S1067" s="97">
        <v>44000</v>
      </c>
      <c r="T1067" s="64" t="s">
        <v>33</v>
      </c>
      <c r="U1067" s="65" t="s">
        <v>33</v>
      </c>
      <c r="V1067" s="97" t="s">
        <v>28</v>
      </c>
      <c r="W1067" s="97">
        <f t="shared" ref="W1067:W1069" si="2090">+S1067-M1067</f>
        <v>5000</v>
      </c>
      <c r="X1067" s="97" t="s">
        <v>36</v>
      </c>
      <c r="Y1067" s="97" t="s">
        <v>29</v>
      </c>
      <c r="Z1067" s="105">
        <f t="shared" ref="Z1067:Z1069" si="2091">+W1067*100/M1067</f>
        <v>12.820512820512821</v>
      </c>
      <c r="AA1067" s="93"/>
    </row>
    <row r="1068" spans="1:27" s="101" customFormat="1" hidden="1">
      <c r="A1068" s="97">
        <f>SUBTOTAL(3,C$2:C1068)</f>
        <v>468</v>
      </c>
      <c r="B1068" s="97" t="s">
        <v>1086</v>
      </c>
      <c r="C1068" s="97" t="s">
        <v>1031</v>
      </c>
      <c r="D1068" s="97" t="s">
        <v>32</v>
      </c>
      <c r="E1068" s="97" t="s">
        <v>33</v>
      </c>
      <c r="F1068" s="101" t="s">
        <v>2021</v>
      </c>
      <c r="G1068" s="102" t="s">
        <v>34</v>
      </c>
      <c r="H1068" s="111" t="s">
        <v>2323</v>
      </c>
      <c r="I1068" s="104">
        <v>46169</v>
      </c>
      <c r="J1068" s="97">
        <f t="shared" ca="1" si="2087"/>
        <v>15</v>
      </c>
      <c r="K1068" s="97" t="str">
        <f t="shared" si="2088"/>
        <v>Pending</v>
      </c>
      <c r="L1068" s="101" t="s">
        <v>2308</v>
      </c>
      <c r="M1068" s="97">
        <v>19000</v>
      </c>
      <c r="N1068" s="97">
        <v>17000</v>
      </c>
      <c r="O1068" s="104">
        <v>46170</v>
      </c>
      <c r="P1068" s="97">
        <f t="shared" si="2089"/>
        <v>2000</v>
      </c>
      <c r="Q1068" s="97" t="s">
        <v>33</v>
      </c>
      <c r="R1068" s="97" t="s">
        <v>39</v>
      </c>
      <c r="S1068" s="97">
        <v>21800</v>
      </c>
      <c r="T1068" s="64" t="s">
        <v>33</v>
      </c>
      <c r="U1068" s="65" t="s">
        <v>33</v>
      </c>
      <c r="V1068" s="97" t="s">
        <v>28</v>
      </c>
      <c r="W1068" s="97">
        <f t="shared" si="2090"/>
        <v>2800</v>
      </c>
      <c r="X1068" s="97" t="s">
        <v>963</v>
      </c>
      <c r="Y1068" s="97" t="s">
        <v>29</v>
      </c>
      <c r="Z1068" s="105">
        <f t="shared" si="2091"/>
        <v>14.736842105263158</v>
      </c>
      <c r="AA1068" s="93"/>
    </row>
    <row r="1069" spans="1:27" hidden="1">
      <c r="A1069" s="64">
        <f>SUBTOTAL(3,C$2:C1069)</f>
        <v>468</v>
      </c>
      <c r="B1069" s="64" t="s">
        <v>1086</v>
      </c>
      <c r="C1069" s="64" t="s">
        <v>31</v>
      </c>
      <c r="D1069" s="64" t="s">
        <v>32</v>
      </c>
      <c r="E1069" s="64" t="s">
        <v>33</v>
      </c>
      <c r="F1069" s="63" t="s">
        <v>2309</v>
      </c>
      <c r="G1069" s="91" t="s">
        <v>34</v>
      </c>
      <c r="H1069" s="77" t="s">
        <v>2324</v>
      </c>
      <c r="I1069" s="65">
        <v>46169</v>
      </c>
      <c r="J1069" s="64">
        <f t="shared" ca="1" si="2087"/>
        <v>15</v>
      </c>
      <c r="K1069" s="64" t="str">
        <f t="shared" si="2088"/>
        <v>Pending</v>
      </c>
      <c r="L1069" s="63" t="s">
        <v>1697</v>
      </c>
      <c r="M1069" s="64">
        <v>18300</v>
      </c>
      <c r="N1069" s="64">
        <v>16500</v>
      </c>
      <c r="O1069" s="65">
        <v>46170</v>
      </c>
      <c r="P1069" s="64">
        <f t="shared" si="2089"/>
        <v>1800</v>
      </c>
      <c r="Q1069" s="64" t="s">
        <v>33</v>
      </c>
      <c r="R1069" s="64" t="s">
        <v>37</v>
      </c>
      <c r="S1069" s="64">
        <v>21500</v>
      </c>
      <c r="T1069" s="64" t="s">
        <v>33</v>
      </c>
      <c r="U1069" s="65" t="s">
        <v>33</v>
      </c>
      <c r="V1069" s="64" t="s">
        <v>28</v>
      </c>
      <c r="W1069" s="64">
        <f t="shared" si="2090"/>
        <v>3200</v>
      </c>
      <c r="X1069" s="64" t="s">
        <v>36</v>
      </c>
      <c r="Y1069" s="64" t="s">
        <v>29</v>
      </c>
      <c r="Z1069" s="71">
        <f t="shared" si="2091"/>
        <v>17.486338797814209</v>
      </c>
      <c r="AA1069" s="93"/>
    </row>
    <row r="1070" spans="1:27" s="101" customFormat="1" hidden="1">
      <c r="A1070" s="97">
        <f>SUBTOTAL(3,C$2:C1070)</f>
        <v>468</v>
      </c>
      <c r="B1070" s="97" t="s">
        <v>1086</v>
      </c>
      <c r="C1070" s="97" t="s">
        <v>44</v>
      </c>
      <c r="D1070" s="97" t="s">
        <v>32</v>
      </c>
      <c r="E1070" s="97" t="s">
        <v>33</v>
      </c>
      <c r="F1070" s="101" t="s">
        <v>1433</v>
      </c>
      <c r="G1070" s="102" t="s">
        <v>994</v>
      </c>
      <c r="H1070" s="103" t="s">
        <v>2325</v>
      </c>
      <c r="I1070" s="104">
        <v>46169</v>
      </c>
      <c r="J1070" s="97">
        <f t="shared" ref="J1070" ca="1" si="2092">+TODAY()-I1070</f>
        <v>15</v>
      </c>
      <c r="K1070" s="97" t="str">
        <f t="shared" ref="K1070" si="2093">+U1070</f>
        <v>Pending</v>
      </c>
      <c r="L1070" s="101" t="s">
        <v>2310</v>
      </c>
      <c r="M1070" s="97">
        <v>29500</v>
      </c>
      <c r="N1070" s="97">
        <v>26500</v>
      </c>
      <c r="O1070" s="104">
        <v>46170</v>
      </c>
      <c r="P1070" s="97">
        <f t="shared" ref="P1070" si="2094">+M1070-N1070</f>
        <v>3000</v>
      </c>
      <c r="Q1070" s="97" t="s">
        <v>33</v>
      </c>
      <c r="R1070" s="97" t="s">
        <v>52</v>
      </c>
      <c r="S1070" s="97">
        <v>32500</v>
      </c>
      <c r="T1070" s="64" t="s">
        <v>33</v>
      </c>
      <c r="U1070" s="65" t="s">
        <v>33</v>
      </c>
      <c r="V1070" s="97" t="s">
        <v>28</v>
      </c>
      <c r="W1070" s="97">
        <f t="shared" ref="W1070" si="2095">+S1070-M1070</f>
        <v>3000</v>
      </c>
      <c r="X1070" s="97" t="s">
        <v>36</v>
      </c>
      <c r="Y1070" s="97" t="s">
        <v>29</v>
      </c>
      <c r="Z1070" s="105">
        <f t="shared" ref="Z1070" si="2096">+W1070*100/M1070</f>
        <v>10.169491525423728</v>
      </c>
      <c r="AA1070" s="93"/>
    </row>
    <row r="1071" spans="1:27" s="101" customFormat="1" hidden="1">
      <c r="A1071" s="97">
        <f>SUBTOTAL(3,C$2:C1071)</f>
        <v>468</v>
      </c>
      <c r="B1071" s="97" t="s">
        <v>1086</v>
      </c>
      <c r="C1071" s="97" t="s">
        <v>31</v>
      </c>
      <c r="D1071" s="97" t="s">
        <v>32</v>
      </c>
      <c r="E1071" s="97" t="s">
        <v>33</v>
      </c>
      <c r="F1071" s="101" t="s">
        <v>671</v>
      </c>
      <c r="G1071" s="102" t="s">
        <v>34</v>
      </c>
      <c r="H1071" s="111" t="s">
        <v>2326</v>
      </c>
      <c r="I1071" s="104">
        <v>46169</v>
      </c>
      <c r="J1071" s="97">
        <f t="shared" ref="J1071:J1073" ca="1" si="2097">+TODAY()-I1071</f>
        <v>15</v>
      </c>
      <c r="K1071" s="97" t="str">
        <f t="shared" ref="K1071:K1073" si="2098">+U1071</f>
        <v>Pending</v>
      </c>
      <c r="L1071" s="101" t="s">
        <v>2312</v>
      </c>
      <c r="M1071" s="97">
        <v>24000</v>
      </c>
      <c r="N1071" s="97">
        <v>22000</v>
      </c>
      <c r="O1071" s="104">
        <v>46170</v>
      </c>
      <c r="P1071" s="97">
        <f t="shared" ref="P1071:P1073" si="2099">+M1071-N1071</f>
        <v>2000</v>
      </c>
      <c r="Q1071" s="97" t="s">
        <v>33</v>
      </c>
      <c r="R1071" s="97" t="s">
        <v>37</v>
      </c>
      <c r="S1071" s="97">
        <v>26000</v>
      </c>
      <c r="T1071" s="64" t="s">
        <v>33</v>
      </c>
      <c r="U1071" s="65" t="s">
        <v>33</v>
      </c>
      <c r="V1071" s="97" t="s">
        <v>28</v>
      </c>
      <c r="W1071" s="97">
        <f t="shared" ref="W1071:W1073" si="2100">+S1071-M1071</f>
        <v>2000</v>
      </c>
      <c r="X1071" s="97" t="s">
        <v>36</v>
      </c>
      <c r="Y1071" s="97" t="s">
        <v>29</v>
      </c>
      <c r="Z1071" s="105">
        <f t="shared" ref="Z1071:Z1073" si="2101">+W1071*100/M1071</f>
        <v>8.3333333333333339</v>
      </c>
      <c r="AA1071" s="93"/>
    </row>
    <row r="1072" spans="1:27" s="101" customFormat="1" hidden="1">
      <c r="A1072" s="97">
        <f>SUBTOTAL(3,C$2:C1072)</f>
        <v>468</v>
      </c>
      <c r="B1072" s="97" t="s">
        <v>1086</v>
      </c>
      <c r="C1072" s="97" t="s">
        <v>31</v>
      </c>
      <c r="D1072" s="97" t="s">
        <v>32</v>
      </c>
      <c r="E1072" s="97" t="s">
        <v>33</v>
      </c>
      <c r="F1072" s="101" t="s">
        <v>2314</v>
      </c>
      <c r="G1072" s="102" t="s">
        <v>34</v>
      </c>
      <c r="H1072" s="111" t="s">
        <v>2327</v>
      </c>
      <c r="I1072" s="104">
        <v>46169</v>
      </c>
      <c r="J1072" s="97">
        <f t="shared" ca="1" si="2097"/>
        <v>15</v>
      </c>
      <c r="K1072" s="97" t="str">
        <f t="shared" si="2098"/>
        <v>Pending</v>
      </c>
      <c r="L1072" s="101" t="s">
        <v>1697</v>
      </c>
      <c r="M1072" s="97">
        <v>18300</v>
      </c>
      <c r="N1072" s="97">
        <v>16500</v>
      </c>
      <c r="O1072" s="104">
        <v>46170</v>
      </c>
      <c r="P1072" s="97">
        <f t="shared" si="2099"/>
        <v>1800</v>
      </c>
      <c r="Q1072" s="97" t="s">
        <v>33</v>
      </c>
      <c r="R1072" s="97" t="s">
        <v>37</v>
      </c>
      <c r="S1072" s="97">
        <v>21500</v>
      </c>
      <c r="T1072" s="64" t="s">
        <v>33</v>
      </c>
      <c r="U1072" s="65" t="s">
        <v>33</v>
      </c>
      <c r="V1072" s="97" t="s">
        <v>28</v>
      </c>
      <c r="W1072" s="97">
        <f t="shared" si="2100"/>
        <v>3200</v>
      </c>
      <c r="X1072" s="97" t="s">
        <v>36</v>
      </c>
      <c r="Y1072" s="97" t="s">
        <v>29</v>
      </c>
      <c r="Z1072" s="105">
        <f t="shared" si="2101"/>
        <v>17.486338797814209</v>
      </c>
      <c r="AA1072" s="93"/>
    </row>
    <row r="1073" spans="1:27" s="101" customFormat="1" hidden="1">
      <c r="A1073" s="97">
        <f>SUBTOTAL(3,C$2:C1073)</f>
        <v>468</v>
      </c>
      <c r="B1073" s="97" t="s">
        <v>1086</v>
      </c>
      <c r="C1073" s="97" t="s">
        <v>31</v>
      </c>
      <c r="D1073" s="97" t="s">
        <v>32</v>
      </c>
      <c r="E1073" s="97" t="s">
        <v>33</v>
      </c>
      <c r="F1073" s="101" t="s">
        <v>2029</v>
      </c>
      <c r="G1073" s="102" t="s">
        <v>34</v>
      </c>
      <c r="H1073" s="111" t="s">
        <v>2328</v>
      </c>
      <c r="I1073" s="104">
        <v>46170</v>
      </c>
      <c r="J1073" s="97">
        <f t="shared" ca="1" si="2097"/>
        <v>14</v>
      </c>
      <c r="K1073" s="97" t="str">
        <f t="shared" si="2098"/>
        <v>Pending</v>
      </c>
      <c r="L1073" s="101" t="s">
        <v>1697</v>
      </c>
      <c r="M1073" s="97">
        <v>18300</v>
      </c>
      <c r="N1073" s="97">
        <v>16500</v>
      </c>
      <c r="O1073" s="104">
        <v>46170</v>
      </c>
      <c r="P1073" s="97">
        <f t="shared" si="2099"/>
        <v>1800</v>
      </c>
      <c r="Q1073" s="97" t="s">
        <v>33</v>
      </c>
      <c r="R1073" s="97" t="s">
        <v>37</v>
      </c>
      <c r="S1073" s="97">
        <v>21500</v>
      </c>
      <c r="T1073" s="64" t="s">
        <v>33</v>
      </c>
      <c r="U1073" s="65" t="s">
        <v>33</v>
      </c>
      <c r="V1073" s="97" t="s">
        <v>28</v>
      </c>
      <c r="W1073" s="97">
        <f t="shared" si="2100"/>
        <v>3200</v>
      </c>
      <c r="X1073" s="97" t="s">
        <v>36</v>
      </c>
      <c r="Y1073" s="97" t="s">
        <v>29</v>
      </c>
      <c r="Z1073" s="105">
        <f t="shared" si="2101"/>
        <v>17.486338797814209</v>
      </c>
      <c r="AA1073" s="93"/>
    </row>
    <row r="1074" spans="1:27" s="101" customFormat="1" hidden="1">
      <c r="A1074" s="97">
        <f>SUBTOTAL(3,C$2:C1074)</f>
        <v>468</v>
      </c>
      <c r="B1074" s="97" t="s">
        <v>1086</v>
      </c>
      <c r="C1074" s="97" t="s">
        <v>31</v>
      </c>
      <c r="D1074" s="97" t="s">
        <v>32</v>
      </c>
      <c r="E1074" s="97" t="s">
        <v>33</v>
      </c>
      <c r="F1074" s="101" t="s">
        <v>2313</v>
      </c>
      <c r="G1074" s="102" t="s">
        <v>34</v>
      </c>
      <c r="H1074" s="111" t="s">
        <v>2329</v>
      </c>
      <c r="I1074" s="104">
        <v>46170</v>
      </c>
      <c r="J1074" s="97">
        <f t="shared" ref="J1074" ca="1" si="2102">+TODAY()-I1074</f>
        <v>14</v>
      </c>
      <c r="K1074" s="97" t="str">
        <f t="shared" ref="K1074" si="2103">+U1074</f>
        <v>Pending</v>
      </c>
      <c r="L1074" s="101" t="s">
        <v>2312</v>
      </c>
      <c r="M1074" s="97">
        <v>24000</v>
      </c>
      <c r="N1074" s="97">
        <v>22000</v>
      </c>
      <c r="O1074" s="104">
        <v>46170</v>
      </c>
      <c r="P1074" s="97">
        <f t="shared" ref="P1074" si="2104">+M1074-N1074</f>
        <v>2000</v>
      </c>
      <c r="Q1074" s="97" t="s">
        <v>33</v>
      </c>
      <c r="R1074" s="97" t="s">
        <v>37</v>
      </c>
      <c r="S1074" s="97">
        <v>26000</v>
      </c>
      <c r="T1074" s="64" t="s">
        <v>33</v>
      </c>
      <c r="U1074" s="65" t="s">
        <v>33</v>
      </c>
      <c r="V1074" s="97" t="s">
        <v>28</v>
      </c>
      <c r="W1074" s="97">
        <f t="shared" ref="W1074" si="2105">+S1074-M1074</f>
        <v>2000</v>
      </c>
      <c r="X1074" s="97" t="s">
        <v>36</v>
      </c>
      <c r="Y1074" s="97" t="s">
        <v>29</v>
      </c>
      <c r="Z1074" s="105">
        <f t="shared" ref="Z1074" si="2106">+W1074*100/M1074</f>
        <v>8.3333333333333339</v>
      </c>
      <c r="AA1074" s="93"/>
    </row>
    <row r="1075" spans="1:27" s="101" customFormat="1" hidden="1">
      <c r="A1075" s="97">
        <f>SUBTOTAL(3,C$2:C1075)</f>
        <v>468</v>
      </c>
      <c r="B1075" s="97" t="s">
        <v>1086</v>
      </c>
      <c r="C1075" s="97" t="s">
        <v>44</v>
      </c>
      <c r="D1075" s="97" t="s">
        <v>32</v>
      </c>
      <c r="E1075" s="97" t="s">
        <v>33</v>
      </c>
      <c r="F1075" s="101" t="s">
        <v>2315</v>
      </c>
      <c r="G1075" s="102" t="s">
        <v>994</v>
      </c>
      <c r="H1075" s="111" t="s">
        <v>2330</v>
      </c>
      <c r="I1075" s="104">
        <v>46170</v>
      </c>
      <c r="J1075" s="97">
        <f t="shared" ref="J1075:J1077" ca="1" si="2107">+TODAY()-I1075</f>
        <v>14</v>
      </c>
      <c r="K1075" s="97" t="str">
        <f t="shared" ref="K1075:K1077" si="2108">+U1075</f>
        <v>Pending</v>
      </c>
      <c r="L1075" s="101" t="s">
        <v>995</v>
      </c>
      <c r="M1075" s="97">
        <v>39000</v>
      </c>
      <c r="N1075" s="97">
        <v>36000</v>
      </c>
      <c r="O1075" s="104">
        <v>46170</v>
      </c>
      <c r="P1075" s="97">
        <f t="shared" ref="P1075:P1077" si="2109">+M1075-N1075</f>
        <v>3000</v>
      </c>
      <c r="Q1075" s="97" t="s">
        <v>33</v>
      </c>
      <c r="R1075" s="97" t="s">
        <v>174</v>
      </c>
      <c r="S1075" s="97">
        <v>44000</v>
      </c>
      <c r="T1075" s="64" t="s">
        <v>33</v>
      </c>
      <c r="U1075" s="65" t="s">
        <v>33</v>
      </c>
      <c r="V1075" s="97" t="s">
        <v>28</v>
      </c>
      <c r="W1075" s="97">
        <f t="shared" ref="W1075:W1077" si="2110">+S1075-M1075</f>
        <v>5000</v>
      </c>
      <c r="X1075" s="97" t="s">
        <v>36</v>
      </c>
      <c r="Y1075" s="97" t="s">
        <v>29</v>
      </c>
      <c r="Z1075" s="105">
        <f t="shared" ref="Z1075:Z1077" si="2111">+W1075*100/M1075</f>
        <v>12.820512820512821</v>
      </c>
      <c r="AA1075" s="93"/>
    </row>
    <row r="1076" spans="1:27" s="101" customFormat="1" hidden="1">
      <c r="A1076" s="97">
        <f>SUBTOTAL(3,C$2:C1076)</f>
        <v>468</v>
      </c>
      <c r="B1076" s="97" t="s">
        <v>1086</v>
      </c>
      <c r="C1076" s="97" t="s">
        <v>216</v>
      </c>
      <c r="D1076" s="97" t="s">
        <v>32</v>
      </c>
      <c r="E1076" s="97" t="s">
        <v>33</v>
      </c>
      <c r="F1076" s="101" t="s">
        <v>1280</v>
      </c>
      <c r="G1076" s="102" t="s">
        <v>50</v>
      </c>
      <c r="H1076" s="111" t="s">
        <v>2331</v>
      </c>
      <c r="I1076" s="104">
        <v>46170</v>
      </c>
      <c r="J1076" s="97">
        <f t="shared" ca="1" si="2107"/>
        <v>14</v>
      </c>
      <c r="K1076" s="97" t="str">
        <f t="shared" si="2108"/>
        <v>Pending</v>
      </c>
      <c r="L1076" s="101" t="s">
        <v>586</v>
      </c>
      <c r="M1076" s="97">
        <f>3000+44000</f>
        <v>47000</v>
      </c>
      <c r="N1076" s="97">
        <v>40000</v>
      </c>
      <c r="O1076" s="104">
        <v>46170</v>
      </c>
      <c r="P1076" s="97">
        <f t="shared" si="2109"/>
        <v>7000</v>
      </c>
      <c r="Q1076" s="97" t="s">
        <v>33</v>
      </c>
      <c r="R1076" s="97" t="s">
        <v>52</v>
      </c>
      <c r="S1076" s="97">
        <f>5000+48000</f>
        <v>53000</v>
      </c>
      <c r="T1076" s="64" t="s">
        <v>33</v>
      </c>
      <c r="U1076" s="65" t="s">
        <v>33</v>
      </c>
      <c r="V1076" s="97" t="s">
        <v>28</v>
      </c>
      <c r="W1076" s="97">
        <f t="shared" si="2110"/>
        <v>6000</v>
      </c>
      <c r="X1076" s="97" t="s">
        <v>36</v>
      </c>
      <c r="Y1076" s="97" t="s">
        <v>29</v>
      </c>
      <c r="Z1076" s="105">
        <f t="shared" si="2111"/>
        <v>12.76595744680851</v>
      </c>
      <c r="AA1076" s="93"/>
    </row>
    <row r="1077" spans="1:27" s="101" customFormat="1" hidden="1">
      <c r="A1077" s="97">
        <f>SUBTOTAL(3,C$2:C1077)</f>
        <v>468</v>
      </c>
      <c r="B1077" s="97" t="s">
        <v>1086</v>
      </c>
      <c r="C1077" s="97" t="s">
        <v>1031</v>
      </c>
      <c r="D1077" s="97" t="s">
        <v>32</v>
      </c>
      <c r="E1077" s="97" t="s">
        <v>33</v>
      </c>
      <c r="F1077" s="101" t="s">
        <v>2316</v>
      </c>
      <c r="G1077" s="102" t="s">
        <v>34</v>
      </c>
      <c r="H1077" s="103" t="s">
        <v>2332</v>
      </c>
      <c r="I1077" s="104">
        <v>46169</v>
      </c>
      <c r="J1077" s="97">
        <f t="shared" ca="1" si="2107"/>
        <v>15</v>
      </c>
      <c r="K1077" s="97" t="str">
        <f t="shared" si="2108"/>
        <v>Pending</v>
      </c>
      <c r="L1077" s="101" t="s">
        <v>698</v>
      </c>
      <c r="M1077" s="97">
        <v>18000</v>
      </c>
      <c r="N1077" s="97">
        <v>16000</v>
      </c>
      <c r="O1077" s="104">
        <v>46170</v>
      </c>
      <c r="P1077" s="97">
        <f t="shared" si="2109"/>
        <v>2000</v>
      </c>
      <c r="Q1077" s="97" t="s">
        <v>33</v>
      </c>
      <c r="R1077" s="97" t="s">
        <v>56</v>
      </c>
      <c r="S1077" s="97">
        <v>20500</v>
      </c>
      <c r="T1077" s="64" t="s">
        <v>33</v>
      </c>
      <c r="U1077" s="65" t="s">
        <v>33</v>
      </c>
      <c r="V1077" s="97" t="s">
        <v>28</v>
      </c>
      <c r="W1077" s="97">
        <f t="shared" si="2110"/>
        <v>2500</v>
      </c>
      <c r="X1077" s="97" t="s">
        <v>963</v>
      </c>
      <c r="Y1077" s="97" t="s">
        <v>29</v>
      </c>
      <c r="Z1077" s="105">
        <f t="shared" si="2111"/>
        <v>13.888888888888889</v>
      </c>
      <c r="AA1077" s="93"/>
    </row>
    <row r="1078" spans="1:27" s="101" customFormat="1" hidden="1">
      <c r="A1078" s="97">
        <f>SUBTOTAL(3,C$2:C1078)</f>
        <v>468</v>
      </c>
      <c r="B1078" s="97" t="s">
        <v>1086</v>
      </c>
      <c r="C1078" s="97" t="s">
        <v>44</v>
      </c>
      <c r="D1078" s="97" t="s">
        <v>32</v>
      </c>
      <c r="E1078" s="97" t="s">
        <v>33</v>
      </c>
      <c r="F1078" s="101" t="s">
        <v>1984</v>
      </c>
      <c r="G1078" s="102" t="s">
        <v>143</v>
      </c>
      <c r="H1078" s="111" t="s">
        <v>2333</v>
      </c>
      <c r="I1078" s="104">
        <v>46170</v>
      </c>
      <c r="J1078" s="97">
        <f t="shared" ref="J1078:J1079" ca="1" si="2112">+TODAY()-I1078</f>
        <v>14</v>
      </c>
      <c r="K1078" s="97" t="str">
        <f t="shared" ref="K1078:K1079" si="2113">+U1078</f>
        <v>Pending</v>
      </c>
      <c r="L1078" s="101" t="s">
        <v>2092</v>
      </c>
      <c r="M1078" s="97">
        <v>31500</v>
      </c>
      <c r="N1078" s="97">
        <v>28500</v>
      </c>
      <c r="O1078" s="104">
        <v>46170</v>
      </c>
      <c r="P1078" s="97">
        <f t="shared" ref="P1078:P1079" si="2114">+M1078-N1078</f>
        <v>3000</v>
      </c>
      <c r="Q1078" s="97" t="s">
        <v>33</v>
      </c>
      <c r="R1078" s="97" t="s">
        <v>39</v>
      </c>
      <c r="S1078" s="97">
        <v>35000</v>
      </c>
      <c r="T1078" s="64" t="s">
        <v>33</v>
      </c>
      <c r="U1078" s="65" t="s">
        <v>33</v>
      </c>
      <c r="V1078" s="97" t="s">
        <v>28</v>
      </c>
      <c r="W1078" s="97">
        <f t="shared" ref="W1078:W1079" si="2115">+S1078-M1078</f>
        <v>3500</v>
      </c>
      <c r="X1078" s="97" t="s">
        <v>36</v>
      </c>
      <c r="Y1078" s="97" t="s">
        <v>29</v>
      </c>
      <c r="Z1078" s="105">
        <f t="shared" ref="Z1078:Z1079" si="2116">+W1078*100/M1078</f>
        <v>11.111111111111111</v>
      </c>
      <c r="AA1078" s="93"/>
    </row>
    <row r="1079" spans="1:27" s="101" customFormat="1" hidden="1">
      <c r="A1079" s="97">
        <f>SUBTOTAL(3,C$2:C1079)</f>
        <v>468</v>
      </c>
      <c r="B1079" s="97" t="s">
        <v>1086</v>
      </c>
      <c r="C1079" s="97" t="s">
        <v>44</v>
      </c>
      <c r="D1079" s="97" t="s">
        <v>32</v>
      </c>
      <c r="E1079" s="97" t="s">
        <v>33</v>
      </c>
      <c r="F1079" s="101" t="s">
        <v>2317</v>
      </c>
      <c r="G1079" s="102">
        <v>407</v>
      </c>
      <c r="H1079" s="111" t="s">
        <v>2334</v>
      </c>
      <c r="I1079" s="104">
        <v>46170</v>
      </c>
      <c r="J1079" s="97">
        <f t="shared" ca="1" si="2112"/>
        <v>14</v>
      </c>
      <c r="K1079" s="97" t="str">
        <f t="shared" si="2113"/>
        <v>Pending</v>
      </c>
      <c r="L1079" s="101" t="s">
        <v>381</v>
      </c>
      <c r="M1079" s="97">
        <v>28000</v>
      </c>
      <c r="N1079" s="97">
        <v>25000</v>
      </c>
      <c r="O1079" s="104">
        <v>46170</v>
      </c>
      <c r="P1079" s="97">
        <f t="shared" si="2114"/>
        <v>3000</v>
      </c>
      <c r="Q1079" s="97" t="s">
        <v>33</v>
      </c>
      <c r="R1079" s="97" t="s">
        <v>56</v>
      </c>
      <c r="S1079" s="97">
        <v>30800</v>
      </c>
      <c r="T1079" s="64" t="s">
        <v>33</v>
      </c>
      <c r="U1079" s="65" t="s">
        <v>33</v>
      </c>
      <c r="V1079" s="97" t="s">
        <v>28</v>
      </c>
      <c r="W1079" s="97">
        <f t="shared" si="2115"/>
        <v>2800</v>
      </c>
      <c r="X1079" s="97" t="s">
        <v>36</v>
      </c>
      <c r="Y1079" s="97" t="s">
        <v>29</v>
      </c>
      <c r="Z1079" s="105">
        <f t="shared" si="2116"/>
        <v>10</v>
      </c>
      <c r="AA1079" s="93"/>
    </row>
    <row r="1080" spans="1:27" s="101" customFormat="1" hidden="1">
      <c r="A1080" s="97">
        <f>SUBTOTAL(3,C$2:C1080)</f>
        <v>468</v>
      </c>
      <c r="B1080" s="97" t="s">
        <v>1086</v>
      </c>
      <c r="C1080" s="97" t="s">
        <v>44</v>
      </c>
      <c r="D1080" s="97" t="s">
        <v>32</v>
      </c>
      <c r="E1080" s="97" t="s">
        <v>33</v>
      </c>
      <c r="F1080" s="101" t="s">
        <v>304</v>
      </c>
      <c r="G1080" s="102" t="s">
        <v>46</v>
      </c>
      <c r="H1080" s="111" t="s">
        <v>2335</v>
      </c>
      <c r="I1080" s="104">
        <v>46170</v>
      </c>
      <c r="J1080" s="97">
        <f t="shared" ref="J1080" ca="1" si="2117">+TODAY()-I1080</f>
        <v>14</v>
      </c>
      <c r="K1080" s="97" t="str">
        <f t="shared" ref="K1080" si="2118">+U1080</f>
        <v>Pending</v>
      </c>
      <c r="L1080" s="101" t="s">
        <v>2092</v>
      </c>
      <c r="M1080" s="97">
        <v>19000</v>
      </c>
      <c r="N1080" s="97">
        <v>17000</v>
      </c>
      <c r="O1080" s="104">
        <v>46170</v>
      </c>
      <c r="P1080" s="97">
        <f t="shared" ref="P1080" si="2119">+M1080-N1080</f>
        <v>2000</v>
      </c>
      <c r="Q1080" s="97" t="s">
        <v>33</v>
      </c>
      <c r="R1080" s="97" t="s">
        <v>39</v>
      </c>
      <c r="S1080" s="97">
        <v>21800</v>
      </c>
      <c r="T1080" s="64" t="s">
        <v>33</v>
      </c>
      <c r="U1080" s="65" t="s">
        <v>33</v>
      </c>
      <c r="V1080" s="97" t="s">
        <v>28</v>
      </c>
      <c r="W1080" s="97">
        <f t="shared" ref="W1080" si="2120">+S1080-M1080</f>
        <v>2800</v>
      </c>
      <c r="X1080" s="97" t="s">
        <v>36</v>
      </c>
      <c r="Y1080" s="97" t="s">
        <v>29</v>
      </c>
      <c r="Z1080" s="105">
        <f t="shared" ref="Z1080" si="2121">+W1080*100/M1080</f>
        <v>14.736842105263158</v>
      </c>
      <c r="AA1080" s="93"/>
    </row>
    <row r="1081" spans="1:27" s="101" customFormat="1" hidden="1">
      <c r="A1081" s="97">
        <f>SUBTOTAL(3,C$2:C1081)</f>
        <v>468</v>
      </c>
      <c r="B1081" s="97" t="s">
        <v>1086</v>
      </c>
      <c r="C1081" s="97" t="s">
        <v>44</v>
      </c>
      <c r="D1081" s="97" t="s">
        <v>32</v>
      </c>
      <c r="E1081" s="97" t="s">
        <v>33</v>
      </c>
      <c r="F1081" s="101" t="s">
        <v>2099</v>
      </c>
      <c r="G1081" s="102" t="s">
        <v>46</v>
      </c>
      <c r="H1081" s="103" t="s">
        <v>2336</v>
      </c>
      <c r="I1081" s="104">
        <v>46168</v>
      </c>
      <c r="J1081" s="97">
        <f t="shared" ref="J1081:J1083" ca="1" si="2122">+TODAY()-I1081</f>
        <v>16</v>
      </c>
      <c r="K1081" s="97" t="str">
        <f t="shared" ref="K1081:K1083" si="2123">+U1081</f>
        <v>Pending</v>
      </c>
      <c r="L1081" s="101" t="s">
        <v>1288</v>
      </c>
      <c r="M1081" s="97">
        <v>18500</v>
      </c>
      <c r="N1081" s="97">
        <v>18500</v>
      </c>
      <c r="O1081" s="104">
        <v>46170</v>
      </c>
      <c r="P1081" s="97">
        <f t="shared" ref="P1081:P1083" si="2124">+M1081-N1081</f>
        <v>0</v>
      </c>
      <c r="Q1081" s="97" t="s">
        <v>33</v>
      </c>
      <c r="R1081" s="97" t="s">
        <v>2748</v>
      </c>
      <c r="S1081" s="97">
        <v>21000</v>
      </c>
      <c r="T1081" s="64" t="s">
        <v>33</v>
      </c>
      <c r="U1081" s="65" t="s">
        <v>33</v>
      </c>
      <c r="V1081" s="97" t="s">
        <v>28</v>
      </c>
      <c r="W1081" s="97">
        <f t="shared" ref="W1081:W1083" si="2125">+S1081-M1081</f>
        <v>2500</v>
      </c>
      <c r="X1081" s="97" t="s">
        <v>36</v>
      </c>
      <c r="Y1081" s="97" t="s">
        <v>29</v>
      </c>
      <c r="Z1081" s="105">
        <f t="shared" ref="Z1081:Z1083" si="2126">+W1081*100/M1081</f>
        <v>13.513513513513514</v>
      </c>
      <c r="AA1081" s="93"/>
    </row>
    <row r="1082" spans="1:27" s="101" customFormat="1" hidden="1">
      <c r="A1082" s="97">
        <f>SUBTOTAL(3,C$2:C1082)</f>
        <v>468</v>
      </c>
      <c r="B1082" s="97" t="s">
        <v>1086</v>
      </c>
      <c r="C1082" s="97" t="s">
        <v>1031</v>
      </c>
      <c r="D1082" s="97" t="s">
        <v>32</v>
      </c>
      <c r="E1082" s="97" t="s">
        <v>33</v>
      </c>
      <c r="F1082" s="101" t="s">
        <v>194</v>
      </c>
      <c r="G1082" s="102" t="s">
        <v>34</v>
      </c>
      <c r="H1082" s="111" t="s">
        <v>2337</v>
      </c>
      <c r="I1082" s="104">
        <v>46170</v>
      </c>
      <c r="J1082" s="97">
        <f t="shared" ca="1" si="2122"/>
        <v>14</v>
      </c>
      <c r="K1082" s="97" t="str">
        <f t="shared" si="2123"/>
        <v>Pending</v>
      </c>
      <c r="L1082" s="101" t="s">
        <v>1034</v>
      </c>
      <c r="M1082" s="97">
        <v>18300</v>
      </c>
      <c r="N1082" s="97">
        <v>16500</v>
      </c>
      <c r="O1082" s="104">
        <v>46170</v>
      </c>
      <c r="P1082" s="97">
        <f t="shared" si="2124"/>
        <v>1800</v>
      </c>
      <c r="Q1082" s="97" t="s">
        <v>33</v>
      </c>
      <c r="R1082" s="97" t="s">
        <v>37</v>
      </c>
      <c r="S1082" s="97">
        <v>21500</v>
      </c>
      <c r="T1082" s="64" t="s">
        <v>33</v>
      </c>
      <c r="U1082" s="65" t="s">
        <v>33</v>
      </c>
      <c r="V1082" s="97" t="s">
        <v>28</v>
      </c>
      <c r="W1082" s="97">
        <f t="shared" si="2125"/>
        <v>3200</v>
      </c>
      <c r="X1082" s="97" t="s">
        <v>963</v>
      </c>
      <c r="Y1082" s="97" t="s">
        <v>29</v>
      </c>
      <c r="Z1082" s="105">
        <f t="shared" si="2126"/>
        <v>17.486338797814209</v>
      </c>
      <c r="AA1082" s="93"/>
    </row>
    <row r="1083" spans="1:27" s="101" customFormat="1" hidden="1">
      <c r="A1083" s="97">
        <f>SUBTOTAL(3,C$2:C1083)</f>
        <v>468</v>
      </c>
      <c r="B1083" s="97" t="s">
        <v>1086</v>
      </c>
      <c r="C1083" s="97" t="s">
        <v>31</v>
      </c>
      <c r="D1083" s="97" t="s">
        <v>32</v>
      </c>
      <c r="E1083" s="97" t="s">
        <v>33</v>
      </c>
      <c r="F1083" s="101" t="s">
        <v>161</v>
      </c>
      <c r="G1083" s="102" t="s">
        <v>34</v>
      </c>
      <c r="H1083" s="111" t="s">
        <v>2338</v>
      </c>
      <c r="I1083" s="104">
        <v>46170</v>
      </c>
      <c r="J1083" s="97">
        <f t="shared" ca="1" si="2122"/>
        <v>14</v>
      </c>
      <c r="K1083" s="97" t="str">
        <f t="shared" si="2123"/>
        <v>Pending</v>
      </c>
      <c r="L1083" s="101" t="s">
        <v>1697</v>
      </c>
      <c r="M1083" s="97">
        <v>18300</v>
      </c>
      <c r="N1083" s="97">
        <v>16500</v>
      </c>
      <c r="O1083" s="104">
        <v>46170</v>
      </c>
      <c r="P1083" s="97">
        <f t="shared" si="2124"/>
        <v>1800</v>
      </c>
      <c r="Q1083" s="97" t="s">
        <v>33</v>
      </c>
      <c r="R1083" s="97" t="s">
        <v>37</v>
      </c>
      <c r="S1083" s="97">
        <v>21500</v>
      </c>
      <c r="T1083" s="64" t="s">
        <v>33</v>
      </c>
      <c r="U1083" s="65" t="s">
        <v>33</v>
      </c>
      <c r="V1083" s="97" t="s">
        <v>28</v>
      </c>
      <c r="W1083" s="97">
        <f t="shared" si="2125"/>
        <v>3200</v>
      </c>
      <c r="X1083" s="97" t="s">
        <v>36</v>
      </c>
      <c r="Y1083" s="97" t="s">
        <v>29</v>
      </c>
      <c r="Z1083" s="105">
        <f t="shared" si="2126"/>
        <v>17.486338797814209</v>
      </c>
      <c r="AA1083" s="93"/>
    </row>
    <row r="1084" spans="1:27" s="101" customFormat="1" hidden="1">
      <c r="A1084" s="97">
        <f>SUBTOTAL(3,C$2:C1084)</f>
        <v>468</v>
      </c>
      <c r="B1084" s="97" t="s">
        <v>1086</v>
      </c>
      <c r="C1084" s="97" t="s">
        <v>31</v>
      </c>
      <c r="D1084" s="97" t="s">
        <v>32</v>
      </c>
      <c r="E1084" s="97" t="s">
        <v>33</v>
      </c>
      <c r="F1084" s="101" t="s">
        <v>377</v>
      </c>
      <c r="G1084" s="102" t="s">
        <v>34</v>
      </c>
      <c r="H1084" s="111" t="s">
        <v>2339</v>
      </c>
      <c r="I1084" s="104">
        <v>46170</v>
      </c>
      <c r="J1084" s="97">
        <f t="shared" ref="J1084" ca="1" si="2127">+TODAY()-I1084</f>
        <v>14</v>
      </c>
      <c r="K1084" s="97" t="str">
        <f t="shared" ref="K1084" si="2128">+U1084</f>
        <v>Pending</v>
      </c>
      <c r="L1084" s="101" t="s">
        <v>400</v>
      </c>
      <c r="M1084" s="97">
        <v>24000</v>
      </c>
      <c r="N1084" s="97">
        <v>22000</v>
      </c>
      <c r="O1084" s="104">
        <v>46170</v>
      </c>
      <c r="P1084" s="97">
        <f t="shared" ref="P1084" si="2129">+M1084-N1084</f>
        <v>2000</v>
      </c>
      <c r="Q1084" s="97" t="s">
        <v>33</v>
      </c>
      <c r="R1084" s="97" t="s">
        <v>37</v>
      </c>
      <c r="S1084" s="97">
        <v>26000</v>
      </c>
      <c r="T1084" s="64" t="s">
        <v>33</v>
      </c>
      <c r="U1084" s="65" t="s">
        <v>33</v>
      </c>
      <c r="V1084" s="97" t="s">
        <v>28</v>
      </c>
      <c r="W1084" s="97">
        <f t="shared" ref="W1084" si="2130">+S1084-M1084</f>
        <v>2000</v>
      </c>
      <c r="X1084" s="97" t="s">
        <v>36</v>
      </c>
      <c r="Y1084" s="97" t="s">
        <v>29</v>
      </c>
      <c r="Z1084" s="105">
        <f t="shared" ref="Z1084" si="2131">+W1084*100/M1084</f>
        <v>8.3333333333333339</v>
      </c>
      <c r="AA1084" s="93"/>
    </row>
    <row r="1085" spans="1:27" s="101" customFormat="1" hidden="1">
      <c r="A1085" s="97">
        <f>SUBTOTAL(3,C$2:C1085)</f>
        <v>468</v>
      </c>
      <c r="B1085" s="97" t="s">
        <v>1086</v>
      </c>
      <c r="C1085" s="97" t="s">
        <v>31</v>
      </c>
      <c r="D1085" s="97" t="s">
        <v>32</v>
      </c>
      <c r="E1085" s="97" t="s">
        <v>33</v>
      </c>
      <c r="F1085" s="101" t="s">
        <v>1432</v>
      </c>
      <c r="G1085" s="102" t="s">
        <v>34</v>
      </c>
      <c r="H1085" s="111" t="s">
        <v>2340</v>
      </c>
      <c r="I1085" s="104">
        <v>46170</v>
      </c>
      <c r="J1085" s="97">
        <f t="shared" ref="J1085:J1086" ca="1" si="2132">+TODAY()-I1085</f>
        <v>14</v>
      </c>
      <c r="K1085" s="97" t="str">
        <f t="shared" ref="K1085:K1086" si="2133">+U1085</f>
        <v>Pending</v>
      </c>
      <c r="L1085" s="101" t="s">
        <v>1697</v>
      </c>
      <c r="M1085" s="97">
        <v>18300</v>
      </c>
      <c r="N1085" s="97">
        <v>16500</v>
      </c>
      <c r="O1085" s="104">
        <v>46170</v>
      </c>
      <c r="P1085" s="97">
        <f t="shared" ref="P1085:P1086" si="2134">+M1085-N1085</f>
        <v>1800</v>
      </c>
      <c r="Q1085" s="97" t="s">
        <v>33</v>
      </c>
      <c r="R1085" s="97" t="s">
        <v>78</v>
      </c>
      <c r="S1085" s="97">
        <v>21500</v>
      </c>
      <c r="T1085" s="64" t="s">
        <v>33</v>
      </c>
      <c r="U1085" s="65" t="s">
        <v>33</v>
      </c>
      <c r="V1085" s="97" t="s">
        <v>28</v>
      </c>
      <c r="W1085" s="97">
        <f t="shared" ref="W1085:W1086" si="2135">+S1085-M1085</f>
        <v>3200</v>
      </c>
      <c r="X1085" s="97" t="s">
        <v>36</v>
      </c>
      <c r="Y1085" s="97" t="s">
        <v>29</v>
      </c>
      <c r="Z1085" s="105">
        <f t="shared" ref="Z1085:Z1086" si="2136">+W1085*100/M1085</f>
        <v>17.486338797814209</v>
      </c>
      <c r="AA1085" s="93"/>
    </row>
    <row r="1086" spans="1:27" s="101" customFormat="1" hidden="1">
      <c r="A1086" s="97">
        <f>SUBTOTAL(3,C$2:C1086)</f>
        <v>468</v>
      </c>
      <c r="B1086" s="97" t="s">
        <v>1086</v>
      </c>
      <c r="C1086" s="97" t="s">
        <v>1031</v>
      </c>
      <c r="D1086" s="97" t="s">
        <v>32</v>
      </c>
      <c r="E1086" s="97" t="s">
        <v>33</v>
      </c>
      <c r="F1086" s="101" t="s">
        <v>782</v>
      </c>
      <c r="G1086" s="102" t="s">
        <v>34</v>
      </c>
      <c r="H1086" s="103" t="s">
        <v>2341</v>
      </c>
      <c r="I1086" s="104">
        <v>46170</v>
      </c>
      <c r="J1086" s="97">
        <f t="shared" ca="1" si="2132"/>
        <v>14</v>
      </c>
      <c r="K1086" s="97" t="str">
        <f t="shared" si="2133"/>
        <v>Pending</v>
      </c>
      <c r="L1086" s="101" t="s">
        <v>698</v>
      </c>
      <c r="M1086" s="97">
        <v>18000</v>
      </c>
      <c r="N1086" s="97">
        <v>16000</v>
      </c>
      <c r="O1086" s="104">
        <v>46170</v>
      </c>
      <c r="P1086" s="97">
        <f t="shared" si="2134"/>
        <v>2000</v>
      </c>
      <c r="Q1086" s="97" t="s">
        <v>33</v>
      </c>
      <c r="R1086" s="97" t="s">
        <v>56</v>
      </c>
      <c r="S1086" s="97">
        <v>20500</v>
      </c>
      <c r="T1086" s="64" t="s">
        <v>33</v>
      </c>
      <c r="U1086" s="65" t="s">
        <v>33</v>
      </c>
      <c r="V1086" s="97" t="s">
        <v>28</v>
      </c>
      <c r="W1086" s="97">
        <f t="shared" si="2135"/>
        <v>2500</v>
      </c>
      <c r="X1086" s="97" t="s">
        <v>963</v>
      </c>
      <c r="Y1086" s="97" t="s">
        <v>29</v>
      </c>
      <c r="Z1086" s="105">
        <f t="shared" si="2136"/>
        <v>13.888888888888889</v>
      </c>
      <c r="AA1086" s="93"/>
    </row>
    <row r="1087" spans="1:27" s="101" customFormat="1" hidden="1">
      <c r="A1087" s="97">
        <f>SUBTOTAL(3,C$2:C1087)</f>
        <v>468</v>
      </c>
      <c r="B1087" s="97" t="s">
        <v>1086</v>
      </c>
      <c r="C1087" s="97" t="s">
        <v>1031</v>
      </c>
      <c r="D1087" s="97" t="s">
        <v>32</v>
      </c>
      <c r="E1087" s="97" t="s">
        <v>33</v>
      </c>
      <c r="F1087" s="101" t="s">
        <v>203</v>
      </c>
      <c r="G1087" s="102" t="s">
        <v>34</v>
      </c>
      <c r="H1087" s="111" t="s">
        <v>2342</v>
      </c>
      <c r="I1087" s="104">
        <v>46170</v>
      </c>
      <c r="J1087" s="97">
        <f t="shared" ref="J1087" ca="1" si="2137">+TODAY()-I1087</f>
        <v>14</v>
      </c>
      <c r="K1087" s="97" t="str">
        <f t="shared" ref="K1087" si="2138">+U1087</f>
        <v>Pending</v>
      </c>
      <c r="L1087" s="101" t="s">
        <v>698</v>
      </c>
      <c r="M1087" s="97">
        <v>18000</v>
      </c>
      <c r="N1087" s="97">
        <v>16000</v>
      </c>
      <c r="O1087" s="104">
        <v>46170</v>
      </c>
      <c r="P1087" s="97">
        <f t="shared" ref="P1087" si="2139">+M1087-N1087</f>
        <v>2000</v>
      </c>
      <c r="Q1087" s="97" t="s">
        <v>33</v>
      </c>
      <c r="R1087" s="97" t="s">
        <v>56</v>
      </c>
      <c r="S1087" s="97">
        <v>20500</v>
      </c>
      <c r="T1087" s="64" t="s">
        <v>33</v>
      </c>
      <c r="U1087" s="65" t="s">
        <v>33</v>
      </c>
      <c r="V1087" s="97" t="s">
        <v>28</v>
      </c>
      <c r="W1087" s="97">
        <f t="shared" ref="W1087" si="2140">+S1087-M1087</f>
        <v>2500</v>
      </c>
      <c r="X1087" s="97" t="s">
        <v>963</v>
      </c>
      <c r="Y1087" s="97" t="s">
        <v>29</v>
      </c>
      <c r="Z1087" s="105">
        <f t="shared" ref="Z1087" si="2141">+W1087*100/M1087</f>
        <v>13.888888888888889</v>
      </c>
      <c r="AA1087" s="93"/>
    </row>
    <row r="1088" spans="1:27" s="101" customFormat="1" hidden="1">
      <c r="A1088" s="97">
        <f>SUBTOTAL(3,C$2:C1088)</f>
        <v>468</v>
      </c>
      <c r="B1088" s="97" t="s">
        <v>1086</v>
      </c>
      <c r="C1088" s="97" t="s">
        <v>1031</v>
      </c>
      <c r="D1088" s="97" t="s">
        <v>32</v>
      </c>
      <c r="E1088" s="97" t="s">
        <v>33</v>
      </c>
      <c r="F1088" s="101" t="s">
        <v>1703</v>
      </c>
      <c r="G1088" s="102" t="s">
        <v>34</v>
      </c>
      <c r="H1088" s="111" t="s">
        <v>2343</v>
      </c>
      <c r="I1088" s="104">
        <v>46170</v>
      </c>
      <c r="J1088" s="97">
        <f t="shared" ref="J1088:J1090" ca="1" si="2142">+TODAY()-I1088</f>
        <v>14</v>
      </c>
      <c r="K1088" s="97" t="str">
        <f t="shared" ref="K1088:K1090" si="2143">+U1088</f>
        <v>Pending</v>
      </c>
      <c r="L1088" s="101" t="s">
        <v>1575</v>
      </c>
      <c r="M1088" s="97">
        <v>19000</v>
      </c>
      <c r="N1088" s="97">
        <v>17000</v>
      </c>
      <c r="O1088" s="104">
        <v>46170</v>
      </c>
      <c r="P1088" s="97">
        <f t="shared" ref="P1088:P1090" si="2144">+M1088-N1088</f>
        <v>2000</v>
      </c>
      <c r="Q1088" s="97" t="s">
        <v>33</v>
      </c>
      <c r="R1088" s="97" t="s">
        <v>39</v>
      </c>
      <c r="S1088" s="97">
        <v>21800</v>
      </c>
      <c r="T1088" s="64" t="s">
        <v>33</v>
      </c>
      <c r="U1088" s="65" t="s">
        <v>33</v>
      </c>
      <c r="V1088" s="97" t="s">
        <v>28</v>
      </c>
      <c r="W1088" s="97">
        <f t="shared" ref="W1088:W1090" si="2145">+S1088-M1088</f>
        <v>2800</v>
      </c>
      <c r="X1088" s="97" t="s">
        <v>963</v>
      </c>
      <c r="Y1088" s="97" t="s">
        <v>29</v>
      </c>
      <c r="Z1088" s="105">
        <f t="shared" ref="Z1088:Z1090" si="2146">+W1088*100/M1088</f>
        <v>14.736842105263158</v>
      </c>
      <c r="AA1088" s="93"/>
    </row>
    <row r="1089" spans="1:27" s="101" customFormat="1" hidden="1">
      <c r="A1089" s="97">
        <f>SUBTOTAL(3,C$2:C1089)</f>
        <v>468</v>
      </c>
      <c r="B1089" s="97" t="s">
        <v>1086</v>
      </c>
      <c r="C1089" s="97" t="s">
        <v>156</v>
      </c>
      <c r="D1089" s="97" t="s">
        <v>32</v>
      </c>
      <c r="E1089" s="97" t="s">
        <v>33</v>
      </c>
      <c r="F1089" s="101" t="s">
        <v>164</v>
      </c>
      <c r="G1089" s="102" t="s">
        <v>67</v>
      </c>
      <c r="H1089" s="111" t="s">
        <v>2362</v>
      </c>
      <c r="I1089" s="104">
        <v>46170</v>
      </c>
      <c r="J1089" s="97">
        <f t="shared" ca="1" si="2142"/>
        <v>14</v>
      </c>
      <c r="K1089" s="97" t="str">
        <f t="shared" si="2143"/>
        <v>Pending</v>
      </c>
      <c r="L1089" s="101" t="s">
        <v>620</v>
      </c>
      <c r="M1089" s="97">
        <v>38500</v>
      </c>
      <c r="N1089" s="97">
        <v>35500</v>
      </c>
      <c r="O1089" s="104">
        <v>46171</v>
      </c>
      <c r="P1089" s="97">
        <f t="shared" si="2144"/>
        <v>3000</v>
      </c>
      <c r="Q1089" s="97" t="s">
        <v>33</v>
      </c>
      <c r="R1089" s="97" t="s">
        <v>52</v>
      </c>
      <c r="S1089" s="97">
        <v>42000</v>
      </c>
      <c r="T1089" s="64" t="s">
        <v>33</v>
      </c>
      <c r="U1089" s="65" t="s">
        <v>33</v>
      </c>
      <c r="V1089" s="97" t="s">
        <v>28</v>
      </c>
      <c r="W1089" s="97">
        <f t="shared" si="2145"/>
        <v>3500</v>
      </c>
      <c r="X1089" s="97" t="s">
        <v>36</v>
      </c>
      <c r="Y1089" s="97" t="s">
        <v>29</v>
      </c>
      <c r="Z1089" s="105">
        <f t="shared" si="2146"/>
        <v>9.0909090909090917</v>
      </c>
      <c r="AA1089" s="93"/>
    </row>
    <row r="1090" spans="1:27" s="101" customFormat="1" hidden="1">
      <c r="A1090" s="97">
        <f>SUBTOTAL(3,C$2:C1090)</f>
        <v>468</v>
      </c>
      <c r="B1090" s="97" t="s">
        <v>1086</v>
      </c>
      <c r="C1090" s="97" t="s">
        <v>31</v>
      </c>
      <c r="D1090" s="97" t="s">
        <v>32</v>
      </c>
      <c r="E1090" s="97" t="s">
        <v>33</v>
      </c>
      <c r="F1090" s="101" t="s">
        <v>191</v>
      </c>
      <c r="G1090" s="102" t="s">
        <v>34</v>
      </c>
      <c r="H1090" s="111" t="s">
        <v>2363</v>
      </c>
      <c r="I1090" s="104">
        <v>46170</v>
      </c>
      <c r="J1090" s="97">
        <f t="shared" ca="1" si="2142"/>
        <v>14</v>
      </c>
      <c r="K1090" s="97" t="str">
        <f t="shared" si="2143"/>
        <v>Pending</v>
      </c>
      <c r="L1090" s="101" t="s">
        <v>605</v>
      </c>
      <c r="M1090" s="97">
        <v>19000</v>
      </c>
      <c r="N1090" s="97">
        <v>17000</v>
      </c>
      <c r="O1090" s="104">
        <v>46171</v>
      </c>
      <c r="P1090" s="97">
        <f t="shared" si="2144"/>
        <v>2000</v>
      </c>
      <c r="Q1090" s="97" t="s">
        <v>33</v>
      </c>
      <c r="R1090" s="97" t="s">
        <v>112</v>
      </c>
      <c r="S1090" s="97">
        <v>24000</v>
      </c>
      <c r="T1090" s="64" t="s">
        <v>33</v>
      </c>
      <c r="U1090" s="65" t="s">
        <v>33</v>
      </c>
      <c r="V1090" s="97" t="s">
        <v>28</v>
      </c>
      <c r="W1090" s="97">
        <f t="shared" si="2145"/>
        <v>5000</v>
      </c>
      <c r="X1090" s="97" t="s">
        <v>36</v>
      </c>
      <c r="Y1090" s="97" t="s">
        <v>29</v>
      </c>
      <c r="Z1090" s="105">
        <f t="shared" si="2146"/>
        <v>26.315789473684209</v>
      </c>
      <c r="AA1090" s="93"/>
    </row>
    <row r="1091" spans="1:27" s="101" customFormat="1" hidden="1">
      <c r="A1091" s="97">
        <f>SUBTOTAL(3,C$2:C1091)</f>
        <v>468</v>
      </c>
      <c r="B1091" s="97" t="s">
        <v>1086</v>
      </c>
      <c r="C1091" s="97" t="s">
        <v>31</v>
      </c>
      <c r="D1091" s="97" t="s">
        <v>32</v>
      </c>
      <c r="E1091" s="97" t="s">
        <v>33</v>
      </c>
      <c r="F1091" s="101" t="s">
        <v>831</v>
      </c>
      <c r="G1091" s="102" t="s">
        <v>34</v>
      </c>
      <c r="H1091" s="111" t="s">
        <v>2364</v>
      </c>
      <c r="I1091" s="104">
        <v>46170</v>
      </c>
      <c r="J1091" s="97">
        <f t="shared" ref="J1091" ca="1" si="2147">+TODAY()-I1091</f>
        <v>14</v>
      </c>
      <c r="K1091" s="97" t="str">
        <f t="shared" ref="K1091" si="2148">+U1091</f>
        <v>Pending</v>
      </c>
      <c r="L1091" s="101" t="s">
        <v>1697</v>
      </c>
      <c r="M1091" s="97">
        <v>18300</v>
      </c>
      <c r="N1091" s="97">
        <v>16500</v>
      </c>
      <c r="O1091" s="104">
        <v>46171</v>
      </c>
      <c r="P1091" s="97">
        <f t="shared" ref="P1091" si="2149">+M1091-N1091</f>
        <v>1800</v>
      </c>
      <c r="Q1091" s="97" t="s">
        <v>33</v>
      </c>
      <c r="R1091" s="97" t="s">
        <v>37</v>
      </c>
      <c r="S1091" s="97">
        <v>21500</v>
      </c>
      <c r="T1091" s="64" t="s">
        <v>33</v>
      </c>
      <c r="U1091" s="65" t="s">
        <v>33</v>
      </c>
      <c r="V1091" s="97" t="s">
        <v>28</v>
      </c>
      <c r="W1091" s="97">
        <f t="shared" ref="W1091" si="2150">+S1091-M1091</f>
        <v>3200</v>
      </c>
      <c r="X1091" s="97" t="s">
        <v>36</v>
      </c>
      <c r="Y1091" s="97" t="s">
        <v>29</v>
      </c>
      <c r="Z1091" s="105">
        <f t="shared" ref="Z1091" si="2151">+W1091*100/M1091</f>
        <v>17.486338797814209</v>
      </c>
      <c r="AA1091" s="93"/>
    </row>
    <row r="1092" spans="1:27" s="101" customFormat="1" hidden="1">
      <c r="A1092" s="97">
        <f>SUBTOTAL(3,C$2:C1092)</f>
        <v>468</v>
      </c>
      <c r="B1092" s="97" t="s">
        <v>1086</v>
      </c>
      <c r="C1092" s="97" t="s">
        <v>31</v>
      </c>
      <c r="D1092" s="97" t="s">
        <v>32</v>
      </c>
      <c r="E1092" s="97" t="s">
        <v>33</v>
      </c>
      <c r="F1092" s="101" t="s">
        <v>92</v>
      </c>
      <c r="G1092" s="102" t="s">
        <v>34</v>
      </c>
      <c r="H1092" s="111" t="s">
        <v>2365</v>
      </c>
      <c r="I1092" s="104">
        <v>46170</v>
      </c>
      <c r="J1092" s="97">
        <f t="shared" ref="J1092:J1095" ca="1" si="2152">+TODAY()-I1092</f>
        <v>14</v>
      </c>
      <c r="K1092" s="97" t="str">
        <f t="shared" ref="K1092:K1095" si="2153">+U1092</f>
        <v>Pending</v>
      </c>
      <c r="L1092" s="101" t="s">
        <v>1411</v>
      </c>
      <c r="M1092" s="97">
        <v>19000</v>
      </c>
      <c r="N1092" s="97">
        <v>17000</v>
      </c>
      <c r="O1092" s="104">
        <v>46171</v>
      </c>
      <c r="P1092" s="97">
        <f t="shared" ref="P1092:P1095" si="2154">+M1092-N1092</f>
        <v>2000</v>
      </c>
      <c r="Q1092" s="97" t="s">
        <v>33</v>
      </c>
      <c r="R1092" s="97" t="s">
        <v>39</v>
      </c>
      <c r="S1092" s="97">
        <v>21800</v>
      </c>
      <c r="T1092" s="64" t="s">
        <v>33</v>
      </c>
      <c r="U1092" s="65" t="s">
        <v>33</v>
      </c>
      <c r="V1092" s="97" t="s">
        <v>28</v>
      </c>
      <c r="W1092" s="97">
        <f t="shared" ref="W1092:W1095" si="2155">+S1092-M1092</f>
        <v>2800</v>
      </c>
      <c r="X1092" s="97" t="s">
        <v>36</v>
      </c>
      <c r="Y1092" s="97" t="s">
        <v>29</v>
      </c>
      <c r="Z1092" s="105">
        <f t="shared" ref="Z1092:Z1095" si="2156">+W1092*100/M1092</f>
        <v>14.736842105263158</v>
      </c>
      <c r="AA1092" s="93"/>
    </row>
    <row r="1093" spans="1:27" s="101" customFormat="1" hidden="1">
      <c r="A1093" s="97">
        <f>SUBTOTAL(3,C$2:C1093)</f>
        <v>468</v>
      </c>
      <c r="B1093" s="97" t="s">
        <v>1086</v>
      </c>
      <c r="C1093" s="97" t="s">
        <v>1940</v>
      </c>
      <c r="D1093" s="97" t="s">
        <v>32</v>
      </c>
      <c r="E1093" s="97" t="s">
        <v>33</v>
      </c>
      <c r="F1093" s="101" t="s">
        <v>2350</v>
      </c>
      <c r="G1093" s="102" t="s">
        <v>1942</v>
      </c>
      <c r="H1093" s="111" t="s">
        <v>2366</v>
      </c>
      <c r="I1093" s="104">
        <v>46170</v>
      </c>
      <c r="J1093" s="97">
        <f t="shared" ca="1" si="2152"/>
        <v>14</v>
      </c>
      <c r="K1093" s="97" t="str">
        <f t="shared" si="2153"/>
        <v>Pending</v>
      </c>
      <c r="L1093" s="101" t="s">
        <v>141</v>
      </c>
      <c r="M1093" s="97">
        <f>3000+38500</f>
        <v>41500</v>
      </c>
      <c r="N1093" s="97">
        <v>35500</v>
      </c>
      <c r="O1093" s="104">
        <v>46171</v>
      </c>
      <c r="P1093" s="97">
        <f t="shared" si="2154"/>
        <v>6000</v>
      </c>
      <c r="Q1093" s="97" t="s">
        <v>33</v>
      </c>
      <c r="R1093" s="97" t="s">
        <v>52</v>
      </c>
      <c r="S1093" s="97">
        <f>5000+42000</f>
        <v>47000</v>
      </c>
      <c r="T1093" s="64" t="s">
        <v>33</v>
      </c>
      <c r="U1093" s="65" t="s">
        <v>33</v>
      </c>
      <c r="V1093" s="97" t="s">
        <v>28</v>
      </c>
      <c r="W1093" s="97">
        <f t="shared" si="2155"/>
        <v>5500</v>
      </c>
      <c r="X1093" s="97" t="s">
        <v>36</v>
      </c>
      <c r="Y1093" s="97" t="s">
        <v>29</v>
      </c>
      <c r="Z1093" s="105">
        <f t="shared" si="2156"/>
        <v>13.253012048192771</v>
      </c>
      <c r="AA1093" s="93"/>
    </row>
    <row r="1094" spans="1:27" s="101" customFormat="1" hidden="1">
      <c r="A1094" s="97">
        <f>SUBTOTAL(3,C$2:C1094)</f>
        <v>468</v>
      </c>
      <c r="B1094" s="97" t="s">
        <v>1086</v>
      </c>
      <c r="C1094" s="97" t="s">
        <v>44</v>
      </c>
      <c r="D1094" s="97" t="s">
        <v>32</v>
      </c>
      <c r="E1094" s="97" t="s">
        <v>33</v>
      </c>
      <c r="F1094" s="101" t="s">
        <v>150</v>
      </c>
      <c r="G1094" s="102">
        <v>407</v>
      </c>
      <c r="H1094" s="103" t="s">
        <v>2367</v>
      </c>
      <c r="I1094" s="104">
        <v>46170</v>
      </c>
      <c r="J1094" s="97">
        <f t="shared" ca="1" si="2152"/>
        <v>14</v>
      </c>
      <c r="K1094" s="97" t="str">
        <f t="shared" si="2153"/>
        <v>Pending</v>
      </c>
      <c r="L1094" s="101" t="s">
        <v>84</v>
      </c>
      <c r="M1094" s="97">
        <v>28000</v>
      </c>
      <c r="N1094" s="97">
        <v>26000</v>
      </c>
      <c r="O1094" s="104">
        <v>46171</v>
      </c>
      <c r="P1094" s="97">
        <f t="shared" si="2154"/>
        <v>2000</v>
      </c>
      <c r="Q1094" s="97" t="s">
        <v>33</v>
      </c>
      <c r="R1094" s="97" t="s">
        <v>78</v>
      </c>
      <c r="S1094" s="97">
        <v>29800</v>
      </c>
      <c r="T1094" s="64" t="s">
        <v>33</v>
      </c>
      <c r="U1094" s="65" t="s">
        <v>33</v>
      </c>
      <c r="V1094" s="97" t="s">
        <v>28</v>
      </c>
      <c r="W1094" s="97">
        <f t="shared" si="2155"/>
        <v>1800</v>
      </c>
      <c r="X1094" s="97" t="s">
        <v>36</v>
      </c>
      <c r="Y1094" s="97" t="s">
        <v>29</v>
      </c>
      <c r="Z1094" s="105">
        <f t="shared" si="2156"/>
        <v>6.4285714285714288</v>
      </c>
      <c r="AA1094" s="93"/>
    </row>
    <row r="1095" spans="1:27" s="101" customFormat="1" hidden="1">
      <c r="A1095" s="97">
        <f>SUBTOTAL(3,C$2:C1095)</f>
        <v>468</v>
      </c>
      <c r="B1095" s="97" t="s">
        <v>1086</v>
      </c>
      <c r="C1095" s="97" t="s">
        <v>1031</v>
      </c>
      <c r="D1095" s="97" t="s">
        <v>32</v>
      </c>
      <c r="E1095" s="97" t="s">
        <v>33</v>
      </c>
      <c r="F1095" s="101" t="s">
        <v>2354</v>
      </c>
      <c r="G1095" s="102" t="s">
        <v>34</v>
      </c>
      <c r="H1095" s="111" t="s">
        <v>2377</v>
      </c>
      <c r="I1095" s="104">
        <v>46170</v>
      </c>
      <c r="J1095" s="97">
        <f t="shared" ca="1" si="2152"/>
        <v>14</v>
      </c>
      <c r="K1095" s="97" t="str">
        <f t="shared" si="2153"/>
        <v>Pending</v>
      </c>
      <c r="L1095" s="101" t="s">
        <v>783</v>
      </c>
      <c r="M1095" s="97">
        <v>18000</v>
      </c>
      <c r="N1095" s="97">
        <v>16000</v>
      </c>
      <c r="O1095" s="104">
        <v>46171</v>
      </c>
      <c r="P1095" s="97">
        <f t="shared" si="2154"/>
        <v>2000</v>
      </c>
      <c r="Q1095" s="97" t="s">
        <v>33</v>
      </c>
      <c r="R1095" s="97" t="s">
        <v>56</v>
      </c>
      <c r="S1095" s="97">
        <v>20500</v>
      </c>
      <c r="T1095" s="64" t="s">
        <v>33</v>
      </c>
      <c r="U1095" s="65" t="s">
        <v>33</v>
      </c>
      <c r="V1095" s="97" t="s">
        <v>28</v>
      </c>
      <c r="W1095" s="97">
        <f t="shared" si="2155"/>
        <v>2500</v>
      </c>
      <c r="X1095" s="97" t="s">
        <v>963</v>
      </c>
      <c r="Y1095" s="97" t="s">
        <v>29</v>
      </c>
      <c r="Z1095" s="105">
        <f t="shared" si="2156"/>
        <v>13.888888888888889</v>
      </c>
      <c r="AA1095" s="93"/>
    </row>
    <row r="1096" spans="1:27" s="101" customFormat="1" hidden="1">
      <c r="A1096" s="97">
        <f>SUBTOTAL(3,C$2:C1096)</f>
        <v>468</v>
      </c>
      <c r="B1096" s="97" t="s">
        <v>1086</v>
      </c>
      <c r="C1096" s="97" t="s">
        <v>31</v>
      </c>
      <c r="D1096" s="97" t="s">
        <v>32</v>
      </c>
      <c r="E1096" s="97" t="s">
        <v>33</v>
      </c>
      <c r="F1096" s="101" t="s">
        <v>92</v>
      </c>
      <c r="G1096" s="102" t="s">
        <v>34</v>
      </c>
      <c r="H1096" s="111" t="s">
        <v>2368</v>
      </c>
      <c r="I1096" s="104">
        <v>46170</v>
      </c>
      <c r="J1096" s="97">
        <f t="shared" ref="J1096" ca="1" si="2157">+TODAY()-I1096</f>
        <v>14</v>
      </c>
      <c r="K1096" s="97" t="str">
        <f t="shared" ref="K1096" si="2158">+U1096</f>
        <v>Pending</v>
      </c>
      <c r="L1096" s="101" t="s">
        <v>1411</v>
      </c>
      <c r="M1096" s="97">
        <v>19000</v>
      </c>
      <c r="N1096" s="97">
        <v>17000</v>
      </c>
      <c r="O1096" s="104">
        <v>46171</v>
      </c>
      <c r="P1096" s="97">
        <f t="shared" ref="P1096" si="2159">+M1096-N1096</f>
        <v>2000</v>
      </c>
      <c r="Q1096" s="97" t="s">
        <v>33</v>
      </c>
      <c r="R1096" s="97" t="s">
        <v>37</v>
      </c>
      <c r="S1096" s="97">
        <v>21800</v>
      </c>
      <c r="T1096" s="64" t="s">
        <v>33</v>
      </c>
      <c r="U1096" s="65" t="s">
        <v>33</v>
      </c>
      <c r="V1096" s="97" t="s">
        <v>28</v>
      </c>
      <c r="W1096" s="97">
        <f t="shared" ref="W1096" si="2160">+S1096-M1096</f>
        <v>2800</v>
      </c>
      <c r="X1096" s="97" t="s">
        <v>36</v>
      </c>
      <c r="Y1096" s="97" t="s">
        <v>29</v>
      </c>
      <c r="Z1096" s="105">
        <f t="shared" ref="Z1096" si="2161">+W1096*100/M1096</f>
        <v>14.736842105263158</v>
      </c>
      <c r="AA1096" s="93"/>
    </row>
    <row r="1097" spans="1:27" s="101" customFormat="1" hidden="1">
      <c r="A1097" s="97">
        <f>SUBTOTAL(3,C$2:C1097)</f>
        <v>468</v>
      </c>
      <c r="B1097" s="97" t="s">
        <v>1086</v>
      </c>
      <c r="C1097" s="97" t="s">
        <v>31</v>
      </c>
      <c r="D1097" s="97" t="s">
        <v>32</v>
      </c>
      <c r="E1097" s="97" t="s">
        <v>33</v>
      </c>
      <c r="F1097" s="101" t="s">
        <v>191</v>
      </c>
      <c r="G1097" s="102" t="s">
        <v>34</v>
      </c>
      <c r="H1097" s="111" t="s">
        <v>2369</v>
      </c>
      <c r="I1097" s="104">
        <v>46170</v>
      </c>
      <c r="J1097" s="97">
        <f t="shared" ref="J1097:J1098" ca="1" si="2162">+TODAY()-I1097</f>
        <v>14</v>
      </c>
      <c r="K1097" s="97" t="str">
        <f t="shared" ref="K1097:K1098" si="2163">+U1097</f>
        <v>Pending</v>
      </c>
      <c r="L1097" s="101" t="s">
        <v>483</v>
      </c>
      <c r="M1097" s="97">
        <v>24000</v>
      </c>
      <c r="N1097" s="97">
        <v>22000</v>
      </c>
      <c r="O1097" s="104">
        <v>46171</v>
      </c>
      <c r="P1097" s="97">
        <f t="shared" ref="P1097:P1098" si="2164">+M1097-N1097</f>
        <v>2000</v>
      </c>
      <c r="Q1097" s="97" t="s">
        <v>33</v>
      </c>
      <c r="R1097" s="97" t="s">
        <v>37</v>
      </c>
      <c r="S1097" s="97">
        <v>26000</v>
      </c>
      <c r="T1097" s="64" t="s">
        <v>33</v>
      </c>
      <c r="U1097" s="65" t="s">
        <v>33</v>
      </c>
      <c r="V1097" s="97" t="s">
        <v>28</v>
      </c>
      <c r="W1097" s="97">
        <f t="shared" ref="W1097:W1098" si="2165">+S1097-M1097</f>
        <v>2000</v>
      </c>
      <c r="X1097" s="97" t="s">
        <v>36</v>
      </c>
      <c r="Y1097" s="97" t="s">
        <v>29</v>
      </c>
      <c r="Z1097" s="105">
        <f t="shared" ref="Z1097:Z1098" si="2166">+W1097*100/M1097</f>
        <v>8.3333333333333339</v>
      </c>
      <c r="AA1097" s="93"/>
    </row>
    <row r="1098" spans="1:27" s="101" customFormat="1" hidden="1">
      <c r="A1098" s="97">
        <f>SUBTOTAL(3,C$2:C1098)</f>
        <v>468</v>
      </c>
      <c r="B1098" s="97" t="s">
        <v>1086</v>
      </c>
      <c r="C1098" s="97" t="s">
        <v>44</v>
      </c>
      <c r="D1098" s="97" t="s">
        <v>32</v>
      </c>
      <c r="E1098" s="97" t="s">
        <v>33</v>
      </c>
      <c r="F1098" s="101" t="s">
        <v>2351</v>
      </c>
      <c r="G1098" s="102" t="s">
        <v>994</v>
      </c>
      <c r="H1098" s="111" t="s">
        <v>2370</v>
      </c>
      <c r="I1098" s="104">
        <v>46170</v>
      </c>
      <c r="J1098" s="97">
        <f t="shared" ca="1" si="2162"/>
        <v>14</v>
      </c>
      <c r="K1098" s="97" t="str">
        <f t="shared" si="2163"/>
        <v>Pending</v>
      </c>
      <c r="L1098" s="101" t="s">
        <v>995</v>
      </c>
      <c r="M1098" s="97">
        <v>39000</v>
      </c>
      <c r="N1098" s="97">
        <v>36000</v>
      </c>
      <c r="O1098" s="104">
        <v>46171</v>
      </c>
      <c r="P1098" s="97">
        <f t="shared" si="2164"/>
        <v>3000</v>
      </c>
      <c r="Q1098" s="97" t="s">
        <v>33</v>
      </c>
      <c r="R1098" s="97" t="s">
        <v>52</v>
      </c>
      <c r="S1098" s="97">
        <v>44000</v>
      </c>
      <c r="T1098" s="64" t="s">
        <v>33</v>
      </c>
      <c r="U1098" s="65" t="s">
        <v>33</v>
      </c>
      <c r="V1098" s="97" t="s">
        <v>28</v>
      </c>
      <c r="W1098" s="97">
        <f t="shared" si="2165"/>
        <v>5000</v>
      </c>
      <c r="X1098" s="97" t="s">
        <v>36</v>
      </c>
      <c r="Y1098" s="97" t="s">
        <v>29</v>
      </c>
      <c r="Z1098" s="105">
        <f t="shared" si="2166"/>
        <v>12.820512820512821</v>
      </c>
      <c r="AA1098" s="93"/>
    </row>
    <row r="1099" spans="1:27" s="101" customFormat="1" hidden="1">
      <c r="A1099" s="97">
        <f>SUBTOTAL(3,C$2:C1099)</f>
        <v>468</v>
      </c>
      <c r="B1099" s="97" t="s">
        <v>1086</v>
      </c>
      <c r="C1099" s="97" t="s">
        <v>31</v>
      </c>
      <c r="D1099" s="97" t="s">
        <v>32</v>
      </c>
      <c r="E1099" s="97" t="s">
        <v>33</v>
      </c>
      <c r="F1099" s="101" t="s">
        <v>279</v>
      </c>
      <c r="G1099" s="102" t="s">
        <v>34</v>
      </c>
      <c r="H1099" s="111" t="s">
        <v>2371</v>
      </c>
      <c r="I1099" s="104">
        <v>46170</v>
      </c>
      <c r="J1099" s="97">
        <f t="shared" ref="J1099:J1101" ca="1" si="2167">+TODAY()-I1099</f>
        <v>14</v>
      </c>
      <c r="K1099" s="97" t="str">
        <f t="shared" ref="K1099:K1101" si="2168">+U1099</f>
        <v>Pending</v>
      </c>
      <c r="L1099" s="101" t="s">
        <v>1411</v>
      </c>
      <c r="M1099" s="97">
        <v>19000</v>
      </c>
      <c r="N1099" s="97">
        <v>17000</v>
      </c>
      <c r="O1099" s="104">
        <v>46171</v>
      </c>
      <c r="P1099" s="97">
        <f t="shared" ref="P1099:P1101" si="2169">+M1099-N1099</f>
        <v>2000</v>
      </c>
      <c r="Q1099" s="97" t="s">
        <v>33</v>
      </c>
      <c r="R1099" s="97" t="s">
        <v>39</v>
      </c>
      <c r="S1099" s="97">
        <v>21800</v>
      </c>
      <c r="T1099" s="64" t="s">
        <v>33</v>
      </c>
      <c r="U1099" s="65" t="s">
        <v>33</v>
      </c>
      <c r="V1099" s="97" t="s">
        <v>28</v>
      </c>
      <c r="W1099" s="97">
        <f t="shared" ref="W1099:W1101" si="2170">+S1099-M1099</f>
        <v>2800</v>
      </c>
      <c r="X1099" s="97" t="s">
        <v>36</v>
      </c>
      <c r="Y1099" s="97" t="s">
        <v>29</v>
      </c>
      <c r="Z1099" s="105">
        <f t="shared" ref="Z1099:Z1101" si="2171">+W1099*100/M1099</f>
        <v>14.736842105263158</v>
      </c>
      <c r="AA1099" s="93"/>
    </row>
    <row r="1100" spans="1:27" s="101" customFormat="1" hidden="1">
      <c r="A1100" s="97">
        <f>SUBTOTAL(3,C$2:C1100)</f>
        <v>468</v>
      </c>
      <c r="B1100" s="97" t="s">
        <v>1086</v>
      </c>
      <c r="C1100" s="97" t="s">
        <v>44</v>
      </c>
      <c r="D1100" s="97" t="s">
        <v>32</v>
      </c>
      <c r="E1100" s="97" t="s">
        <v>33</v>
      </c>
      <c r="F1100" s="101" t="s">
        <v>2264</v>
      </c>
      <c r="G1100" s="102" t="s">
        <v>994</v>
      </c>
      <c r="H1100" s="111" t="s">
        <v>2384</v>
      </c>
      <c r="I1100" s="104">
        <v>46171</v>
      </c>
      <c r="J1100" s="97">
        <f t="shared" ca="1" si="2167"/>
        <v>13</v>
      </c>
      <c r="K1100" s="97" t="str">
        <f t="shared" si="2168"/>
        <v>Pending</v>
      </c>
      <c r="L1100" s="101" t="s">
        <v>995</v>
      </c>
      <c r="M1100" s="97">
        <v>28500</v>
      </c>
      <c r="N1100" s="97">
        <v>26500</v>
      </c>
      <c r="O1100" s="104">
        <v>46171</v>
      </c>
      <c r="P1100" s="97">
        <f t="shared" si="2169"/>
        <v>2000</v>
      </c>
      <c r="Q1100" s="97" t="s">
        <v>33</v>
      </c>
      <c r="R1100" s="97" t="s">
        <v>52</v>
      </c>
      <c r="S1100" s="97">
        <v>31500</v>
      </c>
      <c r="T1100" s="64" t="s">
        <v>33</v>
      </c>
      <c r="U1100" s="65" t="s">
        <v>33</v>
      </c>
      <c r="V1100" s="97" t="s">
        <v>28</v>
      </c>
      <c r="W1100" s="97">
        <f t="shared" si="2170"/>
        <v>3000</v>
      </c>
      <c r="X1100" s="97" t="s">
        <v>36</v>
      </c>
      <c r="Y1100" s="97" t="s">
        <v>29</v>
      </c>
      <c r="Z1100" s="105">
        <f t="shared" si="2171"/>
        <v>10.526315789473685</v>
      </c>
      <c r="AA1100" s="93"/>
    </row>
    <row r="1101" spans="1:27" s="101" customFormat="1" hidden="1">
      <c r="A1101" s="97">
        <f>SUBTOTAL(3,C$2:C1101)</f>
        <v>468</v>
      </c>
      <c r="B1101" s="97" t="s">
        <v>1086</v>
      </c>
      <c r="C1101" s="97" t="s">
        <v>44</v>
      </c>
      <c r="D1101" s="97" t="s">
        <v>32</v>
      </c>
      <c r="E1101" s="97" t="s">
        <v>33</v>
      </c>
      <c r="F1101" s="101" t="s">
        <v>2359</v>
      </c>
      <c r="G1101" s="102" t="s">
        <v>1093</v>
      </c>
      <c r="H1101" s="111" t="s">
        <v>2385</v>
      </c>
      <c r="I1101" s="104">
        <v>46171</v>
      </c>
      <c r="J1101" s="97">
        <f t="shared" ca="1" si="2167"/>
        <v>13</v>
      </c>
      <c r="K1101" s="97" t="str">
        <f t="shared" si="2168"/>
        <v>Pending</v>
      </c>
      <c r="L1101" s="101" t="s">
        <v>995</v>
      </c>
      <c r="M1101" s="97">
        <v>28500</v>
      </c>
      <c r="N1101" s="97">
        <v>26500</v>
      </c>
      <c r="O1101" s="104">
        <v>46171</v>
      </c>
      <c r="P1101" s="97">
        <f t="shared" si="2169"/>
        <v>2000</v>
      </c>
      <c r="Q1101" s="97" t="s">
        <v>33</v>
      </c>
      <c r="R1101" s="97" t="s">
        <v>174</v>
      </c>
      <c r="S1101" s="97">
        <v>31500</v>
      </c>
      <c r="T1101" s="64" t="s">
        <v>33</v>
      </c>
      <c r="U1101" s="65" t="s">
        <v>33</v>
      </c>
      <c r="V1101" s="97" t="s">
        <v>28</v>
      </c>
      <c r="W1101" s="97">
        <f t="shared" si="2170"/>
        <v>3000</v>
      </c>
      <c r="X1101" s="97" t="s">
        <v>36</v>
      </c>
      <c r="Y1101" s="97" t="s">
        <v>29</v>
      </c>
      <c r="Z1101" s="105">
        <f t="shared" si="2171"/>
        <v>10.526315789473685</v>
      </c>
      <c r="AA1101" s="93"/>
    </row>
    <row r="1102" spans="1:27" s="101" customFormat="1" hidden="1">
      <c r="A1102" s="97">
        <f>SUBTOTAL(3,C$2:C1102)</f>
        <v>468</v>
      </c>
      <c r="B1102" s="97" t="s">
        <v>1086</v>
      </c>
      <c r="C1102" s="97" t="s">
        <v>31</v>
      </c>
      <c r="D1102" s="97" t="s">
        <v>32</v>
      </c>
      <c r="E1102" s="97" t="s">
        <v>33</v>
      </c>
      <c r="F1102" s="101" t="s">
        <v>2352</v>
      </c>
      <c r="G1102" s="102" t="s">
        <v>34</v>
      </c>
      <c r="H1102" s="111" t="s">
        <v>2372</v>
      </c>
      <c r="I1102" s="104">
        <v>46171</v>
      </c>
      <c r="J1102" s="97">
        <f t="shared" ref="J1102" ca="1" si="2172">+TODAY()-I1102</f>
        <v>13</v>
      </c>
      <c r="K1102" s="97" t="str">
        <f t="shared" ref="K1102" si="2173">+U1102</f>
        <v>Pending</v>
      </c>
      <c r="L1102" s="101" t="s">
        <v>1411</v>
      </c>
      <c r="M1102" s="97">
        <v>19000</v>
      </c>
      <c r="N1102" s="97">
        <v>17000</v>
      </c>
      <c r="O1102" s="104">
        <v>46171</v>
      </c>
      <c r="P1102" s="97">
        <f t="shared" ref="P1102" si="2174">+M1102-N1102</f>
        <v>2000</v>
      </c>
      <c r="Q1102" s="97" t="s">
        <v>33</v>
      </c>
      <c r="R1102" s="97" t="s">
        <v>39</v>
      </c>
      <c r="S1102" s="97">
        <v>21800</v>
      </c>
      <c r="T1102" s="64" t="s">
        <v>33</v>
      </c>
      <c r="U1102" s="65" t="s">
        <v>33</v>
      </c>
      <c r="V1102" s="97" t="s">
        <v>28</v>
      </c>
      <c r="W1102" s="97">
        <f t="shared" ref="W1102" si="2175">+S1102-M1102</f>
        <v>2800</v>
      </c>
      <c r="X1102" s="97" t="s">
        <v>36</v>
      </c>
      <c r="Y1102" s="97" t="s">
        <v>29</v>
      </c>
      <c r="Z1102" s="105">
        <f t="shared" ref="Z1102" si="2176">+W1102*100/M1102</f>
        <v>14.736842105263158</v>
      </c>
      <c r="AA1102" s="93"/>
    </row>
    <row r="1103" spans="1:27" s="101" customFormat="1" hidden="1">
      <c r="A1103" s="97">
        <f>SUBTOTAL(3,C$2:C1103)</f>
        <v>468</v>
      </c>
      <c r="B1103" s="97" t="s">
        <v>1086</v>
      </c>
      <c r="C1103" s="97" t="s">
        <v>31</v>
      </c>
      <c r="D1103" s="97" t="s">
        <v>32</v>
      </c>
      <c r="E1103" s="97" t="s">
        <v>33</v>
      </c>
      <c r="F1103" s="101" t="s">
        <v>42</v>
      </c>
      <c r="G1103" s="102" t="s">
        <v>34</v>
      </c>
      <c r="H1103" s="111" t="s">
        <v>2373</v>
      </c>
      <c r="I1103" s="104">
        <v>46171</v>
      </c>
      <c r="J1103" s="97">
        <f t="shared" ref="J1103:J1105" ca="1" si="2177">+TODAY()-I1103</f>
        <v>13</v>
      </c>
      <c r="K1103" s="97" t="str">
        <f t="shared" ref="K1103:K1105" si="2178">+U1103</f>
        <v>Pending</v>
      </c>
      <c r="L1103" s="101" t="s">
        <v>1697</v>
      </c>
      <c r="M1103" s="97">
        <v>18300</v>
      </c>
      <c r="N1103" s="97">
        <v>16500</v>
      </c>
      <c r="O1103" s="104">
        <v>46171</v>
      </c>
      <c r="P1103" s="97">
        <f t="shared" ref="P1103:P1105" si="2179">+M1103-N1103</f>
        <v>1800</v>
      </c>
      <c r="Q1103" s="97" t="s">
        <v>33</v>
      </c>
      <c r="R1103" s="97" t="s">
        <v>37</v>
      </c>
      <c r="S1103" s="97">
        <v>21500</v>
      </c>
      <c r="T1103" s="64" t="s">
        <v>33</v>
      </c>
      <c r="U1103" s="65" t="s">
        <v>33</v>
      </c>
      <c r="V1103" s="97" t="s">
        <v>28</v>
      </c>
      <c r="W1103" s="97">
        <f t="shared" ref="W1103:W1105" si="2180">+S1103-M1103</f>
        <v>3200</v>
      </c>
      <c r="X1103" s="97" t="s">
        <v>36</v>
      </c>
      <c r="Y1103" s="97" t="s">
        <v>29</v>
      </c>
      <c r="Z1103" s="105">
        <f t="shared" ref="Z1103:Z1105" si="2181">+W1103*100/M1103</f>
        <v>17.486338797814209</v>
      </c>
      <c r="AA1103" s="93"/>
    </row>
    <row r="1104" spans="1:27" s="101" customFormat="1" hidden="1">
      <c r="A1104" s="97">
        <f>SUBTOTAL(3,C$2:C1104)</f>
        <v>468</v>
      </c>
      <c r="B1104" s="97" t="s">
        <v>1086</v>
      </c>
      <c r="C1104" s="97" t="s">
        <v>284</v>
      </c>
      <c r="D1104" s="97" t="s">
        <v>32</v>
      </c>
      <c r="E1104" s="97" t="s">
        <v>33</v>
      </c>
      <c r="F1104" s="101" t="s">
        <v>285</v>
      </c>
      <c r="G1104" s="102" t="s">
        <v>50</v>
      </c>
      <c r="H1104" s="111" t="s">
        <v>2374</v>
      </c>
      <c r="I1104" s="104">
        <v>46171</v>
      </c>
      <c r="J1104" s="97">
        <f t="shared" ca="1" si="2177"/>
        <v>13</v>
      </c>
      <c r="K1104" s="97" t="str">
        <f t="shared" si="2178"/>
        <v>Pending</v>
      </c>
      <c r="L1104" s="101" t="s">
        <v>1851</v>
      </c>
      <c r="M1104" s="97">
        <f>3000+44000</f>
        <v>47000</v>
      </c>
      <c r="N1104" s="97">
        <v>40000</v>
      </c>
      <c r="O1104" s="104">
        <v>46171</v>
      </c>
      <c r="P1104" s="97">
        <f t="shared" si="2179"/>
        <v>7000</v>
      </c>
      <c r="Q1104" s="97" t="s">
        <v>33</v>
      </c>
      <c r="R1104" s="97" t="s">
        <v>52</v>
      </c>
      <c r="S1104" s="97">
        <f>5000+48000</f>
        <v>53000</v>
      </c>
      <c r="T1104" s="64" t="s">
        <v>33</v>
      </c>
      <c r="U1104" s="65" t="s">
        <v>33</v>
      </c>
      <c r="V1104" s="97" t="s">
        <v>28</v>
      </c>
      <c r="W1104" s="97">
        <f t="shared" si="2180"/>
        <v>6000</v>
      </c>
      <c r="X1104" s="97" t="s">
        <v>36</v>
      </c>
      <c r="Y1104" s="97" t="s">
        <v>29</v>
      </c>
      <c r="Z1104" s="105">
        <f t="shared" si="2181"/>
        <v>12.76595744680851</v>
      </c>
      <c r="AA1104" s="93"/>
    </row>
    <row r="1105" spans="1:27" s="101" customFormat="1" hidden="1">
      <c r="A1105" s="97">
        <f>SUBTOTAL(3,C$2:C1105)</f>
        <v>468</v>
      </c>
      <c r="B1105" s="97" t="s">
        <v>1086</v>
      </c>
      <c r="C1105" s="97" t="s">
        <v>1031</v>
      </c>
      <c r="D1105" s="97" t="s">
        <v>32</v>
      </c>
      <c r="E1105" s="97" t="s">
        <v>33</v>
      </c>
      <c r="F1105" s="101" t="s">
        <v>306</v>
      </c>
      <c r="G1105" s="102" t="s">
        <v>34</v>
      </c>
      <c r="H1105" s="111" t="s">
        <v>2375</v>
      </c>
      <c r="I1105" s="104">
        <v>46171</v>
      </c>
      <c r="J1105" s="97">
        <f t="shared" ca="1" si="2177"/>
        <v>13</v>
      </c>
      <c r="K1105" s="97" t="str">
        <f t="shared" si="2178"/>
        <v>Pending</v>
      </c>
      <c r="L1105" s="101" t="s">
        <v>1573</v>
      </c>
      <c r="M1105" s="97">
        <v>19000</v>
      </c>
      <c r="N1105" s="97">
        <v>17000</v>
      </c>
      <c r="O1105" s="104">
        <v>46171</v>
      </c>
      <c r="P1105" s="97">
        <f t="shared" si="2179"/>
        <v>2000</v>
      </c>
      <c r="Q1105" s="97" t="s">
        <v>33</v>
      </c>
      <c r="R1105" s="97" t="s">
        <v>39</v>
      </c>
      <c r="S1105" s="97">
        <v>21800</v>
      </c>
      <c r="T1105" s="64" t="s">
        <v>33</v>
      </c>
      <c r="U1105" s="65" t="s">
        <v>33</v>
      </c>
      <c r="V1105" s="97" t="s">
        <v>28</v>
      </c>
      <c r="W1105" s="97">
        <f t="shared" si="2180"/>
        <v>2800</v>
      </c>
      <c r="X1105" s="97" t="s">
        <v>963</v>
      </c>
      <c r="Y1105" s="97" t="s">
        <v>29</v>
      </c>
      <c r="Z1105" s="105">
        <f t="shared" si="2181"/>
        <v>14.736842105263158</v>
      </c>
      <c r="AA1105" s="93"/>
    </row>
    <row r="1106" spans="1:27" s="101" customFormat="1" hidden="1">
      <c r="A1106" s="97">
        <f>SUBTOTAL(3,C$2:C1106)</f>
        <v>468</v>
      </c>
      <c r="B1106" s="97" t="s">
        <v>1086</v>
      </c>
      <c r="C1106" s="97" t="s">
        <v>31</v>
      </c>
      <c r="D1106" s="97" t="s">
        <v>32</v>
      </c>
      <c r="E1106" s="97" t="s">
        <v>33</v>
      </c>
      <c r="F1106" s="101" t="s">
        <v>2353</v>
      </c>
      <c r="G1106" s="102" t="s">
        <v>34</v>
      </c>
      <c r="H1106" s="111" t="s">
        <v>2376</v>
      </c>
      <c r="I1106" s="104">
        <v>46171</v>
      </c>
      <c r="J1106" s="97">
        <f t="shared" ref="J1106" ca="1" si="2182">+TODAY()-I1106</f>
        <v>13</v>
      </c>
      <c r="K1106" s="97" t="str">
        <f t="shared" ref="K1106" si="2183">+U1106</f>
        <v>Pending</v>
      </c>
      <c r="L1106" s="101" t="s">
        <v>2312</v>
      </c>
      <c r="M1106" s="97">
        <v>24000</v>
      </c>
      <c r="N1106" s="97">
        <v>22000</v>
      </c>
      <c r="O1106" s="104">
        <v>46171</v>
      </c>
      <c r="P1106" s="97">
        <f t="shared" ref="P1106" si="2184">+M1106-N1106</f>
        <v>2000</v>
      </c>
      <c r="Q1106" s="97" t="s">
        <v>33</v>
      </c>
      <c r="R1106" s="97" t="s">
        <v>37</v>
      </c>
      <c r="S1106" s="97">
        <v>26000</v>
      </c>
      <c r="T1106" s="64" t="s">
        <v>33</v>
      </c>
      <c r="U1106" s="65" t="s">
        <v>33</v>
      </c>
      <c r="V1106" s="97" t="s">
        <v>28</v>
      </c>
      <c r="W1106" s="97">
        <f t="shared" ref="W1106" si="2185">+S1106-M1106</f>
        <v>2000</v>
      </c>
      <c r="X1106" s="97" t="s">
        <v>36</v>
      </c>
      <c r="Y1106" s="97" t="s">
        <v>29</v>
      </c>
      <c r="Z1106" s="105">
        <f t="shared" ref="Z1106" si="2186">+W1106*100/M1106</f>
        <v>8.3333333333333339</v>
      </c>
      <c r="AA1106" s="93"/>
    </row>
    <row r="1107" spans="1:27" s="101" customFormat="1" hidden="1">
      <c r="A1107" s="97">
        <f>SUBTOTAL(3,C$2:C1107)</f>
        <v>468</v>
      </c>
      <c r="B1107" s="97" t="s">
        <v>1086</v>
      </c>
      <c r="C1107" s="97" t="s">
        <v>1031</v>
      </c>
      <c r="D1107" s="97" t="s">
        <v>32</v>
      </c>
      <c r="E1107" s="97" t="s">
        <v>33</v>
      </c>
      <c r="F1107" s="101" t="s">
        <v>922</v>
      </c>
      <c r="G1107" s="102" t="s">
        <v>34</v>
      </c>
      <c r="H1107" s="111" t="s">
        <v>2378</v>
      </c>
      <c r="I1107" s="104">
        <v>46171</v>
      </c>
      <c r="J1107" s="97">
        <f t="shared" ref="J1107" ca="1" si="2187">+TODAY()-I1107</f>
        <v>13</v>
      </c>
      <c r="K1107" s="97" t="str">
        <f t="shared" ref="K1107" si="2188">+U1107</f>
        <v>Pending</v>
      </c>
      <c r="L1107" s="101" t="s">
        <v>783</v>
      </c>
      <c r="M1107" s="97">
        <v>18000</v>
      </c>
      <c r="N1107" s="97">
        <v>16000</v>
      </c>
      <c r="O1107" s="104">
        <v>46171</v>
      </c>
      <c r="P1107" s="97">
        <f t="shared" ref="P1107" si="2189">+M1107-N1107</f>
        <v>2000</v>
      </c>
      <c r="Q1107" s="97" t="s">
        <v>33</v>
      </c>
      <c r="R1107" s="97" t="s">
        <v>56</v>
      </c>
      <c r="S1107" s="97">
        <v>20500</v>
      </c>
      <c r="T1107" s="64" t="s">
        <v>33</v>
      </c>
      <c r="U1107" s="65" t="s">
        <v>33</v>
      </c>
      <c r="V1107" s="97" t="s">
        <v>28</v>
      </c>
      <c r="W1107" s="97">
        <f t="shared" ref="W1107" si="2190">+S1107-M1107</f>
        <v>2500</v>
      </c>
      <c r="X1107" s="97" t="s">
        <v>963</v>
      </c>
      <c r="Y1107" s="97" t="s">
        <v>29</v>
      </c>
      <c r="Z1107" s="105">
        <f t="shared" ref="Z1107" si="2191">+W1107*100/M1107</f>
        <v>13.888888888888889</v>
      </c>
      <c r="AA1107" s="93"/>
    </row>
    <row r="1108" spans="1:27" s="101" customFormat="1" hidden="1">
      <c r="A1108" s="97">
        <f>SUBTOTAL(3,C$2:C1108)</f>
        <v>468</v>
      </c>
      <c r="B1108" s="97" t="s">
        <v>1086</v>
      </c>
      <c r="C1108" s="97" t="s">
        <v>1031</v>
      </c>
      <c r="D1108" s="97" t="s">
        <v>32</v>
      </c>
      <c r="E1108" s="97" t="s">
        <v>33</v>
      </c>
      <c r="F1108" s="101" t="s">
        <v>2355</v>
      </c>
      <c r="G1108" s="102" t="s">
        <v>34</v>
      </c>
      <c r="H1108" s="111" t="s">
        <v>2379</v>
      </c>
      <c r="I1108" s="104">
        <v>46171</v>
      </c>
      <c r="J1108" s="97">
        <f t="shared" ref="J1108:J1109" ca="1" si="2192">+TODAY()-I1108</f>
        <v>13</v>
      </c>
      <c r="K1108" s="97" t="str">
        <f t="shared" ref="K1108:K1109" si="2193">+U1108</f>
        <v>Pending</v>
      </c>
      <c r="L1108" s="101" t="s">
        <v>783</v>
      </c>
      <c r="M1108" s="97">
        <v>18000</v>
      </c>
      <c r="N1108" s="97">
        <v>16000</v>
      </c>
      <c r="O1108" s="104">
        <v>46171</v>
      </c>
      <c r="P1108" s="97">
        <f t="shared" ref="P1108:P1109" si="2194">+M1108-N1108</f>
        <v>2000</v>
      </c>
      <c r="Q1108" s="97" t="s">
        <v>33</v>
      </c>
      <c r="R1108" s="97" t="s">
        <v>56</v>
      </c>
      <c r="S1108" s="97">
        <v>20500</v>
      </c>
      <c r="T1108" s="64" t="s">
        <v>33</v>
      </c>
      <c r="U1108" s="65" t="s">
        <v>33</v>
      </c>
      <c r="V1108" s="97" t="s">
        <v>28</v>
      </c>
      <c r="W1108" s="97">
        <f t="shared" ref="W1108:W1109" si="2195">+S1108-M1108</f>
        <v>2500</v>
      </c>
      <c r="X1108" s="97" t="s">
        <v>963</v>
      </c>
      <c r="Y1108" s="97" t="s">
        <v>29</v>
      </c>
      <c r="Z1108" s="105">
        <f t="shared" ref="Z1108:Z1109" si="2196">+W1108*100/M1108</f>
        <v>13.888888888888889</v>
      </c>
      <c r="AA1108" s="93"/>
    </row>
    <row r="1109" spans="1:27" s="101" customFormat="1" hidden="1">
      <c r="A1109" s="97">
        <f>SUBTOTAL(3,C$2:C1109)</f>
        <v>468</v>
      </c>
      <c r="B1109" s="97" t="s">
        <v>1086</v>
      </c>
      <c r="C1109" s="97" t="s">
        <v>31</v>
      </c>
      <c r="D1109" s="97" t="s">
        <v>32</v>
      </c>
      <c r="E1109" s="97" t="s">
        <v>33</v>
      </c>
      <c r="F1109" s="101" t="s">
        <v>1861</v>
      </c>
      <c r="G1109" s="102" t="s">
        <v>34</v>
      </c>
      <c r="H1109" s="111" t="s">
        <v>2380</v>
      </c>
      <c r="I1109" s="104">
        <v>46171</v>
      </c>
      <c r="J1109" s="97">
        <f t="shared" ca="1" si="2192"/>
        <v>13</v>
      </c>
      <c r="K1109" s="97" t="str">
        <f t="shared" si="2193"/>
        <v>Pending</v>
      </c>
      <c r="L1109" s="101" t="s">
        <v>2356</v>
      </c>
      <c r="M1109" s="97">
        <v>18300</v>
      </c>
      <c r="N1109" s="97">
        <v>16500</v>
      </c>
      <c r="O1109" s="104">
        <v>46171</v>
      </c>
      <c r="P1109" s="97">
        <f t="shared" si="2194"/>
        <v>1800</v>
      </c>
      <c r="Q1109" s="97" t="s">
        <v>33</v>
      </c>
      <c r="R1109" s="97" t="s">
        <v>37</v>
      </c>
      <c r="S1109" s="97">
        <v>21500</v>
      </c>
      <c r="T1109" s="64" t="s">
        <v>33</v>
      </c>
      <c r="U1109" s="65" t="s">
        <v>33</v>
      </c>
      <c r="V1109" s="97" t="s">
        <v>28</v>
      </c>
      <c r="W1109" s="97">
        <f t="shared" si="2195"/>
        <v>3200</v>
      </c>
      <c r="X1109" s="97" t="s">
        <v>36</v>
      </c>
      <c r="Y1109" s="97" t="s">
        <v>29</v>
      </c>
      <c r="Z1109" s="105">
        <f t="shared" si="2196"/>
        <v>17.486338797814209</v>
      </c>
      <c r="AA1109" s="93"/>
    </row>
    <row r="1110" spans="1:27" s="101" customFormat="1" hidden="1">
      <c r="A1110" s="97">
        <f>SUBTOTAL(3,C$2:C1110)</f>
        <v>468</v>
      </c>
      <c r="B1110" s="97" t="s">
        <v>1086</v>
      </c>
      <c r="C1110" s="97" t="s">
        <v>31</v>
      </c>
      <c r="D1110" s="97" t="s">
        <v>32</v>
      </c>
      <c r="E1110" s="97" t="s">
        <v>33</v>
      </c>
      <c r="F1110" s="101" t="s">
        <v>1515</v>
      </c>
      <c r="G1110" s="102" t="s">
        <v>34</v>
      </c>
      <c r="H1110" s="111" t="s">
        <v>2381</v>
      </c>
      <c r="I1110" s="104">
        <v>46171</v>
      </c>
      <c r="J1110" s="97">
        <f t="shared" ref="J1110:J1112" ca="1" si="2197">+TODAY()-I1110</f>
        <v>13</v>
      </c>
      <c r="K1110" s="97" t="str">
        <f t="shared" ref="K1110:K1112" si="2198">+U1110</f>
        <v>Pending</v>
      </c>
      <c r="L1110" s="101" t="s">
        <v>2357</v>
      </c>
      <c r="M1110" s="97">
        <v>18300</v>
      </c>
      <c r="N1110" s="97">
        <v>16500</v>
      </c>
      <c r="O1110" s="104">
        <v>46171</v>
      </c>
      <c r="P1110" s="97">
        <f t="shared" ref="P1110" si="2199">+M1110-N1110</f>
        <v>1800</v>
      </c>
      <c r="Q1110" s="97" t="s">
        <v>33</v>
      </c>
      <c r="R1110" s="97" t="s">
        <v>37</v>
      </c>
      <c r="S1110" s="97">
        <v>21500</v>
      </c>
      <c r="T1110" s="64" t="s">
        <v>33</v>
      </c>
      <c r="U1110" s="65" t="s">
        <v>33</v>
      </c>
      <c r="V1110" s="97" t="s">
        <v>28</v>
      </c>
      <c r="W1110" s="97">
        <f t="shared" ref="W1110:W1112" si="2200">+S1110-M1110</f>
        <v>3200</v>
      </c>
      <c r="X1110" s="97" t="s">
        <v>36</v>
      </c>
      <c r="Y1110" s="97" t="s">
        <v>29</v>
      </c>
      <c r="Z1110" s="105">
        <f t="shared" ref="Z1110:Z1112" si="2201">+W1110*100/M1110</f>
        <v>17.486338797814209</v>
      </c>
      <c r="AA1110" s="93"/>
    </row>
    <row r="1111" spans="1:27" s="101" customFormat="1" hidden="1">
      <c r="A1111" s="97">
        <f>SUBTOTAL(3,C$2:C1111)</f>
        <v>468</v>
      </c>
      <c r="B1111" s="97" t="s">
        <v>1086</v>
      </c>
      <c r="C1111" s="97" t="s">
        <v>124</v>
      </c>
      <c r="D1111" s="97" t="s">
        <v>32</v>
      </c>
      <c r="E1111" s="97" t="s">
        <v>33</v>
      </c>
      <c r="F1111" s="101" t="s">
        <v>122</v>
      </c>
      <c r="G1111" s="102" t="s">
        <v>67</v>
      </c>
      <c r="H1111" s="103" t="s">
        <v>2382</v>
      </c>
      <c r="I1111" s="104">
        <v>46169</v>
      </c>
      <c r="J1111" s="97">
        <f t="shared" ca="1" si="2197"/>
        <v>15</v>
      </c>
      <c r="K1111" s="97" t="str">
        <f t="shared" si="2198"/>
        <v>Pending</v>
      </c>
      <c r="L1111" s="101" t="s">
        <v>1035</v>
      </c>
      <c r="M1111" s="97">
        <v>23000</v>
      </c>
      <c r="N1111" s="97">
        <v>23000</v>
      </c>
      <c r="O1111" s="104">
        <v>46171</v>
      </c>
      <c r="P1111" s="97">
        <f>+M1111-N1111</f>
        <v>0</v>
      </c>
      <c r="Q1111" s="97" t="s">
        <v>33</v>
      </c>
      <c r="R1111" s="97" t="s">
        <v>78</v>
      </c>
      <c r="S1111" s="97">
        <v>25500</v>
      </c>
      <c r="T1111" s="64" t="s">
        <v>33</v>
      </c>
      <c r="U1111" s="65" t="s">
        <v>33</v>
      </c>
      <c r="V1111" s="97" t="s">
        <v>28</v>
      </c>
      <c r="W1111" s="97">
        <f t="shared" si="2200"/>
        <v>2500</v>
      </c>
      <c r="X1111" s="97" t="s">
        <v>36</v>
      </c>
      <c r="Y1111" s="97" t="s">
        <v>29</v>
      </c>
      <c r="Z1111" s="105">
        <f t="shared" si="2201"/>
        <v>10.869565217391305</v>
      </c>
      <c r="AA1111" s="93"/>
    </row>
    <row r="1112" spans="1:27" s="101" customFormat="1" hidden="1">
      <c r="A1112" s="97">
        <f>SUBTOTAL(3,C$2:C1112)</f>
        <v>468</v>
      </c>
      <c r="B1112" s="97" t="s">
        <v>1086</v>
      </c>
      <c r="C1112" s="97" t="s">
        <v>227</v>
      </c>
      <c r="D1112" s="97" t="s">
        <v>32</v>
      </c>
      <c r="E1112" s="97" t="s">
        <v>33</v>
      </c>
      <c r="F1112" s="101" t="s">
        <v>228</v>
      </c>
      <c r="G1112" s="102" t="s">
        <v>34</v>
      </c>
      <c r="H1112" s="111" t="s">
        <v>2383</v>
      </c>
      <c r="I1112" s="104">
        <v>46171</v>
      </c>
      <c r="J1112" s="97">
        <f t="shared" ca="1" si="2197"/>
        <v>13</v>
      </c>
      <c r="K1112" s="97" t="str">
        <f t="shared" si="2198"/>
        <v>Pending</v>
      </c>
      <c r="L1112" s="101" t="s">
        <v>1484</v>
      </c>
      <c r="M1112" s="97">
        <v>17800</v>
      </c>
      <c r="N1112" s="97">
        <v>15800</v>
      </c>
      <c r="O1112" s="104">
        <v>46171</v>
      </c>
      <c r="P1112" s="97">
        <f t="shared" ref="P1112" si="2202">+M1112-N1112</f>
        <v>2000</v>
      </c>
      <c r="Q1112" s="97" t="s">
        <v>33</v>
      </c>
      <c r="R1112" s="97" t="s">
        <v>112</v>
      </c>
      <c r="S1112" s="97">
        <v>20050</v>
      </c>
      <c r="T1112" s="64" t="s">
        <v>33</v>
      </c>
      <c r="U1112" s="65" t="s">
        <v>33</v>
      </c>
      <c r="V1112" s="97" t="s">
        <v>28</v>
      </c>
      <c r="W1112" s="97">
        <f t="shared" si="2200"/>
        <v>2250</v>
      </c>
      <c r="X1112" s="97" t="s">
        <v>36</v>
      </c>
      <c r="Y1112" s="97" t="s">
        <v>29</v>
      </c>
      <c r="Z1112" s="105">
        <f t="shared" si="2201"/>
        <v>12.640449438202246</v>
      </c>
      <c r="AA1112" s="93"/>
    </row>
    <row r="1113" spans="1:27" s="101" customFormat="1" hidden="1">
      <c r="A1113" s="97">
        <f>SUBTOTAL(3,C$2:C1113)</f>
        <v>468</v>
      </c>
      <c r="B1113" s="97" t="s">
        <v>1086</v>
      </c>
      <c r="C1113" s="97" t="s">
        <v>1031</v>
      </c>
      <c r="D1113" s="97" t="s">
        <v>32</v>
      </c>
      <c r="E1113" s="97" t="s">
        <v>33</v>
      </c>
      <c r="F1113" s="101" t="s">
        <v>2360</v>
      </c>
      <c r="G1113" s="102" t="s">
        <v>34</v>
      </c>
      <c r="H1113" s="111" t="s">
        <v>2386</v>
      </c>
      <c r="I1113" s="104">
        <v>46171</v>
      </c>
      <c r="J1113" s="97">
        <f t="shared" ref="J1113" ca="1" si="2203">+TODAY()-I1113</f>
        <v>13</v>
      </c>
      <c r="K1113" s="97" t="str">
        <f t="shared" ref="K1113" si="2204">+U1113</f>
        <v>Pending</v>
      </c>
      <c r="L1113" s="101" t="s">
        <v>783</v>
      </c>
      <c r="M1113" s="97">
        <v>18000</v>
      </c>
      <c r="N1113" s="97">
        <v>16000</v>
      </c>
      <c r="O1113" s="104">
        <v>46171</v>
      </c>
      <c r="P1113" s="97">
        <f t="shared" ref="P1113" si="2205">+M1113-N1113</f>
        <v>2000</v>
      </c>
      <c r="Q1113" s="97" t="s">
        <v>33</v>
      </c>
      <c r="R1113" s="97" t="s">
        <v>56</v>
      </c>
      <c r="S1113" s="97">
        <v>20500</v>
      </c>
      <c r="T1113" s="64" t="s">
        <v>33</v>
      </c>
      <c r="U1113" s="65" t="s">
        <v>33</v>
      </c>
      <c r="V1113" s="97" t="s">
        <v>28</v>
      </c>
      <c r="W1113" s="97">
        <f t="shared" ref="W1113" si="2206">+S1113-M1113</f>
        <v>2500</v>
      </c>
      <c r="X1113" s="97" t="s">
        <v>963</v>
      </c>
      <c r="Y1113" s="97" t="s">
        <v>29</v>
      </c>
      <c r="Z1113" s="105">
        <f t="shared" ref="Z1113" si="2207">+W1113*100/M1113</f>
        <v>13.888888888888889</v>
      </c>
      <c r="AA1113" s="93"/>
    </row>
    <row r="1114" spans="1:27" s="101" customFormat="1" hidden="1">
      <c r="A1114" s="97">
        <f>SUBTOTAL(3,C$2:C1114)</f>
        <v>468</v>
      </c>
      <c r="B1114" s="97" t="s">
        <v>1086</v>
      </c>
      <c r="C1114" s="97" t="s">
        <v>1031</v>
      </c>
      <c r="D1114" s="97" t="s">
        <v>32</v>
      </c>
      <c r="E1114" s="97" t="s">
        <v>33</v>
      </c>
      <c r="F1114" s="101" t="s">
        <v>1209</v>
      </c>
      <c r="G1114" s="102" t="s">
        <v>34</v>
      </c>
      <c r="H1114" s="111" t="s">
        <v>2387</v>
      </c>
      <c r="I1114" s="104">
        <v>46171</v>
      </c>
      <c r="J1114" s="97">
        <f t="shared" ref="J1114:J1117" ca="1" si="2208">+TODAY()-I1114</f>
        <v>13</v>
      </c>
      <c r="K1114" s="97" t="str">
        <f t="shared" ref="K1114:K1117" si="2209">+U1114</f>
        <v>Pending</v>
      </c>
      <c r="L1114" s="101" t="s">
        <v>1040</v>
      </c>
      <c r="M1114" s="97">
        <v>18300</v>
      </c>
      <c r="N1114" s="97">
        <v>16300</v>
      </c>
      <c r="O1114" s="104">
        <v>46171</v>
      </c>
      <c r="P1114" s="97">
        <f t="shared" ref="P1114:P1117" si="2210">+M1114-N1114</f>
        <v>2000</v>
      </c>
      <c r="Q1114" s="97" t="s">
        <v>33</v>
      </c>
      <c r="R1114" s="97" t="s">
        <v>37</v>
      </c>
      <c r="S1114" s="97">
        <v>21500</v>
      </c>
      <c r="T1114" s="64" t="s">
        <v>33</v>
      </c>
      <c r="U1114" s="65" t="s">
        <v>33</v>
      </c>
      <c r="V1114" s="97" t="s">
        <v>28</v>
      </c>
      <c r="W1114" s="97">
        <f t="shared" ref="W1114:W1117" si="2211">+S1114-M1114</f>
        <v>3200</v>
      </c>
      <c r="X1114" s="97" t="s">
        <v>963</v>
      </c>
      <c r="Y1114" s="97" t="s">
        <v>29</v>
      </c>
      <c r="Z1114" s="105">
        <f t="shared" ref="Z1114:Z1117" si="2212">+W1114*100/M1114</f>
        <v>17.486338797814209</v>
      </c>
      <c r="AA1114" s="93"/>
    </row>
    <row r="1115" spans="1:27" s="101" customFormat="1">
      <c r="A1115" s="97">
        <f>SUBTOTAL(3,C$2:C1115)</f>
        <v>469</v>
      </c>
      <c r="B1115" s="97" t="s">
        <v>30</v>
      </c>
      <c r="C1115" s="97" t="s">
        <v>76</v>
      </c>
      <c r="D1115" s="97" t="s">
        <v>32</v>
      </c>
      <c r="E1115" s="97" t="s">
        <v>33</v>
      </c>
      <c r="F1115" s="101" t="s">
        <v>169</v>
      </c>
      <c r="G1115" s="102" t="s">
        <v>67</v>
      </c>
      <c r="H1115" s="111" t="s">
        <v>2388</v>
      </c>
      <c r="I1115" s="104">
        <v>46171</v>
      </c>
      <c r="J1115" s="97">
        <f t="shared" ca="1" si="2208"/>
        <v>13</v>
      </c>
      <c r="K1115" s="97" t="str">
        <f t="shared" si="2209"/>
        <v>Pending</v>
      </c>
      <c r="L1115" s="64" t="s">
        <v>97</v>
      </c>
      <c r="M1115" s="97">
        <f>3000+38500</f>
        <v>41500</v>
      </c>
      <c r="N1115" s="97">
        <v>35500</v>
      </c>
      <c r="O1115" s="104">
        <v>46171</v>
      </c>
      <c r="P1115" s="97">
        <f t="shared" si="2210"/>
        <v>6000</v>
      </c>
      <c r="Q1115" s="97" t="s">
        <v>33</v>
      </c>
      <c r="R1115" s="97" t="s">
        <v>52</v>
      </c>
      <c r="S1115" s="97">
        <f>5000+42000</f>
        <v>47000</v>
      </c>
      <c r="T1115" s="64" t="s">
        <v>33</v>
      </c>
      <c r="U1115" s="65" t="s">
        <v>33</v>
      </c>
      <c r="V1115" s="97" t="s">
        <v>28</v>
      </c>
      <c r="W1115" s="97">
        <f t="shared" si="2211"/>
        <v>5500</v>
      </c>
      <c r="X1115" s="97" t="s">
        <v>36</v>
      </c>
      <c r="Y1115" s="97" t="s">
        <v>29</v>
      </c>
      <c r="Z1115" s="105">
        <f t="shared" si="2212"/>
        <v>13.253012048192771</v>
      </c>
      <c r="AA1115" s="93"/>
    </row>
    <row r="1116" spans="1:27" s="101" customFormat="1" hidden="1">
      <c r="A1116" s="97">
        <f>SUBTOTAL(3,C$2:C1116)</f>
        <v>469</v>
      </c>
      <c r="B1116" s="97" t="s">
        <v>1086</v>
      </c>
      <c r="C1116" s="97" t="s">
        <v>31</v>
      </c>
      <c r="D1116" s="97" t="s">
        <v>32</v>
      </c>
      <c r="E1116" s="97" t="s">
        <v>33</v>
      </c>
      <c r="F1116" s="101" t="s">
        <v>481</v>
      </c>
      <c r="G1116" s="102" t="s">
        <v>34</v>
      </c>
      <c r="H1116" s="111" t="s">
        <v>2389</v>
      </c>
      <c r="I1116" s="104">
        <v>46171</v>
      </c>
      <c r="J1116" s="97">
        <f t="shared" ca="1" si="2208"/>
        <v>13</v>
      </c>
      <c r="K1116" s="97" t="str">
        <f t="shared" si="2209"/>
        <v>Pending</v>
      </c>
      <c r="L1116" s="101" t="s">
        <v>1702</v>
      </c>
      <c r="M1116" s="97">
        <v>24000</v>
      </c>
      <c r="N1116" s="97">
        <v>22000</v>
      </c>
      <c r="O1116" s="104">
        <v>46171</v>
      </c>
      <c r="P1116" s="97">
        <f t="shared" si="2210"/>
        <v>2000</v>
      </c>
      <c r="Q1116" s="97" t="s">
        <v>33</v>
      </c>
      <c r="R1116" s="97" t="s">
        <v>37</v>
      </c>
      <c r="S1116" s="97">
        <v>26000</v>
      </c>
      <c r="T1116" s="64" t="s">
        <v>33</v>
      </c>
      <c r="U1116" s="65" t="s">
        <v>33</v>
      </c>
      <c r="V1116" s="97" t="s">
        <v>28</v>
      </c>
      <c r="W1116" s="97">
        <f t="shared" si="2211"/>
        <v>2000</v>
      </c>
      <c r="X1116" s="97" t="s">
        <v>36</v>
      </c>
      <c r="Y1116" s="97" t="s">
        <v>29</v>
      </c>
      <c r="Z1116" s="105">
        <f t="shared" si="2212"/>
        <v>8.3333333333333339</v>
      </c>
      <c r="AA1116" s="93"/>
    </row>
    <row r="1117" spans="1:27" s="101" customFormat="1" hidden="1">
      <c r="A1117" s="97">
        <f>SUBTOTAL(3,C$2:C1117)</f>
        <v>469</v>
      </c>
      <c r="B1117" s="97" t="s">
        <v>1086</v>
      </c>
      <c r="C1117" s="97" t="s">
        <v>44</v>
      </c>
      <c r="D1117" s="97" t="s">
        <v>32</v>
      </c>
      <c r="E1117" s="97" t="s">
        <v>33</v>
      </c>
      <c r="F1117" s="101" t="s">
        <v>2361</v>
      </c>
      <c r="G1117" s="102" t="s">
        <v>143</v>
      </c>
      <c r="H1117" s="111" t="s">
        <v>2390</v>
      </c>
      <c r="I1117" s="104">
        <v>46171</v>
      </c>
      <c r="J1117" s="97">
        <f t="shared" ca="1" si="2208"/>
        <v>13</v>
      </c>
      <c r="K1117" s="97" t="str">
        <f t="shared" si="2209"/>
        <v>Pending</v>
      </c>
      <c r="L1117" s="101" t="s">
        <v>2092</v>
      </c>
      <c r="M1117" s="97">
        <v>31500</v>
      </c>
      <c r="N1117" s="97">
        <v>28500</v>
      </c>
      <c r="O1117" s="104">
        <v>46171</v>
      </c>
      <c r="P1117" s="97">
        <f t="shared" si="2210"/>
        <v>3000</v>
      </c>
      <c r="Q1117" s="97" t="s">
        <v>33</v>
      </c>
      <c r="R1117" s="97" t="s">
        <v>39</v>
      </c>
      <c r="S1117" s="97">
        <v>35000</v>
      </c>
      <c r="T1117" s="64" t="s">
        <v>33</v>
      </c>
      <c r="U1117" s="65" t="s">
        <v>33</v>
      </c>
      <c r="V1117" s="97" t="s">
        <v>28</v>
      </c>
      <c r="W1117" s="97">
        <f t="shared" si="2211"/>
        <v>3500</v>
      </c>
      <c r="X1117" s="97" t="s">
        <v>36</v>
      </c>
      <c r="Y1117" s="97" t="s">
        <v>29</v>
      </c>
      <c r="Z1117" s="105">
        <f t="shared" si="2212"/>
        <v>11.111111111111111</v>
      </c>
      <c r="AA1117" s="93"/>
    </row>
    <row r="1118" spans="1:27" s="101" customFormat="1" hidden="1">
      <c r="A1118" s="97">
        <f>SUBTOTAL(3,C$2:C1118)</f>
        <v>469</v>
      </c>
      <c r="B1118" s="97" t="s">
        <v>1086</v>
      </c>
      <c r="C1118" s="97" t="s">
        <v>31</v>
      </c>
      <c r="D1118" s="97" t="s">
        <v>32</v>
      </c>
      <c r="E1118" s="97" t="s">
        <v>33</v>
      </c>
      <c r="F1118" s="101" t="s">
        <v>271</v>
      </c>
      <c r="G1118" s="102" t="s">
        <v>34</v>
      </c>
      <c r="H1118" s="111" t="s">
        <v>2391</v>
      </c>
      <c r="I1118" s="104">
        <v>46171</v>
      </c>
      <c r="J1118" s="97">
        <f t="shared" ref="J1118:J1120" ca="1" si="2213">+TODAY()-I1118</f>
        <v>13</v>
      </c>
      <c r="K1118" s="97" t="str">
        <f t="shared" ref="K1118:K1120" si="2214">+U1118</f>
        <v>Pending</v>
      </c>
      <c r="L1118" s="101" t="s">
        <v>2357</v>
      </c>
      <c r="M1118" s="97">
        <v>18300</v>
      </c>
      <c r="N1118" s="97">
        <v>16500</v>
      </c>
      <c r="O1118" s="104">
        <v>46171</v>
      </c>
      <c r="P1118" s="97">
        <f t="shared" ref="P1118:P1120" si="2215">+M1118-N1118</f>
        <v>1800</v>
      </c>
      <c r="Q1118" s="97" t="s">
        <v>33</v>
      </c>
      <c r="R1118" s="97" t="s">
        <v>37</v>
      </c>
      <c r="S1118" s="97">
        <v>21500</v>
      </c>
      <c r="T1118" s="64" t="s">
        <v>33</v>
      </c>
      <c r="U1118" s="65" t="s">
        <v>33</v>
      </c>
      <c r="V1118" s="97" t="s">
        <v>28</v>
      </c>
      <c r="W1118" s="97">
        <f t="shared" ref="W1118:W1120" si="2216">+S1118-M1118</f>
        <v>3200</v>
      </c>
      <c r="X1118" s="97" t="s">
        <v>36</v>
      </c>
      <c r="Y1118" s="97" t="s">
        <v>29</v>
      </c>
      <c r="Z1118" s="105">
        <f t="shared" ref="Z1118:Z1120" si="2217">+W1118*100/M1118</f>
        <v>17.486338797814209</v>
      </c>
      <c r="AA1118" s="93"/>
    </row>
    <row r="1119" spans="1:27" s="107" customFormat="1" ht="15" hidden="1" customHeight="1">
      <c r="A1119" s="106">
        <f>SUBTOTAL(3,C$2:C1119)</f>
        <v>469</v>
      </c>
      <c r="B1119" s="106" t="s">
        <v>1086</v>
      </c>
      <c r="C1119" s="106" t="s">
        <v>31</v>
      </c>
      <c r="D1119" s="106" t="s">
        <v>32</v>
      </c>
      <c r="E1119" s="106" t="s">
        <v>33</v>
      </c>
      <c r="F1119" s="53" t="s">
        <v>2086</v>
      </c>
      <c r="G1119" s="108" t="s">
        <v>34</v>
      </c>
      <c r="H1119" s="112" t="s">
        <v>2402</v>
      </c>
      <c r="I1119" s="109">
        <v>46171</v>
      </c>
      <c r="J1119" s="106">
        <f t="shared" ca="1" si="2213"/>
        <v>13</v>
      </c>
      <c r="K1119" s="106" t="str">
        <f t="shared" si="2214"/>
        <v>Pending</v>
      </c>
      <c r="L1119" s="107" t="s">
        <v>1702</v>
      </c>
      <c r="M1119" s="106">
        <v>28500</v>
      </c>
      <c r="N1119" s="106">
        <v>26500</v>
      </c>
      <c r="O1119" s="109">
        <v>46172</v>
      </c>
      <c r="P1119" s="106">
        <f t="shared" si="2215"/>
        <v>2000</v>
      </c>
      <c r="Q1119" s="106" t="s">
        <v>33</v>
      </c>
      <c r="R1119" s="106" t="s">
        <v>52</v>
      </c>
      <c r="S1119" s="106">
        <v>31500</v>
      </c>
      <c r="T1119" s="64" t="s">
        <v>33</v>
      </c>
      <c r="U1119" s="65" t="s">
        <v>33</v>
      </c>
      <c r="V1119" s="106" t="s">
        <v>28</v>
      </c>
      <c r="W1119" s="106">
        <f t="shared" si="2216"/>
        <v>3000</v>
      </c>
      <c r="X1119" s="106" t="s">
        <v>36</v>
      </c>
      <c r="Y1119" s="106" t="s">
        <v>29</v>
      </c>
      <c r="Z1119" s="110">
        <f t="shared" si="2217"/>
        <v>10.526315789473685</v>
      </c>
      <c r="AA1119" s="113"/>
    </row>
    <row r="1120" spans="1:27" s="101" customFormat="1" hidden="1">
      <c r="A1120" s="97">
        <f>SUBTOTAL(3,C$2:C1120)</f>
        <v>469</v>
      </c>
      <c r="B1120" s="97" t="s">
        <v>1086</v>
      </c>
      <c r="C1120" s="97" t="s">
        <v>44</v>
      </c>
      <c r="D1120" s="97" t="s">
        <v>32</v>
      </c>
      <c r="E1120" s="97" t="s">
        <v>33</v>
      </c>
      <c r="F1120" s="52" t="s">
        <v>1952</v>
      </c>
      <c r="G1120" s="102">
        <v>407</v>
      </c>
      <c r="H1120" s="111" t="s">
        <v>2403</v>
      </c>
      <c r="I1120" s="104">
        <v>46171</v>
      </c>
      <c r="J1120" s="97">
        <f t="shared" ca="1" si="2213"/>
        <v>13</v>
      </c>
      <c r="K1120" s="97" t="str">
        <f t="shared" si="2214"/>
        <v>Pending</v>
      </c>
      <c r="L1120" s="52" t="s">
        <v>84</v>
      </c>
      <c r="M1120" s="97">
        <v>28500</v>
      </c>
      <c r="N1120" s="97">
        <v>25500</v>
      </c>
      <c r="O1120" s="104">
        <v>46172</v>
      </c>
      <c r="P1120" s="97">
        <f t="shared" si="2215"/>
        <v>3000</v>
      </c>
      <c r="Q1120" s="97" t="s">
        <v>33</v>
      </c>
      <c r="R1120" s="97" t="s">
        <v>112</v>
      </c>
      <c r="S1120" s="97">
        <v>30500</v>
      </c>
      <c r="T1120" s="64" t="s">
        <v>33</v>
      </c>
      <c r="U1120" s="65" t="s">
        <v>33</v>
      </c>
      <c r="V1120" s="97" t="s">
        <v>28</v>
      </c>
      <c r="W1120" s="97">
        <f t="shared" si="2216"/>
        <v>2000</v>
      </c>
      <c r="X1120" s="97" t="s">
        <v>36</v>
      </c>
      <c r="Y1120" s="97" t="s">
        <v>29</v>
      </c>
      <c r="Z1120" s="105">
        <f t="shared" si="2217"/>
        <v>7.0175438596491224</v>
      </c>
      <c r="AA1120" s="93"/>
    </row>
    <row r="1121" spans="1:27" s="101" customFormat="1" ht="16" hidden="1">
      <c r="A1121" s="97">
        <f>SUBTOTAL(3,C$2:C1121)</f>
        <v>469</v>
      </c>
      <c r="B1121" s="97" t="s">
        <v>1086</v>
      </c>
      <c r="C1121" s="97" t="s">
        <v>31</v>
      </c>
      <c r="D1121" s="97" t="s">
        <v>32</v>
      </c>
      <c r="E1121" s="97" t="s">
        <v>33</v>
      </c>
      <c r="F1121" s="40" t="s">
        <v>2404</v>
      </c>
      <c r="G1121" s="102" t="s">
        <v>34</v>
      </c>
      <c r="H1121" s="111" t="s">
        <v>2405</v>
      </c>
      <c r="I1121" s="104">
        <v>46171</v>
      </c>
      <c r="J1121" s="97">
        <f t="shared" ref="J1121" ca="1" si="2218">+TODAY()-I1121</f>
        <v>13</v>
      </c>
      <c r="K1121" s="97" t="str">
        <f t="shared" ref="K1121" si="2219">+U1121</f>
        <v>Pending</v>
      </c>
      <c r="L1121" s="40" t="s">
        <v>2199</v>
      </c>
      <c r="M1121" s="97">
        <v>28500</v>
      </c>
      <c r="N1121" s="97">
        <v>26500</v>
      </c>
      <c r="O1121" s="104">
        <v>46172</v>
      </c>
      <c r="P1121" s="97">
        <f t="shared" ref="P1121" si="2220">+M1121-N1121</f>
        <v>2000</v>
      </c>
      <c r="Q1121" s="97" t="s">
        <v>33</v>
      </c>
      <c r="R1121" s="97" t="s">
        <v>174</v>
      </c>
      <c r="S1121" s="97">
        <v>31500</v>
      </c>
      <c r="T1121" s="64" t="s">
        <v>33</v>
      </c>
      <c r="U1121" s="65" t="s">
        <v>33</v>
      </c>
      <c r="V1121" s="97" t="s">
        <v>28</v>
      </c>
      <c r="W1121" s="97">
        <f t="shared" ref="W1121" si="2221">+S1121-M1121</f>
        <v>3000</v>
      </c>
      <c r="X1121" s="97" t="s">
        <v>36</v>
      </c>
      <c r="Y1121" s="97" t="s">
        <v>29</v>
      </c>
      <c r="Z1121" s="105">
        <f t="shared" ref="Z1121" si="2222">+W1121*100/M1121</f>
        <v>10.526315789473685</v>
      </c>
      <c r="AA1121" s="93"/>
    </row>
    <row r="1122" spans="1:27" s="101" customFormat="1" ht="16" hidden="1">
      <c r="A1122" s="97">
        <f>SUBTOTAL(3,C$2:C1122)</f>
        <v>469</v>
      </c>
      <c r="B1122" s="97" t="s">
        <v>1086</v>
      </c>
      <c r="C1122" s="97" t="s">
        <v>31</v>
      </c>
      <c r="D1122" s="97" t="s">
        <v>32</v>
      </c>
      <c r="E1122" s="97" t="s">
        <v>33</v>
      </c>
      <c r="F1122" s="40" t="s">
        <v>1670</v>
      </c>
      <c r="G1122" s="102" t="s">
        <v>34</v>
      </c>
      <c r="H1122" s="111" t="s">
        <v>2406</v>
      </c>
      <c r="I1122" s="104">
        <v>46171</v>
      </c>
      <c r="J1122" s="97">
        <f t="shared" ref="J1122:J1123" ca="1" si="2223">+TODAY()-I1122</f>
        <v>13</v>
      </c>
      <c r="K1122" s="97" t="str">
        <f t="shared" ref="K1122:K1123" si="2224">+U1122</f>
        <v>Pending</v>
      </c>
      <c r="L1122" s="101" t="s">
        <v>2092</v>
      </c>
      <c r="M1122" s="97">
        <v>19000</v>
      </c>
      <c r="N1122" s="97">
        <v>17000</v>
      </c>
      <c r="O1122" s="104">
        <v>46172</v>
      </c>
      <c r="P1122" s="97">
        <f t="shared" ref="P1122:P1123" si="2225">+M1122-N1122</f>
        <v>2000</v>
      </c>
      <c r="Q1122" s="97" t="s">
        <v>33</v>
      </c>
      <c r="R1122" s="97" t="s">
        <v>39</v>
      </c>
      <c r="S1122" s="97">
        <v>21800</v>
      </c>
      <c r="T1122" s="64" t="s">
        <v>33</v>
      </c>
      <c r="U1122" s="65" t="s">
        <v>33</v>
      </c>
      <c r="V1122" s="97" t="s">
        <v>28</v>
      </c>
      <c r="W1122" s="97">
        <f t="shared" ref="W1122:W1123" si="2226">+S1122-M1122</f>
        <v>2800</v>
      </c>
      <c r="X1122" s="97" t="s">
        <v>36</v>
      </c>
      <c r="Y1122" s="97" t="s">
        <v>29</v>
      </c>
      <c r="Z1122" s="105">
        <f t="shared" ref="Z1122:Z1123" si="2227">+W1122*100/M1122</f>
        <v>14.736842105263158</v>
      </c>
      <c r="AA1122" s="93"/>
    </row>
    <row r="1123" spans="1:27" s="101" customFormat="1" ht="16" hidden="1">
      <c r="A1123" s="97">
        <f>SUBTOTAL(3,C$2:C1123)</f>
        <v>469</v>
      </c>
      <c r="B1123" s="97" t="s">
        <v>1086</v>
      </c>
      <c r="C1123" s="97" t="s">
        <v>1031</v>
      </c>
      <c r="D1123" s="97" t="s">
        <v>32</v>
      </c>
      <c r="E1123" s="97" t="s">
        <v>33</v>
      </c>
      <c r="F1123" s="40" t="s">
        <v>2024</v>
      </c>
      <c r="G1123" s="102" t="s">
        <v>34</v>
      </c>
      <c r="H1123" s="111" t="s">
        <v>2407</v>
      </c>
      <c r="I1123" s="104">
        <v>46171</v>
      </c>
      <c r="J1123" s="97">
        <f t="shared" ca="1" si="2223"/>
        <v>13</v>
      </c>
      <c r="K1123" s="97" t="str">
        <f t="shared" si="2224"/>
        <v>Pending</v>
      </c>
      <c r="L1123" s="40" t="s">
        <v>2408</v>
      </c>
      <c r="M1123" s="97">
        <v>18300</v>
      </c>
      <c r="N1123" s="97">
        <v>16500</v>
      </c>
      <c r="O1123" s="104">
        <v>46172</v>
      </c>
      <c r="P1123" s="97">
        <f t="shared" si="2225"/>
        <v>1800</v>
      </c>
      <c r="Q1123" s="97" t="s">
        <v>33</v>
      </c>
      <c r="R1123" s="97" t="s">
        <v>37</v>
      </c>
      <c r="S1123" s="97">
        <v>21500</v>
      </c>
      <c r="T1123" s="64" t="s">
        <v>33</v>
      </c>
      <c r="U1123" s="65" t="s">
        <v>33</v>
      </c>
      <c r="V1123" s="97" t="s">
        <v>28</v>
      </c>
      <c r="W1123" s="97">
        <f t="shared" si="2226"/>
        <v>3200</v>
      </c>
      <c r="X1123" s="97" t="s">
        <v>963</v>
      </c>
      <c r="Y1123" s="97" t="s">
        <v>29</v>
      </c>
      <c r="Z1123" s="105">
        <f t="shared" si="2227"/>
        <v>17.486338797814209</v>
      </c>
      <c r="AA1123" s="93"/>
    </row>
    <row r="1124" spans="1:27" s="101" customFormat="1" ht="16" hidden="1">
      <c r="A1124" s="97">
        <f>SUBTOTAL(3,C$2:C1124)</f>
        <v>469</v>
      </c>
      <c r="B1124" s="97" t="s">
        <v>1086</v>
      </c>
      <c r="C1124" s="97" t="s">
        <v>1031</v>
      </c>
      <c r="D1124" s="97" t="s">
        <v>32</v>
      </c>
      <c r="E1124" s="97" t="s">
        <v>33</v>
      </c>
      <c r="F1124" s="40" t="s">
        <v>2255</v>
      </c>
      <c r="G1124" s="102" t="s">
        <v>34</v>
      </c>
      <c r="H1124" s="111" t="s">
        <v>2409</v>
      </c>
      <c r="I1124" s="104">
        <v>46171</v>
      </c>
      <c r="J1124" s="97">
        <f t="shared" ref="J1124:J1126" ca="1" si="2228">+TODAY()-I1124</f>
        <v>13</v>
      </c>
      <c r="K1124" s="97" t="str">
        <f t="shared" ref="K1124:K1126" si="2229">+U1124</f>
        <v>Pending</v>
      </c>
      <c r="L1124" s="40" t="s">
        <v>783</v>
      </c>
      <c r="M1124" s="97">
        <v>18000</v>
      </c>
      <c r="N1124" s="97">
        <v>16000</v>
      </c>
      <c r="O1124" s="104">
        <v>46172</v>
      </c>
      <c r="P1124" s="97">
        <f t="shared" ref="P1124:P1126" si="2230">+M1124-N1124</f>
        <v>2000</v>
      </c>
      <c r="Q1124" s="97" t="s">
        <v>33</v>
      </c>
      <c r="R1124" s="97" t="s">
        <v>56</v>
      </c>
      <c r="S1124" s="97">
        <v>20500</v>
      </c>
      <c r="T1124" s="64" t="s">
        <v>33</v>
      </c>
      <c r="U1124" s="65" t="s">
        <v>33</v>
      </c>
      <c r="V1124" s="97" t="s">
        <v>28</v>
      </c>
      <c r="W1124" s="97">
        <f t="shared" ref="W1124:W1126" si="2231">+S1124-M1124</f>
        <v>2500</v>
      </c>
      <c r="X1124" s="97" t="s">
        <v>963</v>
      </c>
      <c r="Y1124" s="97" t="s">
        <v>29</v>
      </c>
      <c r="Z1124" s="105">
        <f t="shared" ref="Z1124:Z1126" si="2232">+W1124*100/M1124</f>
        <v>13.888888888888889</v>
      </c>
      <c r="AA1124" s="93"/>
    </row>
    <row r="1125" spans="1:27" s="101" customFormat="1" ht="16.5" hidden="1" thickBot="1">
      <c r="A1125" s="97">
        <f>SUBTOTAL(3,C$2:C1125)</f>
        <v>469</v>
      </c>
      <c r="B1125" s="97" t="s">
        <v>1086</v>
      </c>
      <c r="C1125" s="97" t="s">
        <v>44</v>
      </c>
      <c r="D1125" s="97" t="s">
        <v>32</v>
      </c>
      <c r="E1125" s="97" t="s">
        <v>33</v>
      </c>
      <c r="F1125" s="50" t="s">
        <v>1578</v>
      </c>
      <c r="G1125" s="102" t="s">
        <v>1093</v>
      </c>
      <c r="H1125" s="111" t="s">
        <v>2410</v>
      </c>
      <c r="I1125" s="104">
        <v>46170</v>
      </c>
      <c r="J1125" s="97">
        <f t="shared" ca="1" si="2228"/>
        <v>14</v>
      </c>
      <c r="K1125" s="97" t="str">
        <f t="shared" si="2229"/>
        <v>Pending</v>
      </c>
      <c r="L1125" s="52" t="s">
        <v>995</v>
      </c>
      <c r="M1125" s="97">
        <v>28500</v>
      </c>
      <c r="N1125" s="97">
        <v>26500</v>
      </c>
      <c r="O1125" s="104">
        <v>46172</v>
      </c>
      <c r="P1125" s="97">
        <f t="shared" si="2230"/>
        <v>2000</v>
      </c>
      <c r="Q1125" s="97" t="s">
        <v>33</v>
      </c>
      <c r="R1125" s="97" t="s">
        <v>174</v>
      </c>
      <c r="S1125" s="97">
        <v>31500</v>
      </c>
      <c r="T1125" s="64" t="s">
        <v>33</v>
      </c>
      <c r="U1125" s="65" t="s">
        <v>33</v>
      </c>
      <c r="V1125" s="97" t="s">
        <v>28</v>
      </c>
      <c r="W1125" s="97">
        <f t="shared" si="2231"/>
        <v>3000</v>
      </c>
      <c r="X1125" s="97" t="s">
        <v>36</v>
      </c>
      <c r="Y1125" s="97" t="s">
        <v>29</v>
      </c>
      <c r="Z1125" s="105">
        <f t="shared" si="2232"/>
        <v>10.526315789473685</v>
      </c>
      <c r="AA1125" s="93"/>
    </row>
    <row r="1126" spans="1:27" s="101" customFormat="1" ht="16" hidden="1">
      <c r="A1126" s="97">
        <f>SUBTOTAL(3,C$2:C1126)</f>
        <v>469</v>
      </c>
      <c r="B1126" s="97" t="s">
        <v>1086</v>
      </c>
      <c r="C1126" s="97" t="s">
        <v>137</v>
      </c>
      <c r="D1126" s="97" t="s">
        <v>32</v>
      </c>
      <c r="E1126" s="97" t="s">
        <v>33</v>
      </c>
      <c r="F1126" s="40" t="s">
        <v>138</v>
      </c>
      <c r="G1126" s="102" t="s">
        <v>50</v>
      </c>
      <c r="H1126" s="111" t="s">
        <v>2411</v>
      </c>
      <c r="I1126" s="104">
        <v>46172</v>
      </c>
      <c r="J1126" s="97">
        <f t="shared" ca="1" si="2228"/>
        <v>12</v>
      </c>
      <c r="K1126" s="97" t="str">
        <f t="shared" si="2229"/>
        <v>Pending</v>
      </c>
      <c r="L1126" s="51" t="s">
        <v>580</v>
      </c>
      <c r="M1126" s="97">
        <f>3000+44000</f>
        <v>47000</v>
      </c>
      <c r="N1126" s="97">
        <v>40000</v>
      </c>
      <c r="O1126" s="104">
        <v>46172</v>
      </c>
      <c r="P1126" s="97">
        <f t="shared" si="2230"/>
        <v>7000</v>
      </c>
      <c r="Q1126" s="97" t="s">
        <v>33</v>
      </c>
      <c r="R1126" s="97" t="s">
        <v>52</v>
      </c>
      <c r="S1126" s="97">
        <f>5000+48000</f>
        <v>53000</v>
      </c>
      <c r="T1126" s="64" t="s">
        <v>33</v>
      </c>
      <c r="U1126" s="65" t="s">
        <v>33</v>
      </c>
      <c r="V1126" s="97" t="s">
        <v>28</v>
      </c>
      <c r="W1126" s="97">
        <f t="shared" si="2231"/>
        <v>6000</v>
      </c>
      <c r="X1126" s="97" t="s">
        <v>36</v>
      </c>
      <c r="Y1126" s="97" t="s">
        <v>29</v>
      </c>
      <c r="Z1126" s="105">
        <f t="shared" si="2232"/>
        <v>12.76595744680851</v>
      </c>
      <c r="AA1126" s="93"/>
    </row>
    <row r="1127" spans="1:27" s="101" customFormat="1" hidden="1">
      <c r="A1127" s="97">
        <f>SUBTOTAL(3,C$2:C1127)</f>
        <v>469</v>
      </c>
      <c r="B1127" s="97" t="s">
        <v>1086</v>
      </c>
      <c r="C1127" s="97" t="s">
        <v>44</v>
      </c>
      <c r="D1127" s="97" t="s">
        <v>32</v>
      </c>
      <c r="E1127" s="97" t="s">
        <v>33</v>
      </c>
      <c r="F1127" s="52" t="s">
        <v>210</v>
      </c>
      <c r="G1127" s="102">
        <v>407</v>
      </c>
      <c r="H1127" s="103" t="s">
        <v>2412</v>
      </c>
      <c r="I1127" s="104">
        <v>46170</v>
      </c>
      <c r="J1127" s="97">
        <f t="shared" ref="J1127" ca="1" si="2233">+TODAY()-I1127</f>
        <v>14</v>
      </c>
      <c r="K1127" s="97" t="str">
        <f t="shared" ref="K1127" si="2234">+U1127</f>
        <v>Pending</v>
      </c>
      <c r="L1127" s="52" t="s">
        <v>84</v>
      </c>
      <c r="M1127" s="97">
        <v>28000</v>
      </c>
      <c r="N1127" s="97">
        <v>26000</v>
      </c>
      <c r="O1127" s="104">
        <v>46172</v>
      </c>
      <c r="P1127" s="97">
        <f t="shared" ref="P1127" si="2235">+M1127-N1127</f>
        <v>2000</v>
      </c>
      <c r="Q1127" s="97" t="s">
        <v>33</v>
      </c>
      <c r="R1127" s="97" t="s">
        <v>78</v>
      </c>
      <c r="S1127" s="97">
        <v>29800</v>
      </c>
      <c r="T1127" s="64" t="s">
        <v>33</v>
      </c>
      <c r="U1127" s="65" t="s">
        <v>33</v>
      </c>
      <c r="V1127" s="97" t="s">
        <v>28</v>
      </c>
      <c r="W1127" s="97">
        <f t="shared" ref="W1127" si="2236">+S1127-M1127</f>
        <v>1800</v>
      </c>
      <c r="X1127" s="97" t="s">
        <v>36</v>
      </c>
      <c r="Y1127" s="97" t="s">
        <v>29</v>
      </c>
      <c r="Z1127" s="105">
        <f t="shared" ref="Z1127" si="2237">+W1127*100/M1127</f>
        <v>6.4285714285714288</v>
      </c>
      <c r="AA1127" s="93"/>
    </row>
    <row r="1128" spans="1:27" s="101" customFormat="1" hidden="1">
      <c r="A1128" s="97">
        <f>SUBTOTAL(3,C$2:C1128)</f>
        <v>469</v>
      </c>
      <c r="B1128" s="97" t="s">
        <v>1086</v>
      </c>
      <c r="C1128" s="97" t="s">
        <v>44</v>
      </c>
      <c r="D1128" s="97" t="s">
        <v>32</v>
      </c>
      <c r="E1128" s="97" t="s">
        <v>33</v>
      </c>
      <c r="F1128" s="52" t="s">
        <v>2025</v>
      </c>
      <c r="G1128" s="102">
        <v>407</v>
      </c>
      <c r="H1128" s="103" t="s">
        <v>2413</v>
      </c>
      <c r="I1128" s="104">
        <v>46169</v>
      </c>
      <c r="J1128" s="97">
        <f t="shared" ref="J1128" ca="1" si="2238">+TODAY()-I1128</f>
        <v>15</v>
      </c>
      <c r="K1128" s="97" t="str">
        <f t="shared" ref="K1128" si="2239">+U1128</f>
        <v>Pending</v>
      </c>
      <c r="L1128" s="52" t="s">
        <v>84</v>
      </c>
      <c r="M1128" s="97">
        <v>28000</v>
      </c>
      <c r="N1128" s="97">
        <v>26000</v>
      </c>
      <c r="O1128" s="104">
        <v>46172</v>
      </c>
      <c r="P1128" s="97">
        <f t="shared" ref="P1128" si="2240">+M1128-N1128</f>
        <v>2000</v>
      </c>
      <c r="Q1128" s="97" t="s">
        <v>33</v>
      </c>
      <c r="R1128" s="97" t="s">
        <v>78</v>
      </c>
      <c r="S1128" s="97">
        <v>29800</v>
      </c>
      <c r="T1128" s="64" t="s">
        <v>33</v>
      </c>
      <c r="U1128" s="65" t="s">
        <v>33</v>
      </c>
      <c r="V1128" s="97" t="s">
        <v>28</v>
      </c>
      <c r="W1128" s="97">
        <f t="shared" ref="W1128" si="2241">+S1128-M1128</f>
        <v>1800</v>
      </c>
      <c r="X1128" s="97" t="s">
        <v>36</v>
      </c>
      <c r="Y1128" s="97" t="s">
        <v>29</v>
      </c>
      <c r="Z1128" s="105">
        <f t="shared" ref="Z1128" si="2242">+W1128*100/M1128</f>
        <v>6.4285714285714288</v>
      </c>
      <c r="AA1128" s="93"/>
    </row>
    <row r="1129" spans="1:27" s="101" customFormat="1" ht="16.5" hidden="1" thickBot="1">
      <c r="A1129" s="97">
        <f>SUBTOTAL(3,C$2:C1129)</f>
        <v>469</v>
      </c>
      <c r="B1129" s="97" t="s">
        <v>1086</v>
      </c>
      <c r="C1129" s="97" t="s">
        <v>44</v>
      </c>
      <c r="D1129" s="97" t="s">
        <v>32</v>
      </c>
      <c r="E1129" s="97" t="s">
        <v>33</v>
      </c>
      <c r="F1129" s="50" t="s">
        <v>2419</v>
      </c>
      <c r="G1129" s="102" t="s">
        <v>994</v>
      </c>
      <c r="H1129" s="111" t="s">
        <v>2420</v>
      </c>
      <c r="I1129" s="104">
        <v>46171</v>
      </c>
      <c r="J1129" s="97">
        <f t="shared" ref="J1129:J1132" ca="1" si="2243">+TODAY()-I1129</f>
        <v>13</v>
      </c>
      <c r="K1129" s="97" t="str">
        <f t="shared" ref="K1129:K1132" si="2244">+U1129</f>
        <v>Pending</v>
      </c>
      <c r="L1129" s="40" t="s">
        <v>2199</v>
      </c>
      <c r="M1129" s="97">
        <v>39000</v>
      </c>
      <c r="N1129" s="97">
        <v>36000</v>
      </c>
      <c r="O1129" s="104">
        <v>46172</v>
      </c>
      <c r="P1129" s="97">
        <f t="shared" ref="P1129:P1130" si="2245">+M1129-N1129</f>
        <v>3000</v>
      </c>
      <c r="Q1129" s="97" t="s">
        <v>33</v>
      </c>
      <c r="R1129" s="97" t="s">
        <v>52</v>
      </c>
      <c r="S1129" s="97">
        <v>44000</v>
      </c>
      <c r="T1129" s="64" t="s">
        <v>33</v>
      </c>
      <c r="U1129" s="65" t="s">
        <v>33</v>
      </c>
      <c r="V1129" s="97" t="s">
        <v>28</v>
      </c>
      <c r="W1129" s="97">
        <f t="shared" ref="W1129:W1132" si="2246">+S1129-M1129</f>
        <v>5000</v>
      </c>
      <c r="X1129" s="97" t="s">
        <v>36</v>
      </c>
      <c r="Y1129" s="97" t="s">
        <v>29</v>
      </c>
      <c r="Z1129" s="105">
        <f t="shared" ref="Z1129:Z1132" si="2247">+W1129*100/M1129</f>
        <v>12.820512820512821</v>
      </c>
      <c r="AA1129" s="93"/>
    </row>
    <row r="1130" spans="1:27" s="101" customFormat="1" ht="16" hidden="1">
      <c r="A1130" s="97">
        <f>SUBTOTAL(3,C$2:C1130)</f>
        <v>469</v>
      </c>
      <c r="B1130" s="97" t="s">
        <v>1086</v>
      </c>
      <c r="C1130" s="97" t="s">
        <v>31</v>
      </c>
      <c r="D1130" s="97" t="s">
        <v>32</v>
      </c>
      <c r="E1130" s="97" t="s">
        <v>33</v>
      </c>
      <c r="F1130" s="40" t="s">
        <v>2421</v>
      </c>
      <c r="G1130" s="102" t="s">
        <v>34</v>
      </c>
      <c r="H1130" s="111" t="s">
        <v>2422</v>
      </c>
      <c r="I1130" s="104">
        <v>46172</v>
      </c>
      <c r="J1130" s="97">
        <f t="shared" ca="1" si="2243"/>
        <v>12</v>
      </c>
      <c r="K1130" s="97" t="str">
        <f t="shared" si="2244"/>
        <v>Pending</v>
      </c>
      <c r="L1130" s="40" t="s">
        <v>2199</v>
      </c>
      <c r="M1130" s="97">
        <v>28500</v>
      </c>
      <c r="N1130" s="97">
        <v>26500</v>
      </c>
      <c r="O1130" s="104">
        <v>46172</v>
      </c>
      <c r="P1130" s="97">
        <f t="shared" si="2245"/>
        <v>2000</v>
      </c>
      <c r="Q1130" s="97" t="s">
        <v>33</v>
      </c>
      <c r="R1130" s="97" t="s">
        <v>37</v>
      </c>
      <c r="S1130" s="97">
        <v>31500</v>
      </c>
      <c r="T1130" s="64" t="s">
        <v>33</v>
      </c>
      <c r="U1130" s="65" t="s">
        <v>33</v>
      </c>
      <c r="V1130" s="97" t="s">
        <v>28</v>
      </c>
      <c r="W1130" s="97">
        <f t="shared" si="2246"/>
        <v>3000</v>
      </c>
      <c r="X1130" s="97" t="s">
        <v>36</v>
      </c>
      <c r="Y1130" s="97" t="s">
        <v>29</v>
      </c>
      <c r="Z1130" s="105">
        <f t="shared" si="2247"/>
        <v>10.526315789473685</v>
      </c>
      <c r="AA1130" s="93"/>
    </row>
    <row r="1131" spans="1:27" s="101" customFormat="1" ht="16" hidden="1">
      <c r="A1131" s="97">
        <f>SUBTOTAL(3,C$2:C1131)</f>
        <v>469</v>
      </c>
      <c r="B1131" s="97" t="s">
        <v>1086</v>
      </c>
      <c r="C1131" s="97" t="s">
        <v>124</v>
      </c>
      <c r="D1131" s="97" t="s">
        <v>32</v>
      </c>
      <c r="E1131" s="97" t="s">
        <v>33</v>
      </c>
      <c r="F1131" s="40" t="s">
        <v>122</v>
      </c>
      <c r="G1131" s="102" t="s">
        <v>67</v>
      </c>
      <c r="H1131" s="111" t="s">
        <v>2423</v>
      </c>
      <c r="I1131" s="104">
        <v>46172</v>
      </c>
      <c r="J1131" s="97">
        <f t="shared" ca="1" si="2243"/>
        <v>12</v>
      </c>
      <c r="K1131" s="97" t="str">
        <f t="shared" si="2244"/>
        <v>Pending</v>
      </c>
      <c r="L1131" s="101" t="s">
        <v>1035</v>
      </c>
      <c r="M1131" s="97">
        <f>3000+38500</f>
        <v>41500</v>
      </c>
      <c r="N1131" s="97">
        <v>35500</v>
      </c>
      <c r="O1131" s="104">
        <v>46172</v>
      </c>
      <c r="P1131" s="97">
        <f>+M1131-N1131</f>
        <v>6000</v>
      </c>
      <c r="Q1131" s="97" t="s">
        <v>33</v>
      </c>
      <c r="R1131" s="97" t="s">
        <v>52</v>
      </c>
      <c r="S1131" s="97">
        <f>5000+42000</f>
        <v>47000</v>
      </c>
      <c r="T1131" s="64" t="s">
        <v>33</v>
      </c>
      <c r="U1131" s="65" t="s">
        <v>33</v>
      </c>
      <c r="V1131" s="97" t="s">
        <v>28</v>
      </c>
      <c r="W1131" s="97">
        <f t="shared" si="2246"/>
        <v>5500</v>
      </c>
      <c r="X1131" s="97" t="s">
        <v>36</v>
      </c>
      <c r="Y1131" s="97" t="s">
        <v>29</v>
      </c>
      <c r="Z1131" s="105">
        <f t="shared" si="2247"/>
        <v>13.253012048192771</v>
      </c>
      <c r="AA1131" s="93"/>
    </row>
    <row r="1132" spans="1:27" s="101" customFormat="1" hidden="1">
      <c r="A1132" s="97">
        <f>SUBTOTAL(3,C$2:C1132)</f>
        <v>469</v>
      </c>
      <c r="B1132" s="97" t="s">
        <v>1086</v>
      </c>
      <c r="C1132" s="97" t="s">
        <v>80</v>
      </c>
      <c r="D1132" s="97" t="s">
        <v>32</v>
      </c>
      <c r="E1132" s="97" t="s">
        <v>33</v>
      </c>
      <c r="F1132" s="52" t="s">
        <v>1934</v>
      </c>
      <c r="G1132" s="102">
        <v>407</v>
      </c>
      <c r="H1132" s="111" t="s">
        <v>2424</v>
      </c>
      <c r="I1132" s="104">
        <v>46172</v>
      </c>
      <c r="J1132" s="97">
        <f t="shared" ca="1" si="2243"/>
        <v>12</v>
      </c>
      <c r="K1132" s="97" t="str">
        <f t="shared" si="2244"/>
        <v>Pending</v>
      </c>
      <c r="L1132" s="52" t="s">
        <v>54</v>
      </c>
      <c r="M1132" s="97">
        <v>29500</v>
      </c>
      <c r="N1132" s="97">
        <v>26500</v>
      </c>
      <c r="O1132" s="104">
        <v>46172</v>
      </c>
      <c r="P1132" s="97">
        <f t="shared" ref="P1132:P1133" si="2248">+M1132-N1132</f>
        <v>3000</v>
      </c>
      <c r="Q1132" s="97" t="s">
        <v>33</v>
      </c>
      <c r="R1132" s="97" t="s">
        <v>37</v>
      </c>
      <c r="S1132" s="97">
        <v>33000</v>
      </c>
      <c r="T1132" s="64" t="s">
        <v>33</v>
      </c>
      <c r="U1132" s="65" t="s">
        <v>33</v>
      </c>
      <c r="V1132" s="97" t="s">
        <v>28</v>
      </c>
      <c r="W1132" s="97">
        <f t="shared" si="2246"/>
        <v>3500</v>
      </c>
      <c r="X1132" s="97" t="s">
        <v>36</v>
      </c>
      <c r="Y1132" s="97" t="s">
        <v>29</v>
      </c>
      <c r="Z1132" s="105">
        <f t="shared" si="2247"/>
        <v>11.864406779661017</v>
      </c>
      <c r="AA1132" s="93"/>
    </row>
    <row r="1133" spans="1:27" s="101" customFormat="1" ht="16" hidden="1">
      <c r="A1133" s="97">
        <f>SUBTOTAL(3,C$2:C1133)</f>
        <v>469</v>
      </c>
      <c r="B1133" s="97" t="s">
        <v>1086</v>
      </c>
      <c r="C1133" s="97" t="s">
        <v>31</v>
      </c>
      <c r="D1133" s="97" t="s">
        <v>32</v>
      </c>
      <c r="E1133" s="97" t="s">
        <v>33</v>
      </c>
      <c r="F1133" s="40" t="s">
        <v>280</v>
      </c>
      <c r="G1133" s="102" t="s">
        <v>34</v>
      </c>
      <c r="H1133" s="111" t="s">
        <v>2425</v>
      </c>
      <c r="I1133" s="104">
        <v>46172</v>
      </c>
      <c r="J1133" s="97">
        <f t="shared" ref="J1133" ca="1" si="2249">+TODAY()-I1133</f>
        <v>12</v>
      </c>
      <c r="K1133" s="97" t="str">
        <f t="shared" ref="K1133" si="2250">+U1133</f>
        <v>Pending</v>
      </c>
      <c r="L1133" s="40" t="s">
        <v>1697</v>
      </c>
      <c r="M1133" s="97">
        <v>18300</v>
      </c>
      <c r="N1133" s="97">
        <v>16500</v>
      </c>
      <c r="O1133" s="104">
        <v>46172</v>
      </c>
      <c r="P1133" s="97">
        <f t="shared" si="2248"/>
        <v>1800</v>
      </c>
      <c r="Q1133" s="97" t="s">
        <v>33</v>
      </c>
      <c r="R1133" s="97" t="s">
        <v>37</v>
      </c>
      <c r="S1133" s="97">
        <v>21500</v>
      </c>
      <c r="T1133" s="64" t="s">
        <v>33</v>
      </c>
      <c r="U1133" s="65" t="s">
        <v>33</v>
      </c>
      <c r="V1133" s="97" t="s">
        <v>28</v>
      </c>
      <c r="W1133" s="97">
        <f t="shared" ref="W1133" si="2251">+S1133-M1133</f>
        <v>3200</v>
      </c>
      <c r="X1133" s="97" t="s">
        <v>36</v>
      </c>
      <c r="Y1133" s="97" t="s">
        <v>29</v>
      </c>
      <c r="Z1133" s="105">
        <f t="shared" ref="Z1133" si="2252">+W1133*100/M1133</f>
        <v>17.486338797814209</v>
      </c>
      <c r="AA1133" s="93"/>
    </row>
    <row r="1134" spans="1:27" s="101" customFormat="1" ht="16" hidden="1">
      <c r="A1134" s="97">
        <f>SUBTOTAL(3,C$2:C1134)</f>
        <v>469</v>
      </c>
      <c r="B1134" s="97" t="s">
        <v>1086</v>
      </c>
      <c r="C1134" s="97" t="s">
        <v>31</v>
      </c>
      <c r="D1134" s="97" t="s">
        <v>32</v>
      </c>
      <c r="E1134" s="97" t="s">
        <v>33</v>
      </c>
      <c r="F1134" s="40" t="s">
        <v>953</v>
      </c>
      <c r="G1134" s="102" t="s">
        <v>34</v>
      </c>
      <c r="H1134" s="111" t="s">
        <v>2426</v>
      </c>
      <c r="I1134" s="104">
        <v>46172</v>
      </c>
      <c r="J1134" s="97">
        <f t="shared" ref="J1134:J1135" ca="1" si="2253">+TODAY()-I1134</f>
        <v>12</v>
      </c>
      <c r="K1134" s="97" t="str">
        <f t="shared" ref="K1134:K1135" si="2254">+U1134</f>
        <v>Pending</v>
      </c>
      <c r="L1134" s="40" t="s">
        <v>1411</v>
      </c>
      <c r="M1134" s="97">
        <v>19000</v>
      </c>
      <c r="N1134" s="97">
        <v>17000</v>
      </c>
      <c r="O1134" s="104">
        <v>46172</v>
      </c>
      <c r="P1134" s="97">
        <f t="shared" ref="P1134:P1135" si="2255">+M1134-N1134</f>
        <v>2000</v>
      </c>
      <c r="Q1134" s="97" t="s">
        <v>33</v>
      </c>
      <c r="R1134" s="97" t="s">
        <v>39</v>
      </c>
      <c r="S1134" s="97">
        <v>21800</v>
      </c>
      <c r="T1134" s="64" t="s">
        <v>33</v>
      </c>
      <c r="U1134" s="65" t="s">
        <v>33</v>
      </c>
      <c r="V1134" s="97" t="s">
        <v>28</v>
      </c>
      <c r="W1134" s="97">
        <f t="shared" ref="W1134:W1135" si="2256">+S1134-M1134</f>
        <v>2800</v>
      </c>
      <c r="X1134" s="97" t="s">
        <v>36</v>
      </c>
      <c r="Y1134" s="97" t="s">
        <v>29</v>
      </c>
      <c r="Z1134" s="105">
        <f t="shared" ref="Z1134:Z1135" si="2257">+W1134*100/M1134</f>
        <v>14.736842105263158</v>
      </c>
      <c r="AA1134" s="93"/>
    </row>
    <row r="1135" spans="1:27" s="101" customFormat="1" ht="16.5" hidden="1" thickBot="1">
      <c r="A1135" s="97">
        <f>SUBTOTAL(3,C$2:C1135)</f>
        <v>469</v>
      </c>
      <c r="B1135" s="97" t="s">
        <v>1086</v>
      </c>
      <c r="C1135" s="97" t="s">
        <v>44</v>
      </c>
      <c r="D1135" s="97" t="s">
        <v>32</v>
      </c>
      <c r="E1135" s="97" t="s">
        <v>33</v>
      </c>
      <c r="F1135" s="50" t="s">
        <v>2427</v>
      </c>
      <c r="G1135" s="102" t="s">
        <v>1093</v>
      </c>
      <c r="H1135" s="111" t="s">
        <v>2428</v>
      </c>
      <c r="I1135" s="104">
        <v>46172</v>
      </c>
      <c r="J1135" s="97">
        <f t="shared" ca="1" si="2253"/>
        <v>12</v>
      </c>
      <c r="K1135" s="97" t="str">
        <f t="shared" si="2254"/>
        <v>Pending</v>
      </c>
      <c r="L1135" s="40" t="s">
        <v>2199</v>
      </c>
      <c r="M1135" s="97">
        <v>28500</v>
      </c>
      <c r="N1135" s="97">
        <v>26500</v>
      </c>
      <c r="O1135" s="104">
        <v>46172</v>
      </c>
      <c r="P1135" s="97">
        <f t="shared" si="2255"/>
        <v>2000</v>
      </c>
      <c r="Q1135" s="97" t="s">
        <v>33</v>
      </c>
      <c r="R1135" s="97" t="s">
        <v>39</v>
      </c>
      <c r="S1135" s="97">
        <v>31500</v>
      </c>
      <c r="T1135" s="64" t="s">
        <v>33</v>
      </c>
      <c r="U1135" s="65" t="s">
        <v>33</v>
      </c>
      <c r="V1135" s="97" t="s">
        <v>28</v>
      </c>
      <c r="W1135" s="97">
        <f t="shared" si="2256"/>
        <v>3000</v>
      </c>
      <c r="X1135" s="97" t="s">
        <v>36</v>
      </c>
      <c r="Y1135" s="97" t="s">
        <v>29</v>
      </c>
      <c r="Z1135" s="105">
        <f t="shared" si="2257"/>
        <v>10.526315789473685</v>
      </c>
      <c r="AA1135" s="93"/>
    </row>
    <row r="1136" spans="1:27" s="101" customFormat="1" ht="16.5" hidden="1" thickBot="1">
      <c r="A1136" s="97">
        <f>SUBTOTAL(3,C$2:C1136)</f>
        <v>469</v>
      </c>
      <c r="B1136" s="97" t="s">
        <v>1086</v>
      </c>
      <c r="C1136" s="97" t="s">
        <v>44</v>
      </c>
      <c r="D1136" s="97" t="s">
        <v>32</v>
      </c>
      <c r="E1136" s="97" t="s">
        <v>33</v>
      </c>
      <c r="F1136" s="50" t="s">
        <v>2427</v>
      </c>
      <c r="G1136" s="102" t="s">
        <v>143</v>
      </c>
      <c r="H1136" s="111" t="s">
        <v>2429</v>
      </c>
      <c r="I1136" s="104">
        <v>46172</v>
      </c>
      <c r="J1136" s="97">
        <f t="shared" ref="J1136:J1137" ca="1" si="2258">+TODAY()-I1136</f>
        <v>12</v>
      </c>
      <c r="K1136" s="97" t="str">
        <f t="shared" ref="K1136:K1137" si="2259">+U1136</f>
        <v>Pending</v>
      </c>
      <c r="L1136" s="40" t="s">
        <v>1411</v>
      </c>
      <c r="M1136" s="97">
        <v>31500</v>
      </c>
      <c r="N1136" s="97">
        <v>28500</v>
      </c>
      <c r="O1136" s="104">
        <v>46172</v>
      </c>
      <c r="P1136" s="97">
        <f t="shared" ref="P1136:P1137" si="2260">+M1136-N1136</f>
        <v>3000</v>
      </c>
      <c r="Q1136" s="97" t="s">
        <v>33</v>
      </c>
      <c r="R1136" s="97" t="s">
        <v>39</v>
      </c>
      <c r="S1136" s="97">
        <v>35000</v>
      </c>
      <c r="T1136" s="64" t="s">
        <v>33</v>
      </c>
      <c r="U1136" s="65" t="s">
        <v>33</v>
      </c>
      <c r="V1136" s="97" t="s">
        <v>28</v>
      </c>
      <c r="W1136" s="97">
        <f t="shared" ref="W1136:W1137" si="2261">+S1136-M1136</f>
        <v>3500</v>
      </c>
      <c r="X1136" s="97" t="s">
        <v>36</v>
      </c>
      <c r="Y1136" s="97" t="s">
        <v>29</v>
      </c>
      <c r="Z1136" s="105">
        <f t="shared" ref="Z1136:Z1137" si="2262">+W1136*100/M1136</f>
        <v>11.111111111111111</v>
      </c>
      <c r="AA1136" s="93"/>
    </row>
    <row r="1137" spans="1:27" s="101" customFormat="1" ht="16" hidden="1">
      <c r="A1137" s="97">
        <f>SUBTOTAL(3,C$2:C1137)</f>
        <v>469</v>
      </c>
      <c r="B1137" s="97" t="s">
        <v>1086</v>
      </c>
      <c r="C1137" s="97" t="s">
        <v>31</v>
      </c>
      <c r="D1137" s="97" t="s">
        <v>32</v>
      </c>
      <c r="E1137" s="97" t="s">
        <v>33</v>
      </c>
      <c r="F1137" s="40" t="s">
        <v>2430</v>
      </c>
      <c r="G1137" s="102" t="s">
        <v>34</v>
      </c>
      <c r="H1137" s="111" t="s">
        <v>2431</v>
      </c>
      <c r="I1137" s="104">
        <v>46170</v>
      </c>
      <c r="J1137" s="97">
        <f t="shared" ca="1" si="2258"/>
        <v>14</v>
      </c>
      <c r="K1137" s="97" t="str">
        <f t="shared" si="2259"/>
        <v>Pending</v>
      </c>
      <c r="L1137" s="52" t="s">
        <v>111</v>
      </c>
      <c r="M1137" s="97">
        <v>11700</v>
      </c>
      <c r="N1137" s="97">
        <v>10700</v>
      </c>
      <c r="O1137" s="104">
        <v>46172</v>
      </c>
      <c r="P1137" s="97">
        <f t="shared" si="2260"/>
        <v>1000</v>
      </c>
      <c r="Q1137" s="97" t="s">
        <v>33</v>
      </c>
      <c r="R1137" s="97" t="s">
        <v>112</v>
      </c>
      <c r="S1137" s="97">
        <v>13500</v>
      </c>
      <c r="T1137" s="64" t="s">
        <v>33</v>
      </c>
      <c r="U1137" s="65" t="s">
        <v>33</v>
      </c>
      <c r="V1137" s="97" t="s">
        <v>28</v>
      </c>
      <c r="W1137" s="97">
        <f t="shared" si="2261"/>
        <v>1800</v>
      </c>
      <c r="X1137" s="97" t="s">
        <v>36</v>
      </c>
      <c r="Y1137" s="97" t="s">
        <v>29</v>
      </c>
      <c r="Z1137" s="105">
        <f t="shared" si="2262"/>
        <v>15.384615384615385</v>
      </c>
      <c r="AA1137" s="93"/>
    </row>
    <row r="1138" spans="1:27" s="101" customFormat="1" ht="16" hidden="1">
      <c r="A1138" s="97">
        <f>SUBTOTAL(3,C$2:C1138)</f>
        <v>469</v>
      </c>
      <c r="B1138" s="97" t="s">
        <v>1086</v>
      </c>
      <c r="C1138" s="97" t="s">
        <v>31</v>
      </c>
      <c r="D1138" s="97" t="s">
        <v>32</v>
      </c>
      <c r="E1138" s="97" t="s">
        <v>33</v>
      </c>
      <c r="F1138" s="40" t="s">
        <v>2432</v>
      </c>
      <c r="G1138" s="102" t="s">
        <v>34</v>
      </c>
      <c r="H1138" s="111" t="s">
        <v>2433</v>
      </c>
      <c r="I1138" s="104">
        <v>46172</v>
      </c>
      <c r="J1138" s="97">
        <f t="shared" ref="J1138:J1139" ca="1" si="2263">+TODAY()-I1138</f>
        <v>12</v>
      </c>
      <c r="K1138" s="97" t="str">
        <f t="shared" ref="K1138:K1139" si="2264">+U1138</f>
        <v>Pending</v>
      </c>
      <c r="L1138" s="52" t="s">
        <v>111</v>
      </c>
      <c r="M1138" s="97">
        <v>11700</v>
      </c>
      <c r="N1138" s="97">
        <v>10700</v>
      </c>
      <c r="O1138" s="104">
        <v>46172</v>
      </c>
      <c r="P1138" s="97">
        <f t="shared" ref="P1138:P1139" si="2265">+M1138-N1138</f>
        <v>1000</v>
      </c>
      <c r="Q1138" s="97" t="s">
        <v>33</v>
      </c>
      <c r="R1138" s="97" t="s">
        <v>112</v>
      </c>
      <c r="S1138" s="97">
        <v>13500</v>
      </c>
      <c r="T1138" s="64" t="s">
        <v>33</v>
      </c>
      <c r="U1138" s="65" t="s">
        <v>33</v>
      </c>
      <c r="V1138" s="97" t="s">
        <v>28</v>
      </c>
      <c r="W1138" s="97">
        <f t="shared" ref="W1138:W1139" si="2266">+S1138-M1138</f>
        <v>1800</v>
      </c>
      <c r="X1138" s="97" t="s">
        <v>36</v>
      </c>
      <c r="Y1138" s="97" t="s">
        <v>29</v>
      </c>
      <c r="Z1138" s="105">
        <f t="shared" ref="Z1138:Z1139" si="2267">+W1138*100/M1138</f>
        <v>15.384615384615385</v>
      </c>
      <c r="AA1138" s="93"/>
    </row>
    <row r="1139" spans="1:27" s="101" customFormat="1" hidden="1">
      <c r="A1139" s="97">
        <f>SUBTOTAL(3,C$2:C1139)</f>
        <v>469</v>
      </c>
      <c r="B1139" s="97" t="s">
        <v>1086</v>
      </c>
      <c r="C1139" s="97" t="s">
        <v>44</v>
      </c>
      <c r="D1139" s="97" t="s">
        <v>32</v>
      </c>
      <c r="E1139" s="97" t="s">
        <v>33</v>
      </c>
      <c r="F1139" s="52" t="s">
        <v>2434</v>
      </c>
      <c r="G1139" s="102">
        <v>407</v>
      </c>
      <c r="H1139" s="111" t="s">
        <v>2435</v>
      </c>
      <c r="I1139" s="104">
        <v>46172</v>
      </c>
      <c r="J1139" s="97">
        <f t="shared" ca="1" si="2263"/>
        <v>12</v>
      </c>
      <c r="K1139" s="97" t="str">
        <f t="shared" si="2264"/>
        <v>Pending</v>
      </c>
      <c r="L1139" s="52" t="s">
        <v>84</v>
      </c>
      <c r="M1139" s="97">
        <v>28000</v>
      </c>
      <c r="N1139" s="97">
        <v>26000</v>
      </c>
      <c r="O1139" s="104">
        <v>46172</v>
      </c>
      <c r="P1139" s="97">
        <f t="shared" si="2265"/>
        <v>2000</v>
      </c>
      <c r="Q1139" s="97" t="s">
        <v>33</v>
      </c>
      <c r="R1139" s="97" t="s">
        <v>56</v>
      </c>
      <c r="S1139" s="97">
        <v>29800</v>
      </c>
      <c r="T1139" s="64" t="s">
        <v>33</v>
      </c>
      <c r="U1139" s="65" t="s">
        <v>33</v>
      </c>
      <c r="V1139" s="97" t="s">
        <v>28</v>
      </c>
      <c r="W1139" s="97">
        <f t="shared" si="2266"/>
        <v>1800</v>
      </c>
      <c r="X1139" s="97" t="s">
        <v>36</v>
      </c>
      <c r="Y1139" s="97" t="s">
        <v>29</v>
      </c>
      <c r="Z1139" s="105">
        <f t="shared" si="2267"/>
        <v>6.4285714285714288</v>
      </c>
      <c r="AA1139" s="93"/>
    </row>
    <row r="1140" spans="1:27" s="101" customFormat="1" ht="16" hidden="1">
      <c r="A1140" s="97">
        <f>SUBTOTAL(3,C$2:C1140)</f>
        <v>469</v>
      </c>
      <c r="B1140" s="97" t="s">
        <v>1086</v>
      </c>
      <c r="C1140" s="97" t="s">
        <v>44</v>
      </c>
      <c r="D1140" s="97" t="s">
        <v>32</v>
      </c>
      <c r="E1140" s="97" t="s">
        <v>33</v>
      </c>
      <c r="F1140" s="40" t="s">
        <v>1149</v>
      </c>
      <c r="G1140" s="102" t="s">
        <v>994</v>
      </c>
      <c r="H1140" s="111" t="s">
        <v>2436</v>
      </c>
      <c r="I1140" s="104">
        <v>46172</v>
      </c>
      <c r="J1140" s="97">
        <f t="shared" ref="J1140:J1141" ca="1" si="2268">+TODAY()-I1140</f>
        <v>12</v>
      </c>
      <c r="K1140" s="97" t="str">
        <f t="shared" ref="K1140:K1141" si="2269">+U1140</f>
        <v>Pending</v>
      </c>
      <c r="L1140" s="40" t="s">
        <v>609</v>
      </c>
      <c r="M1140" s="97">
        <v>39000</v>
      </c>
      <c r="N1140" s="97">
        <v>36000</v>
      </c>
      <c r="O1140" s="104">
        <v>46172</v>
      </c>
      <c r="P1140" s="97">
        <f t="shared" ref="P1140:P1141" si="2270">+M1140-N1140</f>
        <v>3000</v>
      </c>
      <c r="Q1140" s="97" t="s">
        <v>33</v>
      </c>
      <c r="R1140" s="97" t="s">
        <v>52</v>
      </c>
      <c r="S1140" s="97">
        <v>41500</v>
      </c>
      <c r="T1140" s="64" t="s">
        <v>33</v>
      </c>
      <c r="U1140" s="65" t="s">
        <v>33</v>
      </c>
      <c r="V1140" s="97" t="s">
        <v>28</v>
      </c>
      <c r="W1140" s="97">
        <f t="shared" ref="W1140:W1141" si="2271">+S1140-M1140</f>
        <v>2500</v>
      </c>
      <c r="X1140" s="97" t="s">
        <v>36</v>
      </c>
      <c r="Y1140" s="97" t="s">
        <v>29</v>
      </c>
      <c r="Z1140" s="105">
        <f t="shared" ref="Z1140:Z1141" si="2272">+W1140*100/M1140</f>
        <v>6.4102564102564106</v>
      </c>
      <c r="AA1140" s="93"/>
    </row>
    <row r="1141" spans="1:27" s="101" customFormat="1" ht="16" hidden="1">
      <c r="A1141" s="97">
        <f>SUBTOTAL(3,C$2:C1141)</f>
        <v>469</v>
      </c>
      <c r="B1141" s="97" t="s">
        <v>1086</v>
      </c>
      <c r="C1141" s="97" t="s">
        <v>1031</v>
      </c>
      <c r="D1141" s="97" t="s">
        <v>32</v>
      </c>
      <c r="E1141" s="97" t="s">
        <v>33</v>
      </c>
      <c r="F1141" s="40" t="s">
        <v>128</v>
      </c>
      <c r="G1141" s="102" t="s">
        <v>34</v>
      </c>
      <c r="H1141" s="111" t="s">
        <v>2438</v>
      </c>
      <c r="I1141" s="104">
        <v>46172</v>
      </c>
      <c r="J1141" s="97">
        <f t="shared" ca="1" si="2268"/>
        <v>12</v>
      </c>
      <c r="K1141" s="97" t="str">
        <f t="shared" si="2269"/>
        <v>Pending</v>
      </c>
      <c r="L1141" s="40" t="s">
        <v>783</v>
      </c>
      <c r="M1141" s="97">
        <v>18000</v>
      </c>
      <c r="N1141" s="97">
        <v>16000</v>
      </c>
      <c r="O1141" s="104">
        <v>46172</v>
      </c>
      <c r="P1141" s="97">
        <f t="shared" si="2270"/>
        <v>2000</v>
      </c>
      <c r="Q1141" s="97" t="s">
        <v>33</v>
      </c>
      <c r="R1141" s="97" t="s">
        <v>56</v>
      </c>
      <c r="S1141" s="97">
        <v>20500</v>
      </c>
      <c r="T1141" s="64" t="s">
        <v>33</v>
      </c>
      <c r="U1141" s="65" t="s">
        <v>33</v>
      </c>
      <c r="V1141" s="97" t="s">
        <v>28</v>
      </c>
      <c r="W1141" s="97">
        <f t="shared" si="2271"/>
        <v>2500</v>
      </c>
      <c r="X1141" s="97" t="s">
        <v>963</v>
      </c>
      <c r="Y1141" s="97" t="s">
        <v>29</v>
      </c>
      <c r="Z1141" s="105">
        <f t="shared" si="2272"/>
        <v>13.888888888888889</v>
      </c>
      <c r="AA1141" s="93"/>
    </row>
    <row r="1142" spans="1:27" s="101" customFormat="1" ht="16" hidden="1">
      <c r="A1142" s="97">
        <f>SUBTOTAL(3,C$2:C1142)</f>
        <v>469</v>
      </c>
      <c r="B1142" s="97" t="s">
        <v>1086</v>
      </c>
      <c r="C1142" s="97" t="s">
        <v>1031</v>
      </c>
      <c r="D1142" s="97" t="s">
        <v>32</v>
      </c>
      <c r="E1142" s="97" t="s">
        <v>33</v>
      </c>
      <c r="F1142" s="40" t="s">
        <v>2439</v>
      </c>
      <c r="G1142" s="102" t="s">
        <v>34</v>
      </c>
      <c r="H1142" s="111" t="s">
        <v>2440</v>
      </c>
      <c r="I1142" s="104">
        <v>46172</v>
      </c>
      <c r="J1142" s="97">
        <f t="shared" ref="J1142:J1144" ca="1" si="2273">+TODAY()-I1142</f>
        <v>12</v>
      </c>
      <c r="K1142" s="97" t="str">
        <f t="shared" ref="K1142:K1144" si="2274">+U1142</f>
        <v>Pending</v>
      </c>
      <c r="L1142" s="40" t="s">
        <v>783</v>
      </c>
      <c r="M1142" s="97">
        <v>18000</v>
      </c>
      <c r="N1142" s="97">
        <v>16000</v>
      </c>
      <c r="O1142" s="104">
        <v>46172</v>
      </c>
      <c r="P1142" s="97">
        <f t="shared" ref="P1142:P1144" si="2275">+M1142-N1142</f>
        <v>2000</v>
      </c>
      <c r="Q1142" s="97" t="s">
        <v>33</v>
      </c>
      <c r="R1142" s="97" t="s">
        <v>56</v>
      </c>
      <c r="S1142" s="97">
        <v>20500</v>
      </c>
      <c r="T1142" s="64" t="s">
        <v>33</v>
      </c>
      <c r="U1142" s="65" t="s">
        <v>33</v>
      </c>
      <c r="V1142" s="97" t="s">
        <v>28</v>
      </c>
      <c r="W1142" s="97">
        <f t="shared" ref="W1142:W1144" si="2276">+S1142-M1142</f>
        <v>2500</v>
      </c>
      <c r="X1142" s="97" t="s">
        <v>963</v>
      </c>
      <c r="Y1142" s="97" t="s">
        <v>29</v>
      </c>
      <c r="Z1142" s="105">
        <f t="shared" ref="Z1142:Z1144" si="2277">+W1142*100/M1142</f>
        <v>13.888888888888889</v>
      </c>
      <c r="AA1142" s="93"/>
    </row>
    <row r="1143" spans="1:27" s="101" customFormat="1" ht="16" hidden="1">
      <c r="A1143" s="97">
        <f>SUBTOTAL(3,C$2:C1143)</f>
        <v>469</v>
      </c>
      <c r="B1143" s="97" t="s">
        <v>1086</v>
      </c>
      <c r="C1143" s="97" t="s">
        <v>44</v>
      </c>
      <c r="D1143" s="97" t="s">
        <v>32</v>
      </c>
      <c r="E1143" s="97" t="s">
        <v>33</v>
      </c>
      <c r="F1143" s="40" t="s">
        <v>2441</v>
      </c>
      <c r="G1143" s="102" t="s">
        <v>1093</v>
      </c>
      <c r="H1143" s="111" t="s">
        <v>2442</v>
      </c>
      <c r="I1143" s="104">
        <v>46172</v>
      </c>
      <c r="J1143" s="97">
        <f t="shared" ca="1" si="2273"/>
        <v>12</v>
      </c>
      <c r="K1143" s="97" t="str">
        <f t="shared" si="2274"/>
        <v>Pending</v>
      </c>
      <c r="L1143" s="40" t="s">
        <v>397</v>
      </c>
      <c r="M1143" s="97">
        <v>19000</v>
      </c>
      <c r="N1143" s="97">
        <v>17000</v>
      </c>
      <c r="O1143" s="104">
        <v>46172</v>
      </c>
      <c r="P1143" s="97">
        <f t="shared" si="2275"/>
        <v>2000</v>
      </c>
      <c r="Q1143" s="97" t="s">
        <v>33</v>
      </c>
      <c r="R1143" s="97" t="s">
        <v>39</v>
      </c>
      <c r="S1143" s="97">
        <v>21800</v>
      </c>
      <c r="T1143" s="64" t="s">
        <v>33</v>
      </c>
      <c r="U1143" s="65" t="s">
        <v>33</v>
      </c>
      <c r="V1143" s="97" t="s">
        <v>28</v>
      </c>
      <c r="W1143" s="97">
        <f t="shared" si="2276"/>
        <v>2800</v>
      </c>
      <c r="X1143" s="97" t="s">
        <v>36</v>
      </c>
      <c r="Y1143" s="97" t="s">
        <v>29</v>
      </c>
      <c r="Z1143" s="105">
        <f t="shared" si="2277"/>
        <v>14.736842105263158</v>
      </c>
      <c r="AA1143" s="93"/>
    </row>
    <row r="1144" spans="1:27" s="101" customFormat="1" ht="16" hidden="1">
      <c r="A1144" s="97">
        <f>SUBTOTAL(3,C$2:C1144)</f>
        <v>469</v>
      </c>
      <c r="B1144" s="97" t="s">
        <v>1086</v>
      </c>
      <c r="C1144" s="97" t="s">
        <v>31</v>
      </c>
      <c r="D1144" s="97" t="s">
        <v>32</v>
      </c>
      <c r="E1144" s="97" t="s">
        <v>33</v>
      </c>
      <c r="F1144" s="40" t="s">
        <v>500</v>
      </c>
      <c r="G1144" s="102" t="s">
        <v>34</v>
      </c>
      <c r="H1144" s="111" t="s">
        <v>2443</v>
      </c>
      <c r="I1144" s="104">
        <v>46172</v>
      </c>
      <c r="J1144" s="97">
        <f t="shared" ca="1" si="2273"/>
        <v>12</v>
      </c>
      <c r="K1144" s="97" t="str">
        <f t="shared" si="2274"/>
        <v>Pending</v>
      </c>
      <c r="L1144" s="40" t="s">
        <v>2408</v>
      </c>
      <c r="M1144" s="97">
        <v>18300</v>
      </c>
      <c r="N1144" s="97">
        <v>16500</v>
      </c>
      <c r="O1144" s="104">
        <v>46172</v>
      </c>
      <c r="P1144" s="97">
        <f t="shared" si="2275"/>
        <v>1800</v>
      </c>
      <c r="Q1144" s="97" t="s">
        <v>33</v>
      </c>
      <c r="R1144" s="97" t="s">
        <v>37</v>
      </c>
      <c r="S1144" s="97">
        <v>18300</v>
      </c>
      <c r="T1144" s="64" t="s">
        <v>33</v>
      </c>
      <c r="U1144" s="65" t="s">
        <v>33</v>
      </c>
      <c r="V1144" s="97" t="s">
        <v>28</v>
      </c>
      <c r="W1144" s="97">
        <f t="shared" si="2276"/>
        <v>0</v>
      </c>
      <c r="X1144" s="97" t="s">
        <v>36</v>
      </c>
      <c r="Y1144" s="97" t="s">
        <v>29</v>
      </c>
      <c r="Z1144" s="105">
        <f t="shared" si="2277"/>
        <v>0</v>
      </c>
      <c r="AA1144" s="93"/>
    </row>
    <row r="1145" spans="1:27" s="101" customFormat="1" ht="16" hidden="1">
      <c r="A1145" s="97">
        <f>SUBTOTAL(3,C$2:C1145)</f>
        <v>469</v>
      </c>
      <c r="B1145" s="97" t="s">
        <v>1086</v>
      </c>
      <c r="C1145" s="97" t="s">
        <v>1031</v>
      </c>
      <c r="D1145" s="97" t="s">
        <v>32</v>
      </c>
      <c r="E1145" s="97" t="s">
        <v>33</v>
      </c>
      <c r="F1145" s="40" t="s">
        <v>85</v>
      </c>
      <c r="G1145" s="102" t="s">
        <v>34</v>
      </c>
      <c r="H1145" s="111" t="s">
        <v>2444</v>
      </c>
      <c r="I1145" s="104">
        <v>46172</v>
      </c>
      <c r="J1145" s="97">
        <f t="shared" ref="J1145:J1147" ca="1" si="2278">+TODAY()-I1145</f>
        <v>12</v>
      </c>
      <c r="K1145" s="97" t="str">
        <f t="shared" ref="K1145:K1147" si="2279">+U1145</f>
        <v>Pending</v>
      </c>
      <c r="L1145" s="40" t="s">
        <v>783</v>
      </c>
      <c r="M1145" s="97">
        <v>18000</v>
      </c>
      <c r="N1145" s="97">
        <v>16000</v>
      </c>
      <c r="O1145" s="104">
        <v>46172</v>
      </c>
      <c r="P1145" s="97">
        <f t="shared" ref="P1145:P1147" si="2280">+M1145-N1145</f>
        <v>2000</v>
      </c>
      <c r="Q1145" s="97" t="s">
        <v>33</v>
      </c>
      <c r="R1145" s="97" t="s">
        <v>56</v>
      </c>
      <c r="S1145" s="97">
        <v>20500</v>
      </c>
      <c r="T1145" s="64" t="s">
        <v>33</v>
      </c>
      <c r="U1145" s="65" t="s">
        <v>33</v>
      </c>
      <c r="V1145" s="97" t="s">
        <v>28</v>
      </c>
      <c r="W1145" s="97">
        <f t="shared" ref="W1145:W1147" si="2281">+S1145-M1145</f>
        <v>2500</v>
      </c>
      <c r="X1145" s="97" t="s">
        <v>963</v>
      </c>
      <c r="Y1145" s="97" t="s">
        <v>29</v>
      </c>
      <c r="Z1145" s="105">
        <f t="shared" ref="Z1145:Z1147" si="2282">+W1145*100/M1145</f>
        <v>13.888888888888889</v>
      </c>
      <c r="AA1145" s="93"/>
    </row>
    <row r="1146" spans="1:27" s="101" customFormat="1" ht="16" hidden="1">
      <c r="A1146" s="97">
        <f>SUBTOTAL(3,C$2:C1146)</f>
        <v>469</v>
      </c>
      <c r="B1146" s="97" t="s">
        <v>1086</v>
      </c>
      <c r="C1146" s="97" t="s">
        <v>31</v>
      </c>
      <c r="D1146" s="97" t="s">
        <v>32</v>
      </c>
      <c r="E1146" s="97" t="s">
        <v>33</v>
      </c>
      <c r="F1146" s="40" t="s">
        <v>296</v>
      </c>
      <c r="G1146" s="102" t="s">
        <v>34</v>
      </c>
      <c r="H1146" s="103" t="s">
        <v>2445</v>
      </c>
      <c r="I1146" s="104">
        <v>46172</v>
      </c>
      <c r="J1146" s="97">
        <f t="shared" ca="1" si="2278"/>
        <v>12</v>
      </c>
      <c r="K1146" s="97" t="str">
        <f t="shared" si="2279"/>
        <v>Pending</v>
      </c>
      <c r="L1146" s="40" t="s">
        <v>2446</v>
      </c>
      <c r="M1146" s="97">
        <v>18000</v>
      </c>
      <c r="N1146" s="97">
        <v>18000</v>
      </c>
      <c r="O1146" s="104">
        <v>46172</v>
      </c>
      <c r="P1146" s="97">
        <f t="shared" si="2280"/>
        <v>0</v>
      </c>
      <c r="Q1146" s="97" t="s">
        <v>33</v>
      </c>
      <c r="R1146" s="97" t="s">
        <v>78</v>
      </c>
      <c r="S1146" s="97">
        <v>21000</v>
      </c>
      <c r="T1146" s="64" t="s">
        <v>33</v>
      </c>
      <c r="U1146" s="65" t="s">
        <v>33</v>
      </c>
      <c r="V1146" s="97" t="s">
        <v>28</v>
      </c>
      <c r="W1146" s="97">
        <f t="shared" si="2281"/>
        <v>3000</v>
      </c>
      <c r="X1146" s="97" t="s">
        <v>36</v>
      </c>
      <c r="Y1146" s="97" t="s">
        <v>29</v>
      </c>
      <c r="Z1146" s="105">
        <f t="shared" si="2282"/>
        <v>16.666666666666668</v>
      </c>
      <c r="AA1146" s="93"/>
    </row>
    <row r="1147" spans="1:27" s="101" customFormat="1" ht="16" hidden="1">
      <c r="A1147" s="97">
        <f>SUBTOTAL(3,C$2:C1147)</f>
        <v>469</v>
      </c>
      <c r="B1147" s="97" t="s">
        <v>1086</v>
      </c>
      <c r="C1147" s="97" t="s">
        <v>44</v>
      </c>
      <c r="D1147" s="97" t="s">
        <v>32</v>
      </c>
      <c r="E1147" s="97" t="s">
        <v>33</v>
      </c>
      <c r="F1147" s="40" t="s">
        <v>985</v>
      </c>
      <c r="G1147" s="102" t="s">
        <v>1093</v>
      </c>
      <c r="H1147" s="111" t="s">
        <v>2447</v>
      </c>
      <c r="I1147" s="104">
        <v>46172</v>
      </c>
      <c r="J1147" s="97">
        <f t="shared" ca="1" si="2278"/>
        <v>12</v>
      </c>
      <c r="K1147" s="97" t="str">
        <f t="shared" si="2279"/>
        <v>Pending</v>
      </c>
      <c r="L1147" s="40" t="s">
        <v>1288</v>
      </c>
      <c r="M1147" s="97">
        <v>18500</v>
      </c>
      <c r="N1147" s="97">
        <v>18500</v>
      </c>
      <c r="O1147" s="104">
        <v>46172</v>
      </c>
      <c r="P1147" s="97">
        <f t="shared" si="2280"/>
        <v>0</v>
      </c>
      <c r="Q1147" s="97" t="s">
        <v>33</v>
      </c>
      <c r="R1147" s="97" t="s">
        <v>78</v>
      </c>
      <c r="S1147" s="97">
        <v>21000</v>
      </c>
      <c r="T1147" s="64" t="s">
        <v>33</v>
      </c>
      <c r="U1147" s="65" t="s">
        <v>33</v>
      </c>
      <c r="V1147" s="97" t="s">
        <v>28</v>
      </c>
      <c r="W1147" s="97">
        <f t="shared" si="2281"/>
        <v>2500</v>
      </c>
      <c r="X1147" s="97" t="s">
        <v>36</v>
      </c>
      <c r="Y1147" s="97" t="s">
        <v>29</v>
      </c>
      <c r="Z1147" s="105">
        <f t="shared" si="2282"/>
        <v>13.513513513513514</v>
      </c>
      <c r="AA1147" s="93"/>
    </row>
    <row r="1148" spans="1:27" s="101" customFormat="1" ht="16" hidden="1">
      <c r="A1148" s="97">
        <f>SUBTOTAL(3,C$2:C1148)</f>
        <v>469</v>
      </c>
      <c r="B1148" s="97" t="s">
        <v>1086</v>
      </c>
      <c r="C1148" s="97" t="s">
        <v>31</v>
      </c>
      <c r="D1148" s="97" t="s">
        <v>32</v>
      </c>
      <c r="E1148" s="97" t="s">
        <v>33</v>
      </c>
      <c r="F1148" s="40" t="s">
        <v>2448</v>
      </c>
      <c r="G1148" s="102" t="s">
        <v>34</v>
      </c>
      <c r="H1148" s="111" t="s">
        <v>2449</v>
      </c>
      <c r="I1148" s="104">
        <v>46172</v>
      </c>
      <c r="J1148" s="97">
        <f t="shared" ref="J1148:J1149" ca="1" si="2283">+TODAY()-I1148</f>
        <v>12</v>
      </c>
      <c r="K1148" s="97" t="str">
        <f t="shared" ref="K1148:K1149" si="2284">+U1148</f>
        <v>Pending</v>
      </c>
      <c r="L1148" s="40" t="s">
        <v>2408</v>
      </c>
      <c r="M1148" s="97">
        <v>18300</v>
      </c>
      <c r="N1148" s="97">
        <v>16500</v>
      </c>
      <c r="O1148" s="104">
        <v>46172</v>
      </c>
      <c r="P1148" s="97">
        <f t="shared" ref="P1148:P1149" si="2285">+M1148-N1148</f>
        <v>1800</v>
      </c>
      <c r="Q1148" s="97" t="s">
        <v>33</v>
      </c>
      <c r="R1148" s="97" t="s">
        <v>37</v>
      </c>
      <c r="S1148" s="97">
        <v>21500</v>
      </c>
      <c r="T1148" s="64" t="s">
        <v>33</v>
      </c>
      <c r="U1148" s="65" t="s">
        <v>33</v>
      </c>
      <c r="V1148" s="97" t="s">
        <v>28</v>
      </c>
      <c r="W1148" s="97">
        <f t="shared" ref="W1148:W1149" si="2286">+S1148-M1148</f>
        <v>3200</v>
      </c>
      <c r="X1148" s="97" t="s">
        <v>36</v>
      </c>
      <c r="Y1148" s="97" t="s">
        <v>29</v>
      </c>
      <c r="Z1148" s="105">
        <f t="shared" ref="Z1148:Z1149" si="2287">+W1148*100/M1148</f>
        <v>17.486338797814209</v>
      </c>
      <c r="AA1148" s="93"/>
    </row>
    <row r="1149" spans="1:27" s="101" customFormat="1" ht="16" hidden="1">
      <c r="A1149" s="97">
        <f>SUBTOTAL(3,C$2:C1149)</f>
        <v>469</v>
      </c>
      <c r="B1149" s="97" t="s">
        <v>1086</v>
      </c>
      <c r="C1149" s="97" t="s">
        <v>44</v>
      </c>
      <c r="D1149" s="97" t="s">
        <v>32</v>
      </c>
      <c r="E1149" s="97" t="s">
        <v>33</v>
      </c>
      <c r="F1149" s="40" t="s">
        <v>1700</v>
      </c>
      <c r="G1149" s="102" t="s">
        <v>2450</v>
      </c>
      <c r="H1149" s="103" t="s">
        <v>2451</v>
      </c>
      <c r="I1149" s="104">
        <v>46172</v>
      </c>
      <c r="J1149" s="97">
        <f t="shared" ca="1" si="2283"/>
        <v>12</v>
      </c>
      <c r="K1149" s="97" t="str">
        <f t="shared" si="2284"/>
        <v>Pending</v>
      </c>
      <c r="L1149" s="40" t="s">
        <v>492</v>
      </c>
      <c r="M1149" s="97">
        <v>23000</v>
      </c>
      <c r="N1149" s="97">
        <v>23000</v>
      </c>
      <c r="O1149" s="104">
        <v>46172</v>
      </c>
      <c r="P1149" s="97">
        <f t="shared" si="2285"/>
        <v>0</v>
      </c>
      <c r="Q1149" s="97" t="s">
        <v>33</v>
      </c>
      <c r="R1149" s="97" t="s">
        <v>39</v>
      </c>
      <c r="S1149" s="97">
        <v>25200</v>
      </c>
      <c r="T1149" s="64" t="s">
        <v>33</v>
      </c>
      <c r="U1149" s="65" t="s">
        <v>33</v>
      </c>
      <c r="V1149" s="97" t="s">
        <v>28</v>
      </c>
      <c r="W1149" s="97">
        <f t="shared" si="2286"/>
        <v>2200</v>
      </c>
      <c r="X1149" s="97" t="s">
        <v>36</v>
      </c>
      <c r="Y1149" s="97" t="s">
        <v>29</v>
      </c>
      <c r="Z1149" s="105">
        <f t="shared" si="2287"/>
        <v>9.5652173913043477</v>
      </c>
      <c r="AA1149" s="93"/>
    </row>
    <row r="1150" spans="1:27" s="101" customFormat="1" ht="16" hidden="1">
      <c r="A1150" s="97">
        <f>SUBTOTAL(3,C$2:C1150)</f>
        <v>469</v>
      </c>
      <c r="B1150" s="97" t="s">
        <v>1086</v>
      </c>
      <c r="C1150" s="97" t="s">
        <v>44</v>
      </c>
      <c r="D1150" s="97" t="s">
        <v>32</v>
      </c>
      <c r="E1150" s="97" t="s">
        <v>33</v>
      </c>
      <c r="F1150" s="40" t="s">
        <v>81</v>
      </c>
      <c r="G1150" s="102" t="s">
        <v>2450</v>
      </c>
      <c r="H1150" s="103" t="s">
        <v>2452</v>
      </c>
      <c r="I1150" s="104">
        <v>46172</v>
      </c>
      <c r="J1150" s="97">
        <f t="shared" ref="J1150" ca="1" si="2288">+TODAY()-I1150</f>
        <v>12</v>
      </c>
      <c r="K1150" s="97" t="str">
        <f t="shared" ref="K1150" si="2289">+U1150</f>
        <v>Pending</v>
      </c>
      <c r="L1150" s="40" t="s">
        <v>492</v>
      </c>
      <c r="M1150" s="97">
        <v>23000</v>
      </c>
      <c r="N1150" s="97">
        <v>23000</v>
      </c>
      <c r="O1150" s="104">
        <v>46172</v>
      </c>
      <c r="P1150" s="97">
        <f t="shared" ref="P1150" si="2290">+M1150-N1150</f>
        <v>0</v>
      </c>
      <c r="Q1150" s="97" t="s">
        <v>33</v>
      </c>
      <c r="R1150" s="97" t="s">
        <v>39</v>
      </c>
      <c r="S1150" s="97">
        <v>25200</v>
      </c>
      <c r="T1150" s="64" t="s">
        <v>33</v>
      </c>
      <c r="U1150" s="65" t="s">
        <v>33</v>
      </c>
      <c r="V1150" s="97" t="s">
        <v>28</v>
      </c>
      <c r="W1150" s="97">
        <f t="shared" ref="W1150" si="2291">+S1150-M1150</f>
        <v>2200</v>
      </c>
      <c r="X1150" s="97" t="s">
        <v>36</v>
      </c>
      <c r="Y1150" s="97" t="s">
        <v>29</v>
      </c>
      <c r="Z1150" s="105">
        <f t="shared" ref="Z1150" si="2292">+W1150*100/M1150</f>
        <v>9.5652173913043477</v>
      </c>
      <c r="AA1150" s="93"/>
    </row>
    <row r="1151" spans="1:27" s="101" customFormat="1" ht="16" hidden="1">
      <c r="A1151" s="97">
        <f>SUBTOTAL(3,C$2:C1151)</f>
        <v>469</v>
      </c>
      <c r="B1151" s="97" t="s">
        <v>1086</v>
      </c>
      <c r="C1151" s="97" t="s">
        <v>44</v>
      </c>
      <c r="D1151" s="97" t="s">
        <v>32</v>
      </c>
      <c r="E1151" s="97" t="s">
        <v>33</v>
      </c>
      <c r="F1151" s="40" t="s">
        <v>1700</v>
      </c>
      <c r="G1151" s="102" t="s">
        <v>2450</v>
      </c>
      <c r="H1151" s="103" t="s">
        <v>2455</v>
      </c>
      <c r="I1151" s="104">
        <v>46172</v>
      </c>
      <c r="J1151" s="97">
        <f t="shared" ref="J1151:J1152" ca="1" si="2293">+TODAY()-I1151</f>
        <v>12</v>
      </c>
      <c r="K1151" s="97" t="str">
        <f t="shared" ref="K1151:K1152" si="2294">+U1151</f>
        <v>Pending</v>
      </c>
      <c r="L1151" s="40" t="s">
        <v>492</v>
      </c>
      <c r="M1151" s="97">
        <v>22500</v>
      </c>
      <c r="N1151" s="97">
        <v>22500</v>
      </c>
      <c r="O1151" s="104">
        <v>46172</v>
      </c>
      <c r="P1151" s="97">
        <f t="shared" ref="P1151:P1152" si="2295">+M1151-N1151</f>
        <v>0</v>
      </c>
      <c r="Q1151" s="97" t="s">
        <v>33</v>
      </c>
      <c r="R1151" s="97" t="s">
        <v>78</v>
      </c>
      <c r="S1151" s="97">
        <v>25500</v>
      </c>
      <c r="T1151" s="64" t="s">
        <v>33</v>
      </c>
      <c r="U1151" s="65" t="s">
        <v>33</v>
      </c>
      <c r="V1151" s="97" t="s">
        <v>28</v>
      </c>
      <c r="W1151" s="97">
        <f t="shared" ref="W1151:W1152" si="2296">+S1151-M1151</f>
        <v>3000</v>
      </c>
      <c r="X1151" s="97" t="s">
        <v>36</v>
      </c>
      <c r="Y1151" s="97" t="s">
        <v>29</v>
      </c>
      <c r="Z1151" s="105">
        <f t="shared" ref="Z1151:Z1152" si="2297">+W1151*100/M1151</f>
        <v>13.333333333333334</v>
      </c>
      <c r="AA1151" s="93"/>
    </row>
    <row r="1152" spans="1:27" s="101" customFormat="1" ht="16" hidden="1">
      <c r="A1152" s="97">
        <f>SUBTOTAL(3,C$2:C1152)</f>
        <v>469</v>
      </c>
      <c r="B1152" s="97" t="s">
        <v>1086</v>
      </c>
      <c r="C1152" s="97" t="s">
        <v>1031</v>
      </c>
      <c r="D1152" s="97" t="s">
        <v>32</v>
      </c>
      <c r="E1152" s="97" t="s">
        <v>33</v>
      </c>
      <c r="F1152" s="40" t="s">
        <v>2456</v>
      </c>
      <c r="G1152" s="102" t="s">
        <v>34</v>
      </c>
      <c r="H1152" s="111" t="s">
        <v>2457</v>
      </c>
      <c r="I1152" s="104">
        <v>46172</v>
      </c>
      <c r="J1152" s="97">
        <f t="shared" ca="1" si="2293"/>
        <v>12</v>
      </c>
      <c r="K1152" s="97" t="str">
        <f t="shared" si="2294"/>
        <v>Pending</v>
      </c>
      <c r="L1152" s="40" t="s">
        <v>2458</v>
      </c>
      <c r="M1152" s="97">
        <v>19000</v>
      </c>
      <c r="N1152" s="97">
        <v>17000</v>
      </c>
      <c r="O1152" s="104">
        <v>46172</v>
      </c>
      <c r="P1152" s="97">
        <f t="shared" si="2295"/>
        <v>2000</v>
      </c>
      <c r="Q1152" s="97" t="s">
        <v>33</v>
      </c>
      <c r="R1152" s="97" t="s">
        <v>56</v>
      </c>
      <c r="S1152" s="97">
        <v>22000</v>
      </c>
      <c r="T1152" s="64" t="s">
        <v>33</v>
      </c>
      <c r="U1152" s="65" t="s">
        <v>33</v>
      </c>
      <c r="V1152" s="97" t="s">
        <v>28</v>
      </c>
      <c r="W1152" s="97">
        <f t="shared" si="2296"/>
        <v>3000</v>
      </c>
      <c r="X1152" s="97" t="s">
        <v>963</v>
      </c>
      <c r="Y1152" s="97" t="s">
        <v>29</v>
      </c>
      <c r="Z1152" s="105">
        <f t="shared" si="2297"/>
        <v>15.789473684210526</v>
      </c>
      <c r="AA1152" s="93"/>
    </row>
    <row r="1153" spans="1:27" s="101" customFormat="1" ht="16" hidden="1">
      <c r="A1153" s="97">
        <f>SUBTOTAL(3,C$2:C1153)</f>
        <v>469</v>
      </c>
      <c r="B1153" s="97" t="s">
        <v>2469</v>
      </c>
      <c r="C1153" s="97" t="s">
        <v>44</v>
      </c>
      <c r="D1153" s="97" t="s">
        <v>32</v>
      </c>
      <c r="E1153" s="97" t="s">
        <v>33</v>
      </c>
      <c r="F1153" s="40" t="s">
        <v>401</v>
      </c>
      <c r="G1153" s="102" t="s">
        <v>1093</v>
      </c>
      <c r="H1153" s="111" t="s">
        <v>2470</v>
      </c>
      <c r="I1153" s="104">
        <v>46172</v>
      </c>
      <c r="J1153" s="97">
        <f t="shared" ref="J1153:J1154" ca="1" si="2298">+TODAY()-I1153</f>
        <v>12</v>
      </c>
      <c r="K1153" s="97" t="str">
        <f t="shared" ref="K1153:K1154" si="2299">+U1153</f>
        <v>Pending</v>
      </c>
      <c r="L1153" s="40" t="s">
        <v>995</v>
      </c>
      <c r="M1153" s="97">
        <v>28500</v>
      </c>
      <c r="N1153" s="97">
        <v>26500</v>
      </c>
      <c r="O1153" s="104">
        <v>46174</v>
      </c>
      <c r="P1153" s="97">
        <f t="shared" ref="P1153:P1154" si="2300">+M1153-N1153</f>
        <v>2000</v>
      </c>
      <c r="Q1153" s="97" t="s">
        <v>33</v>
      </c>
      <c r="R1153" s="97" t="s">
        <v>37</v>
      </c>
      <c r="S1153" s="97">
        <v>31500</v>
      </c>
      <c r="T1153" s="64" t="s">
        <v>33</v>
      </c>
      <c r="U1153" s="65" t="s">
        <v>33</v>
      </c>
      <c r="V1153" s="97" t="s">
        <v>28</v>
      </c>
      <c r="W1153" s="97">
        <f t="shared" ref="W1153:W1154" si="2301">+S1153-M1153</f>
        <v>3000</v>
      </c>
      <c r="X1153" s="97" t="s">
        <v>36</v>
      </c>
      <c r="Y1153" s="97" t="s">
        <v>29</v>
      </c>
      <c r="Z1153" s="105">
        <f t="shared" ref="Z1153:Z1154" si="2302">+W1153*100/M1153</f>
        <v>10.526315789473685</v>
      </c>
      <c r="AA1153" s="93"/>
    </row>
    <row r="1154" spans="1:27" s="101" customFormat="1" ht="16" hidden="1">
      <c r="A1154" s="97">
        <f>SUBTOTAL(3,C$2:C1154)</f>
        <v>469</v>
      </c>
      <c r="B1154" s="97" t="s">
        <v>2469</v>
      </c>
      <c r="C1154" s="97" t="s">
        <v>31</v>
      </c>
      <c r="D1154" s="97" t="s">
        <v>32</v>
      </c>
      <c r="E1154" s="97" t="s">
        <v>33</v>
      </c>
      <c r="F1154" s="40" t="s">
        <v>2471</v>
      </c>
      <c r="G1154" s="102" t="s">
        <v>34</v>
      </c>
      <c r="H1154" s="111" t="s">
        <v>2472</v>
      </c>
      <c r="I1154" s="104">
        <v>46172</v>
      </c>
      <c r="J1154" s="97">
        <f t="shared" ca="1" si="2298"/>
        <v>12</v>
      </c>
      <c r="K1154" s="97" t="str">
        <f t="shared" si="2299"/>
        <v>Pending</v>
      </c>
      <c r="L1154" s="40" t="s">
        <v>1697</v>
      </c>
      <c r="M1154" s="97">
        <v>18300</v>
      </c>
      <c r="N1154" s="97">
        <v>16500</v>
      </c>
      <c r="O1154" s="104">
        <v>46174</v>
      </c>
      <c r="P1154" s="97">
        <f t="shared" si="2300"/>
        <v>1800</v>
      </c>
      <c r="Q1154" s="97" t="s">
        <v>33</v>
      </c>
      <c r="R1154" s="97" t="s">
        <v>37</v>
      </c>
      <c r="S1154" s="97">
        <v>21500</v>
      </c>
      <c r="T1154" s="64" t="s">
        <v>33</v>
      </c>
      <c r="U1154" s="65" t="s">
        <v>33</v>
      </c>
      <c r="V1154" s="97" t="s">
        <v>28</v>
      </c>
      <c r="W1154" s="97">
        <f t="shared" si="2301"/>
        <v>3200</v>
      </c>
      <c r="X1154" s="97" t="s">
        <v>36</v>
      </c>
      <c r="Y1154" s="97" t="s">
        <v>29</v>
      </c>
      <c r="Z1154" s="105">
        <f t="shared" si="2302"/>
        <v>17.486338797814209</v>
      </c>
      <c r="AA1154" s="93"/>
    </row>
    <row r="1155" spans="1:27" s="101" customFormat="1" ht="16" hidden="1">
      <c r="A1155" s="97">
        <f>SUBTOTAL(3,C$2:C1155)</f>
        <v>469</v>
      </c>
      <c r="B1155" s="97" t="s">
        <v>2469</v>
      </c>
      <c r="C1155" s="97" t="s">
        <v>44</v>
      </c>
      <c r="D1155" s="97" t="s">
        <v>32</v>
      </c>
      <c r="E1155" s="97" t="s">
        <v>33</v>
      </c>
      <c r="F1155" s="40" t="s">
        <v>45</v>
      </c>
      <c r="G1155" s="102" t="s">
        <v>1093</v>
      </c>
      <c r="H1155" s="111" t="s">
        <v>2473</v>
      </c>
      <c r="I1155" s="104">
        <v>46173</v>
      </c>
      <c r="J1155" s="97">
        <f t="shared" ref="J1155:J1156" ca="1" si="2303">+TODAY()-I1155</f>
        <v>11</v>
      </c>
      <c r="K1155" s="97" t="str">
        <f t="shared" ref="K1155:K1156" si="2304">+U1155</f>
        <v>Pending</v>
      </c>
      <c r="L1155" s="40" t="s">
        <v>445</v>
      </c>
      <c r="M1155" s="97">
        <v>24000</v>
      </c>
      <c r="N1155" s="97">
        <v>22000</v>
      </c>
      <c r="O1155" s="104">
        <v>46174</v>
      </c>
      <c r="P1155" s="97">
        <f t="shared" ref="P1155:P1156" si="2305">+M1155-N1155</f>
        <v>2000</v>
      </c>
      <c r="Q1155" s="97" t="s">
        <v>33</v>
      </c>
      <c r="R1155" s="97" t="s">
        <v>37</v>
      </c>
      <c r="S1155" s="97">
        <v>26000</v>
      </c>
      <c r="T1155" s="64" t="s">
        <v>33</v>
      </c>
      <c r="U1155" s="65" t="s">
        <v>33</v>
      </c>
      <c r="V1155" s="97" t="s">
        <v>28</v>
      </c>
      <c r="W1155" s="97">
        <f t="shared" ref="W1155:W1156" si="2306">+S1155-M1155</f>
        <v>2000</v>
      </c>
      <c r="X1155" s="97" t="s">
        <v>36</v>
      </c>
      <c r="Y1155" s="97" t="s">
        <v>29</v>
      </c>
      <c r="Z1155" s="105">
        <f t="shared" ref="Z1155:Z1156" si="2307">+W1155*100/M1155</f>
        <v>8.3333333333333339</v>
      </c>
      <c r="AA1155" s="93"/>
    </row>
    <row r="1156" spans="1:27" s="101" customFormat="1" ht="16" hidden="1">
      <c r="A1156" s="97">
        <f>SUBTOTAL(3,C$2:C1156)</f>
        <v>469</v>
      </c>
      <c r="B1156" s="97" t="s">
        <v>2469</v>
      </c>
      <c r="C1156" s="97" t="s">
        <v>31</v>
      </c>
      <c r="D1156" s="97" t="s">
        <v>32</v>
      </c>
      <c r="E1156" s="97" t="s">
        <v>33</v>
      </c>
      <c r="F1156" s="40" t="s">
        <v>465</v>
      </c>
      <c r="G1156" s="102" t="s">
        <v>34</v>
      </c>
      <c r="H1156" s="111" t="s">
        <v>2474</v>
      </c>
      <c r="I1156" s="104">
        <v>46173</v>
      </c>
      <c r="J1156" s="97">
        <f t="shared" ca="1" si="2303"/>
        <v>11</v>
      </c>
      <c r="K1156" s="97" t="str">
        <f t="shared" si="2304"/>
        <v>Pending</v>
      </c>
      <c r="L1156" s="40" t="s">
        <v>1697</v>
      </c>
      <c r="M1156" s="97">
        <v>18300</v>
      </c>
      <c r="N1156" s="97">
        <v>16500</v>
      </c>
      <c r="O1156" s="104">
        <v>46174</v>
      </c>
      <c r="P1156" s="97">
        <f t="shared" si="2305"/>
        <v>1800</v>
      </c>
      <c r="Q1156" s="97" t="s">
        <v>33</v>
      </c>
      <c r="R1156" s="97" t="s">
        <v>37</v>
      </c>
      <c r="S1156" s="97">
        <v>21500</v>
      </c>
      <c r="T1156" s="64" t="s">
        <v>33</v>
      </c>
      <c r="U1156" s="65" t="s">
        <v>33</v>
      </c>
      <c r="V1156" s="97" t="s">
        <v>28</v>
      </c>
      <c r="W1156" s="97">
        <f t="shared" si="2306"/>
        <v>3200</v>
      </c>
      <c r="X1156" s="97" t="s">
        <v>36</v>
      </c>
      <c r="Y1156" s="97" t="s">
        <v>29</v>
      </c>
      <c r="Z1156" s="105">
        <f t="shared" si="2307"/>
        <v>17.486338797814209</v>
      </c>
      <c r="AA1156" s="93"/>
    </row>
    <row r="1157" spans="1:27" s="101" customFormat="1" ht="16" hidden="1">
      <c r="A1157" s="97">
        <f>SUBTOTAL(3,C$2:C1157)</f>
        <v>469</v>
      </c>
      <c r="B1157" s="97" t="s">
        <v>2469</v>
      </c>
      <c r="C1157" s="97" t="s">
        <v>31</v>
      </c>
      <c r="D1157" s="97" t="s">
        <v>32</v>
      </c>
      <c r="E1157" s="97" t="s">
        <v>33</v>
      </c>
      <c r="F1157" s="40" t="s">
        <v>1279</v>
      </c>
      <c r="G1157" s="102" t="s">
        <v>34</v>
      </c>
      <c r="H1157" s="111" t="s">
        <v>2475</v>
      </c>
      <c r="I1157" s="104">
        <v>46173</v>
      </c>
      <c r="J1157" s="97">
        <f t="shared" ref="J1157:J1158" ca="1" si="2308">+TODAY()-I1157</f>
        <v>11</v>
      </c>
      <c r="K1157" s="97" t="str">
        <f t="shared" ref="K1157:K1158" si="2309">+U1157</f>
        <v>Pending</v>
      </c>
      <c r="L1157" s="40" t="s">
        <v>2357</v>
      </c>
      <c r="M1157" s="97">
        <v>18300</v>
      </c>
      <c r="N1157" s="97">
        <v>16500</v>
      </c>
      <c r="O1157" s="104">
        <v>46174</v>
      </c>
      <c r="P1157" s="97">
        <f t="shared" ref="P1157:P1158" si="2310">+M1157-N1157</f>
        <v>1800</v>
      </c>
      <c r="Q1157" s="97" t="s">
        <v>33</v>
      </c>
      <c r="R1157" s="97" t="s">
        <v>37</v>
      </c>
      <c r="S1157" s="97">
        <v>21500</v>
      </c>
      <c r="T1157" s="64" t="s">
        <v>33</v>
      </c>
      <c r="U1157" s="65" t="s">
        <v>33</v>
      </c>
      <c r="V1157" s="97" t="s">
        <v>28</v>
      </c>
      <c r="W1157" s="97">
        <f t="shared" ref="W1157:W1158" si="2311">+S1157-M1157</f>
        <v>3200</v>
      </c>
      <c r="X1157" s="97" t="s">
        <v>36</v>
      </c>
      <c r="Y1157" s="97" t="s">
        <v>29</v>
      </c>
      <c r="Z1157" s="105">
        <f t="shared" ref="Z1157:Z1158" si="2312">+W1157*100/M1157</f>
        <v>17.486338797814209</v>
      </c>
      <c r="AA1157" s="93"/>
    </row>
    <row r="1158" spans="1:27" s="101" customFormat="1" ht="16" hidden="1">
      <c r="A1158" s="97">
        <f>SUBTOTAL(3,C$2:C1158)</f>
        <v>469</v>
      </c>
      <c r="B1158" s="97" t="s">
        <v>2469</v>
      </c>
      <c r="C1158" s="97" t="s">
        <v>44</v>
      </c>
      <c r="D1158" s="97" t="s">
        <v>32</v>
      </c>
      <c r="E1158" s="97" t="s">
        <v>33</v>
      </c>
      <c r="F1158" s="40" t="s">
        <v>1030</v>
      </c>
      <c r="G1158" s="102">
        <v>407</v>
      </c>
      <c r="H1158" s="111" t="s">
        <v>2477</v>
      </c>
      <c r="I1158" s="104">
        <v>46172</v>
      </c>
      <c r="J1158" s="97">
        <f t="shared" ca="1" si="2308"/>
        <v>12</v>
      </c>
      <c r="K1158" s="97" t="str">
        <f t="shared" si="2309"/>
        <v>Pending</v>
      </c>
      <c r="L1158" s="40" t="s">
        <v>84</v>
      </c>
      <c r="M1158" s="97">
        <v>28000</v>
      </c>
      <c r="N1158" s="97">
        <v>26000</v>
      </c>
      <c r="O1158" s="104">
        <v>46174</v>
      </c>
      <c r="P1158" s="97">
        <f t="shared" si="2310"/>
        <v>2000</v>
      </c>
      <c r="Q1158" s="97" t="s">
        <v>33</v>
      </c>
      <c r="R1158" s="97" t="s">
        <v>78</v>
      </c>
      <c r="S1158" s="97">
        <v>29800</v>
      </c>
      <c r="T1158" s="64" t="s">
        <v>33</v>
      </c>
      <c r="U1158" s="65" t="s">
        <v>33</v>
      </c>
      <c r="V1158" s="97" t="s">
        <v>28</v>
      </c>
      <c r="W1158" s="97">
        <f t="shared" si="2311"/>
        <v>1800</v>
      </c>
      <c r="X1158" s="97" t="s">
        <v>36</v>
      </c>
      <c r="Y1158" s="97" t="s">
        <v>29</v>
      </c>
      <c r="Z1158" s="105">
        <f t="shared" si="2312"/>
        <v>6.4285714285714288</v>
      </c>
      <c r="AA1158" s="93"/>
    </row>
    <row r="1159" spans="1:27" s="101" customFormat="1" ht="16" hidden="1">
      <c r="A1159" s="97">
        <f>SUBTOTAL(3,C$2:C1159)</f>
        <v>469</v>
      </c>
      <c r="B1159" s="97" t="s">
        <v>2469</v>
      </c>
      <c r="C1159" s="97" t="s">
        <v>44</v>
      </c>
      <c r="D1159" s="97" t="s">
        <v>32</v>
      </c>
      <c r="E1159" s="97" t="s">
        <v>33</v>
      </c>
      <c r="F1159" s="40" t="s">
        <v>2478</v>
      </c>
      <c r="G1159" s="102" t="s">
        <v>994</v>
      </c>
      <c r="H1159" s="111" t="s">
        <v>2479</v>
      </c>
      <c r="I1159" s="104">
        <v>46173</v>
      </c>
      <c r="J1159" s="97">
        <f t="shared" ref="J1159:J1161" ca="1" si="2313">+TODAY()-I1159</f>
        <v>11</v>
      </c>
      <c r="K1159" s="97" t="str">
        <f t="shared" ref="K1159:K1161" si="2314">+U1159</f>
        <v>Pending</v>
      </c>
      <c r="L1159" s="40" t="s">
        <v>995</v>
      </c>
      <c r="M1159" s="97">
        <v>39000</v>
      </c>
      <c r="N1159" s="97">
        <v>36000</v>
      </c>
      <c r="O1159" s="104">
        <v>46174</v>
      </c>
      <c r="P1159" s="97">
        <f t="shared" ref="P1159:P1161" si="2315">+M1159-N1159</f>
        <v>3000</v>
      </c>
      <c r="Q1159" s="97" t="s">
        <v>33</v>
      </c>
      <c r="R1159" s="97" t="s">
        <v>52</v>
      </c>
      <c r="S1159" s="97">
        <v>44000</v>
      </c>
      <c r="T1159" s="64" t="s">
        <v>33</v>
      </c>
      <c r="U1159" s="65" t="s">
        <v>33</v>
      </c>
      <c r="V1159" s="97" t="s">
        <v>28</v>
      </c>
      <c r="W1159" s="97">
        <f t="shared" ref="W1159:W1161" si="2316">+S1159-M1159</f>
        <v>5000</v>
      </c>
      <c r="X1159" s="97" t="s">
        <v>36</v>
      </c>
      <c r="Y1159" s="97" t="s">
        <v>29</v>
      </c>
      <c r="Z1159" s="105">
        <f t="shared" ref="Z1159:Z1161" si="2317">+W1159*100/M1159</f>
        <v>12.820512820512821</v>
      </c>
      <c r="AA1159" s="93"/>
    </row>
    <row r="1160" spans="1:27" s="101" customFormat="1" ht="16" hidden="1">
      <c r="A1160" s="97">
        <f>SUBTOTAL(3,C$2:C1160)</f>
        <v>469</v>
      </c>
      <c r="B1160" s="97" t="s">
        <v>2469</v>
      </c>
      <c r="C1160" s="97" t="s">
        <v>1031</v>
      </c>
      <c r="D1160" s="97" t="s">
        <v>32</v>
      </c>
      <c r="E1160" s="97" t="s">
        <v>33</v>
      </c>
      <c r="F1160" s="40" t="s">
        <v>2480</v>
      </c>
      <c r="G1160" s="102" t="s">
        <v>34</v>
      </c>
      <c r="H1160" s="111" t="s">
        <v>2481</v>
      </c>
      <c r="I1160" s="104">
        <v>46173</v>
      </c>
      <c r="J1160" s="97">
        <f t="shared" ca="1" si="2313"/>
        <v>11</v>
      </c>
      <c r="K1160" s="97" t="str">
        <f t="shared" si="2314"/>
        <v>Pending</v>
      </c>
      <c r="L1160" s="40" t="s">
        <v>783</v>
      </c>
      <c r="M1160" s="97">
        <v>18000</v>
      </c>
      <c r="N1160" s="97">
        <v>16000</v>
      </c>
      <c r="O1160" s="104">
        <v>46174</v>
      </c>
      <c r="P1160" s="97">
        <f t="shared" si="2315"/>
        <v>2000</v>
      </c>
      <c r="Q1160" s="97" t="s">
        <v>33</v>
      </c>
      <c r="R1160" s="97" t="s">
        <v>56</v>
      </c>
      <c r="S1160" s="97">
        <v>20500</v>
      </c>
      <c r="T1160" s="64" t="s">
        <v>33</v>
      </c>
      <c r="U1160" s="65" t="s">
        <v>33</v>
      </c>
      <c r="V1160" s="97" t="s">
        <v>28</v>
      </c>
      <c r="W1160" s="97">
        <f t="shared" si="2316"/>
        <v>2500</v>
      </c>
      <c r="X1160" s="97" t="s">
        <v>963</v>
      </c>
      <c r="Y1160" s="97" t="s">
        <v>29</v>
      </c>
      <c r="Z1160" s="105">
        <f t="shared" si="2317"/>
        <v>13.888888888888889</v>
      </c>
      <c r="AA1160" s="93"/>
    </row>
    <row r="1161" spans="1:27" s="101" customFormat="1" ht="16" hidden="1">
      <c r="A1161" s="97">
        <f>SUBTOTAL(3,C$2:C1161)</f>
        <v>469</v>
      </c>
      <c r="B1161" s="97" t="s">
        <v>2469</v>
      </c>
      <c r="C1161" s="97" t="s">
        <v>216</v>
      </c>
      <c r="D1161" s="97" t="s">
        <v>32</v>
      </c>
      <c r="E1161" s="97" t="s">
        <v>33</v>
      </c>
      <c r="F1161" s="40" t="s">
        <v>215</v>
      </c>
      <c r="G1161" s="102" t="s">
        <v>67</v>
      </c>
      <c r="H1161" s="111" t="s">
        <v>2482</v>
      </c>
      <c r="I1161" s="104">
        <v>46173</v>
      </c>
      <c r="J1161" s="97">
        <f t="shared" ca="1" si="2313"/>
        <v>11</v>
      </c>
      <c r="K1161" s="97" t="str">
        <f t="shared" si="2314"/>
        <v>Pending</v>
      </c>
      <c r="L1161" s="40" t="s">
        <v>217</v>
      </c>
      <c r="M1161" s="97">
        <f>3000+38500</f>
        <v>41500</v>
      </c>
      <c r="N1161" s="97">
        <v>35500</v>
      </c>
      <c r="O1161" s="104">
        <v>46174</v>
      </c>
      <c r="P1161" s="97">
        <f t="shared" si="2315"/>
        <v>6000</v>
      </c>
      <c r="Q1161" s="97" t="s">
        <v>33</v>
      </c>
      <c r="R1161" s="97" t="s">
        <v>52</v>
      </c>
      <c r="S1161" s="97">
        <f>5000+42000</f>
        <v>47000</v>
      </c>
      <c r="T1161" s="64" t="s">
        <v>33</v>
      </c>
      <c r="U1161" s="65" t="s">
        <v>33</v>
      </c>
      <c r="V1161" s="97" t="s">
        <v>28</v>
      </c>
      <c r="W1161" s="97">
        <f t="shared" si="2316"/>
        <v>5500</v>
      </c>
      <c r="X1161" s="97" t="s">
        <v>36</v>
      </c>
      <c r="Y1161" s="97" t="s">
        <v>29</v>
      </c>
      <c r="Z1161" s="105">
        <f t="shared" si="2317"/>
        <v>13.253012048192771</v>
      </c>
      <c r="AA1161" s="93"/>
    </row>
    <row r="1162" spans="1:27" s="101" customFormat="1" ht="16" hidden="1">
      <c r="A1162" s="97">
        <f>SUBTOTAL(3,C$2:C1162)</f>
        <v>469</v>
      </c>
      <c r="B1162" s="97" t="s">
        <v>2469</v>
      </c>
      <c r="C1162" s="97" t="s">
        <v>1031</v>
      </c>
      <c r="D1162" s="97" t="s">
        <v>32</v>
      </c>
      <c r="E1162" s="97" t="s">
        <v>33</v>
      </c>
      <c r="F1162" s="40" t="s">
        <v>1692</v>
      </c>
      <c r="G1162" s="102" t="s">
        <v>34</v>
      </c>
      <c r="H1162" s="111" t="s">
        <v>2483</v>
      </c>
      <c r="I1162" s="104">
        <v>46173</v>
      </c>
      <c r="J1162" s="97">
        <f t="shared" ref="J1162:J1163" ca="1" si="2318">+TODAY()-I1162</f>
        <v>11</v>
      </c>
      <c r="K1162" s="97" t="str">
        <f t="shared" ref="K1162:K1163" si="2319">+U1162</f>
        <v>Pending</v>
      </c>
      <c r="L1162" s="40" t="s">
        <v>783</v>
      </c>
      <c r="M1162" s="97">
        <v>18000</v>
      </c>
      <c r="N1162" s="97">
        <v>16000</v>
      </c>
      <c r="O1162" s="104">
        <v>46174</v>
      </c>
      <c r="P1162" s="97">
        <f t="shared" ref="P1162:P1163" si="2320">+M1162-N1162</f>
        <v>2000</v>
      </c>
      <c r="Q1162" s="97" t="s">
        <v>33</v>
      </c>
      <c r="R1162" s="97" t="s">
        <v>56</v>
      </c>
      <c r="S1162" s="97">
        <v>20500</v>
      </c>
      <c r="T1162" s="64" t="s">
        <v>33</v>
      </c>
      <c r="U1162" s="65" t="s">
        <v>33</v>
      </c>
      <c r="V1162" s="97" t="s">
        <v>28</v>
      </c>
      <c r="W1162" s="97">
        <f t="shared" ref="W1162:W1163" si="2321">+S1162-M1162</f>
        <v>2500</v>
      </c>
      <c r="X1162" s="97" t="s">
        <v>963</v>
      </c>
      <c r="Y1162" s="97" t="s">
        <v>29</v>
      </c>
      <c r="Z1162" s="105">
        <f t="shared" ref="Z1162:Z1163" si="2322">+W1162*100/M1162</f>
        <v>13.888888888888889</v>
      </c>
      <c r="AA1162" s="93"/>
    </row>
    <row r="1163" spans="1:27" s="101" customFormat="1" ht="16" hidden="1">
      <c r="A1163" s="97">
        <f>SUBTOTAL(3,C$2:C1163)</f>
        <v>469</v>
      </c>
      <c r="B1163" s="97" t="s">
        <v>2469</v>
      </c>
      <c r="C1163" s="97" t="s">
        <v>44</v>
      </c>
      <c r="D1163" s="97" t="s">
        <v>32</v>
      </c>
      <c r="E1163" s="97" t="s">
        <v>33</v>
      </c>
      <c r="F1163" s="40" t="s">
        <v>2484</v>
      </c>
      <c r="G1163" s="102">
        <v>407</v>
      </c>
      <c r="H1163" s="111" t="s">
        <v>2485</v>
      </c>
      <c r="I1163" s="104">
        <v>46173</v>
      </c>
      <c r="J1163" s="97">
        <f t="shared" ca="1" si="2318"/>
        <v>11</v>
      </c>
      <c r="K1163" s="97" t="str">
        <f t="shared" si="2319"/>
        <v>Pending</v>
      </c>
      <c r="L1163" s="40" t="s">
        <v>84</v>
      </c>
      <c r="M1163" s="97">
        <v>28000</v>
      </c>
      <c r="N1163" s="97">
        <v>26000</v>
      </c>
      <c r="O1163" s="104">
        <v>46174</v>
      </c>
      <c r="P1163" s="97">
        <f t="shared" si="2320"/>
        <v>2000</v>
      </c>
      <c r="Q1163" s="97" t="s">
        <v>33</v>
      </c>
      <c r="R1163" s="97" t="s">
        <v>56</v>
      </c>
      <c r="S1163" s="97">
        <v>29800</v>
      </c>
      <c r="T1163" s="64" t="s">
        <v>33</v>
      </c>
      <c r="U1163" s="65" t="s">
        <v>33</v>
      </c>
      <c r="V1163" s="97" t="s">
        <v>28</v>
      </c>
      <c r="W1163" s="97">
        <f t="shared" si="2321"/>
        <v>1800</v>
      </c>
      <c r="X1163" s="97" t="s">
        <v>36</v>
      </c>
      <c r="Y1163" s="97" t="s">
        <v>29</v>
      </c>
      <c r="Z1163" s="105">
        <f t="shared" si="2322"/>
        <v>6.4285714285714288</v>
      </c>
      <c r="AA1163" s="93"/>
    </row>
    <row r="1164" spans="1:27" s="101" customFormat="1" ht="16" hidden="1">
      <c r="A1164" s="97">
        <f>SUBTOTAL(3,C$2:C1164)</f>
        <v>469</v>
      </c>
      <c r="B1164" s="97" t="s">
        <v>2469</v>
      </c>
      <c r="C1164" s="97" t="s">
        <v>44</v>
      </c>
      <c r="D1164" s="97" t="s">
        <v>32</v>
      </c>
      <c r="E1164" s="97" t="s">
        <v>33</v>
      </c>
      <c r="F1164" s="40" t="s">
        <v>120</v>
      </c>
      <c r="G1164" s="102" t="s">
        <v>143</v>
      </c>
      <c r="H1164" s="111" t="s">
        <v>2486</v>
      </c>
      <c r="I1164" s="104">
        <v>46173</v>
      </c>
      <c r="J1164" s="97">
        <f t="shared" ref="J1164:J1165" ca="1" si="2323">+TODAY()-I1164</f>
        <v>11</v>
      </c>
      <c r="K1164" s="97" t="str">
        <f t="shared" ref="K1164:K1165" si="2324">+U1164</f>
        <v>Pending</v>
      </c>
      <c r="L1164" s="40" t="s">
        <v>2092</v>
      </c>
      <c r="M1164" s="97">
        <v>31500</v>
      </c>
      <c r="N1164" s="97">
        <v>28500</v>
      </c>
      <c r="O1164" s="104">
        <v>46174</v>
      </c>
      <c r="P1164" s="97">
        <f t="shared" ref="P1164:P1165" si="2325">+M1164-N1164</f>
        <v>3000</v>
      </c>
      <c r="Q1164" s="97" t="s">
        <v>33</v>
      </c>
      <c r="R1164" s="97" t="s">
        <v>39</v>
      </c>
      <c r="S1164" s="97">
        <v>35000</v>
      </c>
      <c r="T1164" s="64" t="s">
        <v>33</v>
      </c>
      <c r="U1164" s="65" t="s">
        <v>33</v>
      </c>
      <c r="V1164" s="97" t="s">
        <v>28</v>
      </c>
      <c r="W1164" s="97">
        <f t="shared" ref="W1164:W1165" si="2326">+S1164-M1164</f>
        <v>3500</v>
      </c>
      <c r="X1164" s="97" t="s">
        <v>36</v>
      </c>
      <c r="Y1164" s="97" t="s">
        <v>29</v>
      </c>
      <c r="Z1164" s="105">
        <f t="shared" ref="Z1164:Z1165" si="2327">+W1164*100/M1164</f>
        <v>11.111111111111111</v>
      </c>
      <c r="AA1164" s="93"/>
    </row>
    <row r="1165" spans="1:27" s="101" customFormat="1" ht="16" hidden="1">
      <c r="A1165" s="97">
        <f>SUBTOTAL(3,C$2:C1165)</f>
        <v>469</v>
      </c>
      <c r="B1165" s="97" t="s">
        <v>2469</v>
      </c>
      <c r="C1165" s="97" t="s">
        <v>31</v>
      </c>
      <c r="D1165" s="97" t="s">
        <v>32</v>
      </c>
      <c r="E1165" s="97" t="s">
        <v>33</v>
      </c>
      <c r="F1165" s="40" t="s">
        <v>2487</v>
      </c>
      <c r="G1165" s="102" t="s">
        <v>34</v>
      </c>
      <c r="H1165" s="111" t="s">
        <v>2488</v>
      </c>
      <c r="I1165" s="104">
        <v>46173</v>
      </c>
      <c r="J1165" s="97">
        <f t="shared" ca="1" si="2323"/>
        <v>11</v>
      </c>
      <c r="K1165" s="97" t="str">
        <f t="shared" si="2324"/>
        <v>Pending</v>
      </c>
      <c r="L1165" s="40" t="s">
        <v>2357</v>
      </c>
      <c r="M1165" s="97">
        <v>18300</v>
      </c>
      <c r="N1165" s="97">
        <v>16500</v>
      </c>
      <c r="O1165" s="104">
        <v>46174</v>
      </c>
      <c r="P1165" s="97">
        <f t="shared" si="2325"/>
        <v>1800</v>
      </c>
      <c r="Q1165" s="97" t="s">
        <v>33</v>
      </c>
      <c r="R1165" s="97" t="s">
        <v>37</v>
      </c>
      <c r="S1165" s="97">
        <v>21500</v>
      </c>
      <c r="T1165" s="64" t="s">
        <v>33</v>
      </c>
      <c r="U1165" s="65" t="s">
        <v>33</v>
      </c>
      <c r="V1165" s="97" t="s">
        <v>28</v>
      </c>
      <c r="W1165" s="97">
        <f t="shared" si="2326"/>
        <v>3200</v>
      </c>
      <c r="X1165" s="97" t="s">
        <v>36</v>
      </c>
      <c r="Y1165" s="97" t="s">
        <v>29</v>
      </c>
      <c r="Z1165" s="105">
        <f t="shared" si="2327"/>
        <v>17.486338797814209</v>
      </c>
      <c r="AA1165" s="93"/>
    </row>
    <row r="1166" spans="1:27" s="101" customFormat="1" ht="16" hidden="1">
      <c r="A1166" s="97">
        <f>SUBTOTAL(3,C$2:C1166)</f>
        <v>469</v>
      </c>
      <c r="B1166" s="97" t="s">
        <v>2469</v>
      </c>
      <c r="C1166" s="97" t="s">
        <v>44</v>
      </c>
      <c r="D1166" s="97" t="s">
        <v>32</v>
      </c>
      <c r="E1166" s="97" t="s">
        <v>33</v>
      </c>
      <c r="F1166" s="40" t="s">
        <v>1353</v>
      </c>
      <c r="G1166" s="102" t="s">
        <v>1093</v>
      </c>
      <c r="H1166" s="111" t="s">
        <v>2489</v>
      </c>
      <c r="I1166" s="104">
        <v>46173</v>
      </c>
      <c r="J1166" s="97">
        <f t="shared" ref="J1166:J1168" ca="1" si="2328">+TODAY()-I1166</f>
        <v>11</v>
      </c>
      <c r="K1166" s="97" t="str">
        <f t="shared" ref="K1166:K1168" si="2329">+U1166</f>
        <v>Pending</v>
      </c>
      <c r="L1166" s="40" t="s">
        <v>995</v>
      </c>
      <c r="M1166" s="97">
        <v>28500</v>
      </c>
      <c r="N1166" s="97">
        <v>26500</v>
      </c>
      <c r="O1166" s="104">
        <v>46174</v>
      </c>
      <c r="P1166" s="97">
        <f t="shared" ref="P1166:P1168" si="2330">+M1166-N1166</f>
        <v>2000</v>
      </c>
      <c r="Q1166" s="97" t="s">
        <v>33</v>
      </c>
      <c r="R1166" s="97" t="s">
        <v>37</v>
      </c>
      <c r="S1166" s="97">
        <v>31500</v>
      </c>
      <c r="T1166" s="64" t="s">
        <v>33</v>
      </c>
      <c r="U1166" s="65" t="s">
        <v>33</v>
      </c>
      <c r="V1166" s="97" t="s">
        <v>28</v>
      </c>
      <c r="W1166" s="97">
        <f t="shared" ref="W1166:W1168" si="2331">+S1166-M1166</f>
        <v>3000</v>
      </c>
      <c r="X1166" s="97" t="s">
        <v>36</v>
      </c>
      <c r="Y1166" s="97" t="s">
        <v>29</v>
      </c>
      <c r="Z1166" s="105">
        <f t="shared" ref="Z1166:Z1168" si="2332">+W1166*100/M1166</f>
        <v>10.526315789473685</v>
      </c>
      <c r="AA1166" s="93"/>
    </row>
    <row r="1167" spans="1:27" s="101" customFormat="1" ht="16" hidden="1">
      <c r="A1167" s="97">
        <f>SUBTOTAL(3,C$2:C1167)</f>
        <v>469</v>
      </c>
      <c r="B1167" s="97" t="s">
        <v>2469</v>
      </c>
      <c r="C1167" s="97" t="s">
        <v>31</v>
      </c>
      <c r="D1167" s="97" t="s">
        <v>32</v>
      </c>
      <c r="E1167" s="97" t="s">
        <v>33</v>
      </c>
      <c r="F1167" s="40" t="s">
        <v>2487</v>
      </c>
      <c r="G1167" s="102" t="s">
        <v>34</v>
      </c>
      <c r="H1167" s="111" t="s">
        <v>2490</v>
      </c>
      <c r="I1167" s="104">
        <v>46165</v>
      </c>
      <c r="J1167" s="97">
        <f t="shared" ca="1" si="2328"/>
        <v>19</v>
      </c>
      <c r="K1167" s="97" t="str">
        <f t="shared" si="2329"/>
        <v>Pending</v>
      </c>
      <c r="L1167" s="40" t="s">
        <v>111</v>
      </c>
      <c r="M1167" s="97">
        <v>11700</v>
      </c>
      <c r="N1167" s="97">
        <v>10700</v>
      </c>
      <c r="O1167" s="104">
        <v>46174</v>
      </c>
      <c r="P1167" s="97">
        <f t="shared" si="2330"/>
        <v>1000</v>
      </c>
      <c r="Q1167" s="97" t="s">
        <v>33</v>
      </c>
      <c r="R1167" s="97" t="s">
        <v>112</v>
      </c>
      <c r="S1167" s="97">
        <v>13500</v>
      </c>
      <c r="T1167" s="64" t="s">
        <v>33</v>
      </c>
      <c r="U1167" s="65" t="s">
        <v>33</v>
      </c>
      <c r="V1167" s="97" t="s">
        <v>28</v>
      </c>
      <c r="W1167" s="97">
        <f t="shared" si="2331"/>
        <v>1800</v>
      </c>
      <c r="X1167" s="97" t="s">
        <v>36</v>
      </c>
      <c r="Y1167" s="97" t="s">
        <v>29</v>
      </c>
      <c r="Z1167" s="105">
        <f t="shared" si="2332"/>
        <v>15.384615384615385</v>
      </c>
      <c r="AA1167" s="93"/>
    </row>
    <row r="1168" spans="1:27" s="101" customFormat="1" ht="16" hidden="1">
      <c r="A1168" s="97">
        <f>SUBTOTAL(3,C$2:C1168)</f>
        <v>469</v>
      </c>
      <c r="B1168" s="97" t="s">
        <v>2469</v>
      </c>
      <c r="C1168" s="97" t="s">
        <v>119</v>
      </c>
      <c r="D1168" s="97" t="s">
        <v>32</v>
      </c>
      <c r="E1168" s="97" t="s">
        <v>33</v>
      </c>
      <c r="F1168" s="40" t="s">
        <v>142</v>
      </c>
      <c r="G1168" s="102" t="s">
        <v>2450</v>
      </c>
      <c r="H1168" s="103" t="s">
        <v>2491</v>
      </c>
      <c r="I1168" s="104">
        <v>46171</v>
      </c>
      <c r="J1168" s="97">
        <f t="shared" ca="1" si="2328"/>
        <v>13</v>
      </c>
      <c r="K1168" s="97" t="str">
        <f t="shared" si="2329"/>
        <v>Pending</v>
      </c>
      <c r="L1168" s="40" t="s">
        <v>2208</v>
      </c>
      <c r="M1168" s="97">
        <v>22500</v>
      </c>
      <c r="N1168" s="97">
        <v>22500</v>
      </c>
      <c r="O1168" s="104">
        <v>46174</v>
      </c>
      <c r="P1168" s="97">
        <f t="shared" si="2330"/>
        <v>0</v>
      </c>
      <c r="Q1168" s="97" t="s">
        <v>33</v>
      </c>
      <c r="R1168" s="97" t="s">
        <v>39</v>
      </c>
      <c r="S1168" s="97">
        <v>25200</v>
      </c>
      <c r="T1168" s="64" t="s">
        <v>33</v>
      </c>
      <c r="U1168" s="65" t="s">
        <v>33</v>
      </c>
      <c r="V1168" s="97" t="s">
        <v>28</v>
      </c>
      <c r="W1168" s="97">
        <f t="shared" si="2331"/>
        <v>2700</v>
      </c>
      <c r="X1168" s="97" t="s">
        <v>36</v>
      </c>
      <c r="Y1168" s="97" t="s">
        <v>29</v>
      </c>
      <c r="Z1168" s="105">
        <f t="shared" si="2332"/>
        <v>12</v>
      </c>
      <c r="AA1168" s="93"/>
    </row>
    <row r="1169" spans="1:27" s="101" customFormat="1" ht="16" hidden="1">
      <c r="A1169" s="97">
        <f>SUBTOTAL(3,C$2:C1169)</f>
        <v>469</v>
      </c>
      <c r="B1169" s="97" t="s">
        <v>2469</v>
      </c>
      <c r="C1169" s="97" t="s">
        <v>1031</v>
      </c>
      <c r="D1169" s="97" t="s">
        <v>32</v>
      </c>
      <c r="E1169" s="97" t="s">
        <v>33</v>
      </c>
      <c r="F1169" s="40" t="s">
        <v>1638</v>
      </c>
      <c r="G1169" s="102" t="s">
        <v>34</v>
      </c>
      <c r="H1169" s="111" t="s">
        <v>2492</v>
      </c>
      <c r="I1169" s="104">
        <v>46173</v>
      </c>
      <c r="J1169" s="97">
        <f t="shared" ref="J1169:J1170" ca="1" si="2333">+TODAY()-I1169</f>
        <v>11</v>
      </c>
      <c r="K1169" s="97" t="str">
        <f t="shared" ref="K1169:K1170" si="2334">+U1169</f>
        <v>Pending</v>
      </c>
      <c r="L1169" s="40" t="s">
        <v>783</v>
      </c>
      <c r="M1169" s="97">
        <v>18000</v>
      </c>
      <c r="N1169" s="97">
        <v>16000</v>
      </c>
      <c r="O1169" s="104">
        <v>46174</v>
      </c>
      <c r="P1169" s="97">
        <f t="shared" ref="P1169:P1170" si="2335">+M1169-N1169</f>
        <v>2000</v>
      </c>
      <c r="Q1169" s="97" t="s">
        <v>33</v>
      </c>
      <c r="R1169" s="97" t="s">
        <v>56</v>
      </c>
      <c r="S1169" s="97">
        <v>20500</v>
      </c>
      <c r="T1169" s="64" t="s">
        <v>33</v>
      </c>
      <c r="U1169" s="65" t="s">
        <v>33</v>
      </c>
      <c r="V1169" s="97" t="s">
        <v>28</v>
      </c>
      <c r="W1169" s="97">
        <f t="shared" ref="W1169:W1170" si="2336">+S1169-M1169</f>
        <v>2500</v>
      </c>
      <c r="X1169" s="97" t="s">
        <v>963</v>
      </c>
      <c r="Y1169" s="97" t="s">
        <v>29</v>
      </c>
      <c r="Z1169" s="105">
        <f t="shared" ref="Z1169:Z1170" si="2337">+W1169*100/M1169</f>
        <v>13.888888888888889</v>
      </c>
      <c r="AA1169" s="93"/>
    </row>
    <row r="1170" spans="1:27" s="101" customFormat="1" ht="16" hidden="1">
      <c r="A1170" s="97">
        <f>SUBTOTAL(3,C$2:C1170)</f>
        <v>469</v>
      </c>
      <c r="B1170" s="97" t="s">
        <v>2469</v>
      </c>
      <c r="C1170" s="97" t="s">
        <v>31</v>
      </c>
      <c r="D1170" s="97" t="s">
        <v>32</v>
      </c>
      <c r="E1170" s="97" t="s">
        <v>33</v>
      </c>
      <c r="F1170" s="40" t="s">
        <v>199</v>
      </c>
      <c r="G1170" s="102" t="s">
        <v>34</v>
      </c>
      <c r="H1170" s="111" t="s">
        <v>2493</v>
      </c>
      <c r="I1170" s="104">
        <v>46173</v>
      </c>
      <c r="J1170" s="97">
        <f t="shared" ca="1" si="2333"/>
        <v>11</v>
      </c>
      <c r="K1170" s="97" t="str">
        <f t="shared" si="2334"/>
        <v>Pending</v>
      </c>
      <c r="L1170" s="40" t="s">
        <v>2357</v>
      </c>
      <c r="M1170" s="97">
        <v>18300</v>
      </c>
      <c r="N1170" s="97">
        <v>16500</v>
      </c>
      <c r="O1170" s="104">
        <v>46174</v>
      </c>
      <c r="P1170" s="97">
        <f t="shared" si="2335"/>
        <v>1800</v>
      </c>
      <c r="Q1170" s="97" t="s">
        <v>33</v>
      </c>
      <c r="R1170" s="97" t="s">
        <v>37</v>
      </c>
      <c r="S1170" s="97">
        <v>21500</v>
      </c>
      <c r="T1170" s="64" t="s">
        <v>33</v>
      </c>
      <c r="U1170" s="65" t="s">
        <v>33</v>
      </c>
      <c r="V1170" s="97" t="s">
        <v>28</v>
      </c>
      <c r="W1170" s="97">
        <f t="shared" si="2336"/>
        <v>3200</v>
      </c>
      <c r="X1170" s="97" t="s">
        <v>36</v>
      </c>
      <c r="Y1170" s="97" t="s">
        <v>29</v>
      </c>
      <c r="Z1170" s="105">
        <f t="shared" si="2337"/>
        <v>17.486338797814209</v>
      </c>
      <c r="AA1170" s="93"/>
    </row>
    <row r="1171" spans="1:27" s="101" customFormat="1" ht="16" hidden="1">
      <c r="A1171" s="97">
        <f>SUBTOTAL(3,C$2:C1171)</f>
        <v>469</v>
      </c>
      <c r="B1171" s="97" t="s">
        <v>2469</v>
      </c>
      <c r="C1171" s="97" t="s">
        <v>44</v>
      </c>
      <c r="D1171" s="97" t="s">
        <v>32</v>
      </c>
      <c r="E1171" s="97" t="s">
        <v>33</v>
      </c>
      <c r="F1171" s="40" t="s">
        <v>2494</v>
      </c>
      <c r="G1171" s="102" t="s">
        <v>994</v>
      </c>
      <c r="H1171" s="111" t="s">
        <v>2495</v>
      </c>
      <c r="I1171" s="104">
        <v>46173</v>
      </c>
      <c r="J1171" s="97">
        <f t="shared" ref="J1171" ca="1" si="2338">+TODAY()-I1171</f>
        <v>11</v>
      </c>
      <c r="K1171" s="97" t="str">
        <f t="shared" ref="K1171" si="2339">+U1171</f>
        <v>Pending</v>
      </c>
      <c r="L1171" s="40" t="s">
        <v>995</v>
      </c>
      <c r="M1171" s="97">
        <v>39000</v>
      </c>
      <c r="N1171" s="97">
        <v>36000</v>
      </c>
      <c r="O1171" s="104">
        <v>46174</v>
      </c>
      <c r="P1171" s="97">
        <f t="shared" ref="P1171" si="2340">+M1171-N1171</f>
        <v>3000</v>
      </c>
      <c r="Q1171" s="97" t="s">
        <v>33</v>
      </c>
      <c r="R1171" s="97" t="s">
        <v>174</v>
      </c>
      <c r="S1171" s="97">
        <v>44000</v>
      </c>
      <c r="T1171" s="64" t="s">
        <v>33</v>
      </c>
      <c r="U1171" s="65" t="s">
        <v>33</v>
      </c>
      <c r="V1171" s="97" t="s">
        <v>28</v>
      </c>
      <c r="W1171" s="97">
        <f t="shared" ref="W1171" si="2341">+S1171-M1171</f>
        <v>5000</v>
      </c>
      <c r="X1171" s="97" t="s">
        <v>36</v>
      </c>
      <c r="Y1171" s="97" t="s">
        <v>29</v>
      </c>
      <c r="Z1171" s="105">
        <f t="shared" ref="Z1171" si="2342">+W1171*100/M1171</f>
        <v>12.820512820512821</v>
      </c>
      <c r="AA1171" s="93"/>
    </row>
    <row r="1172" spans="1:27" s="101" customFormat="1" ht="16" hidden="1">
      <c r="A1172" s="97">
        <f>SUBTOTAL(3,C$2:C1172)</f>
        <v>469</v>
      </c>
      <c r="B1172" s="97" t="s">
        <v>2469</v>
      </c>
      <c r="C1172" s="97" t="s">
        <v>44</v>
      </c>
      <c r="D1172" s="97" t="s">
        <v>32</v>
      </c>
      <c r="E1172" s="97" t="s">
        <v>33</v>
      </c>
      <c r="F1172" s="40" t="s">
        <v>2496</v>
      </c>
      <c r="G1172" s="102" t="s">
        <v>1093</v>
      </c>
      <c r="H1172" s="111" t="s">
        <v>2497</v>
      </c>
      <c r="I1172" s="104">
        <v>46173</v>
      </c>
      <c r="J1172" s="97">
        <f t="shared" ref="J1172" ca="1" si="2343">+TODAY()-I1172</f>
        <v>11</v>
      </c>
      <c r="K1172" s="97" t="str">
        <f t="shared" ref="K1172" si="2344">+U1172</f>
        <v>Pending</v>
      </c>
      <c r="L1172" s="40" t="s">
        <v>995</v>
      </c>
      <c r="M1172" s="97">
        <v>28500</v>
      </c>
      <c r="N1172" s="97">
        <v>26500</v>
      </c>
      <c r="O1172" s="104">
        <v>46174</v>
      </c>
      <c r="P1172" s="97">
        <f t="shared" ref="P1172" si="2345">+M1172-N1172</f>
        <v>2000</v>
      </c>
      <c r="Q1172" s="97" t="s">
        <v>33</v>
      </c>
      <c r="R1172" s="97" t="s">
        <v>174</v>
      </c>
      <c r="S1172" s="97">
        <v>31500</v>
      </c>
      <c r="T1172" s="64" t="s">
        <v>33</v>
      </c>
      <c r="U1172" s="65" t="s">
        <v>33</v>
      </c>
      <c r="V1172" s="97" t="s">
        <v>28</v>
      </c>
      <c r="W1172" s="97">
        <f t="shared" ref="W1172" si="2346">+S1172-M1172</f>
        <v>3000</v>
      </c>
      <c r="X1172" s="97" t="s">
        <v>36</v>
      </c>
      <c r="Y1172" s="97" t="s">
        <v>29</v>
      </c>
      <c r="Z1172" s="105">
        <f t="shared" ref="Z1172" si="2347">+W1172*100/M1172</f>
        <v>10.526315789473685</v>
      </c>
      <c r="AA1172" s="93"/>
    </row>
    <row r="1173" spans="1:27" s="101" customFormat="1" ht="16" hidden="1">
      <c r="A1173" s="97">
        <f>SUBTOTAL(3,C$2:C1173)</f>
        <v>469</v>
      </c>
      <c r="B1173" s="97" t="s">
        <v>2469</v>
      </c>
      <c r="C1173" s="97" t="s">
        <v>44</v>
      </c>
      <c r="D1173" s="97" t="s">
        <v>32</v>
      </c>
      <c r="E1173" s="97" t="s">
        <v>33</v>
      </c>
      <c r="F1173" s="40" t="s">
        <v>2270</v>
      </c>
      <c r="G1173" s="102" t="s">
        <v>1093</v>
      </c>
      <c r="H1173" s="111" t="s">
        <v>2498</v>
      </c>
      <c r="I1173" s="104">
        <v>46173</v>
      </c>
      <c r="J1173" s="97">
        <f t="shared" ref="J1173:J1175" ca="1" si="2348">+TODAY()-I1173</f>
        <v>11</v>
      </c>
      <c r="K1173" s="97" t="str">
        <f t="shared" ref="K1173:K1175" si="2349">+U1173</f>
        <v>Pending</v>
      </c>
      <c r="L1173" s="40" t="s">
        <v>2092</v>
      </c>
      <c r="M1173" s="97">
        <v>31500</v>
      </c>
      <c r="N1173" s="97">
        <v>28500</v>
      </c>
      <c r="O1173" s="104">
        <v>46174</v>
      </c>
      <c r="P1173" s="97">
        <f t="shared" ref="P1173:P1175" si="2350">+M1173-N1173</f>
        <v>3000</v>
      </c>
      <c r="Q1173" s="97" t="s">
        <v>33</v>
      </c>
      <c r="R1173" s="97" t="s">
        <v>39</v>
      </c>
      <c r="S1173" s="97">
        <v>35000</v>
      </c>
      <c r="T1173" s="64" t="s">
        <v>33</v>
      </c>
      <c r="U1173" s="65" t="s">
        <v>33</v>
      </c>
      <c r="V1173" s="97" t="s">
        <v>28</v>
      </c>
      <c r="W1173" s="97">
        <f t="shared" ref="W1173:W1175" si="2351">+S1173-M1173</f>
        <v>3500</v>
      </c>
      <c r="X1173" s="97" t="s">
        <v>36</v>
      </c>
      <c r="Y1173" s="97" t="s">
        <v>29</v>
      </c>
      <c r="Z1173" s="105">
        <f t="shared" ref="Z1173:Z1175" si="2352">+W1173*100/M1173</f>
        <v>11.111111111111111</v>
      </c>
      <c r="AA1173" s="93"/>
    </row>
    <row r="1174" spans="1:27" s="101" customFormat="1" ht="16" hidden="1">
      <c r="A1174" s="97">
        <f>SUBTOTAL(3,C$2:C1174)</f>
        <v>469</v>
      </c>
      <c r="B1174" s="97" t="s">
        <v>2469</v>
      </c>
      <c r="C1174" s="97" t="s">
        <v>94</v>
      </c>
      <c r="D1174" s="97" t="s">
        <v>32</v>
      </c>
      <c r="E1174" s="97" t="s">
        <v>33</v>
      </c>
      <c r="F1174" s="40" t="s">
        <v>95</v>
      </c>
      <c r="G1174" s="102" t="s">
        <v>67</v>
      </c>
      <c r="H1174" s="111" t="s">
        <v>2499</v>
      </c>
      <c r="I1174" s="104">
        <v>46173</v>
      </c>
      <c r="J1174" s="97">
        <f t="shared" ca="1" si="2348"/>
        <v>11</v>
      </c>
      <c r="K1174" s="97" t="str">
        <f t="shared" si="2349"/>
        <v>Pending</v>
      </c>
      <c r="L1174" s="40" t="s">
        <v>188</v>
      </c>
      <c r="M1174" s="97">
        <f>3000+38500</f>
        <v>41500</v>
      </c>
      <c r="N1174" s="97">
        <v>35500</v>
      </c>
      <c r="O1174" s="104">
        <v>46174</v>
      </c>
      <c r="P1174" s="97">
        <f t="shared" si="2350"/>
        <v>6000</v>
      </c>
      <c r="Q1174" s="97" t="s">
        <v>33</v>
      </c>
      <c r="R1174" s="97" t="s">
        <v>52</v>
      </c>
      <c r="S1174" s="97">
        <f>5000+42000</f>
        <v>47000</v>
      </c>
      <c r="T1174" s="64" t="s">
        <v>33</v>
      </c>
      <c r="U1174" s="65" t="s">
        <v>33</v>
      </c>
      <c r="V1174" s="97" t="s">
        <v>28</v>
      </c>
      <c r="W1174" s="97">
        <f t="shared" si="2351"/>
        <v>5500</v>
      </c>
      <c r="X1174" s="97" t="s">
        <v>36</v>
      </c>
      <c r="Y1174" s="97" t="s">
        <v>29</v>
      </c>
      <c r="Z1174" s="105">
        <f t="shared" si="2352"/>
        <v>13.253012048192771</v>
      </c>
      <c r="AA1174" s="93"/>
    </row>
    <row r="1175" spans="1:27" s="101" customFormat="1" ht="16" hidden="1">
      <c r="A1175" s="97">
        <f>SUBTOTAL(3,C$2:C1175)</f>
        <v>469</v>
      </c>
      <c r="B1175" s="97" t="s">
        <v>2469</v>
      </c>
      <c r="C1175" s="97" t="s">
        <v>31</v>
      </c>
      <c r="D1175" s="97" t="s">
        <v>32</v>
      </c>
      <c r="E1175" s="97" t="s">
        <v>33</v>
      </c>
      <c r="F1175" s="40" t="s">
        <v>253</v>
      </c>
      <c r="G1175" s="102" t="s">
        <v>34</v>
      </c>
      <c r="H1175" s="111" t="s">
        <v>2500</v>
      </c>
      <c r="I1175" s="104">
        <v>46173</v>
      </c>
      <c r="J1175" s="97">
        <f t="shared" ca="1" si="2348"/>
        <v>11</v>
      </c>
      <c r="K1175" s="97" t="str">
        <f t="shared" si="2349"/>
        <v>Pending</v>
      </c>
      <c r="L1175" s="40" t="s">
        <v>2501</v>
      </c>
      <c r="M1175" s="97">
        <v>28500</v>
      </c>
      <c r="N1175" s="97">
        <v>26500</v>
      </c>
      <c r="O1175" s="104">
        <v>46174</v>
      </c>
      <c r="P1175" s="97">
        <f t="shared" si="2350"/>
        <v>2000</v>
      </c>
      <c r="Q1175" s="97" t="s">
        <v>33</v>
      </c>
      <c r="R1175" s="97" t="s">
        <v>39</v>
      </c>
      <c r="S1175" s="97">
        <v>31500</v>
      </c>
      <c r="T1175" s="64" t="s">
        <v>33</v>
      </c>
      <c r="U1175" s="65" t="s">
        <v>33</v>
      </c>
      <c r="V1175" s="97" t="s">
        <v>28</v>
      </c>
      <c r="W1175" s="97">
        <f t="shared" si="2351"/>
        <v>3000</v>
      </c>
      <c r="X1175" s="97" t="s">
        <v>36</v>
      </c>
      <c r="Y1175" s="97" t="s">
        <v>29</v>
      </c>
      <c r="Z1175" s="105">
        <f t="shared" si="2352"/>
        <v>10.526315789473685</v>
      </c>
      <c r="AA1175" s="93"/>
    </row>
    <row r="1176" spans="1:27" s="101" customFormat="1" ht="16" hidden="1">
      <c r="A1176" s="97">
        <f>SUBTOTAL(3,C$2:C1176)</f>
        <v>469</v>
      </c>
      <c r="B1176" s="97" t="s">
        <v>2469</v>
      </c>
      <c r="C1176" s="97" t="s">
        <v>31</v>
      </c>
      <c r="D1176" s="97" t="s">
        <v>32</v>
      </c>
      <c r="E1176" s="97" t="s">
        <v>33</v>
      </c>
      <c r="F1176" s="40" t="s">
        <v>296</v>
      </c>
      <c r="G1176" s="102">
        <v>407</v>
      </c>
      <c r="H1176" s="111" t="s">
        <v>2504</v>
      </c>
      <c r="I1176" s="104">
        <v>46174</v>
      </c>
      <c r="J1176" s="97">
        <f t="shared" ref="J1176:J1178" ca="1" si="2353">+TODAY()-I1176</f>
        <v>10</v>
      </c>
      <c r="K1176" s="97" t="str">
        <f t="shared" ref="K1176:K1178" si="2354">+U1176</f>
        <v>Pending</v>
      </c>
      <c r="L1176" s="40" t="s">
        <v>687</v>
      </c>
      <c r="M1176" s="97">
        <v>29500</v>
      </c>
      <c r="N1176" s="97">
        <v>26500</v>
      </c>
      <c r="O1176" s="104">
        <v>46174</v>
      </c>
      <c r="P1176" s="97">
        <f t="shared" ref="P1176:P1178" si="2355">+M1176-N1176</f>
        <v>3000</v>
      </c>
      <c r="Q1176" s="97" t="s">
        <v>33</v>
      </c>
      <c r="R1176" s="97" t="s">
        <v>37</v>
      </c>
      <c r="S1176" s="97">
        <v>33000</v>
      </c>
      <c r="T1176" s="64" t="s">
        <v>33</v>
      </c>
      <c r="U1176" s="65" t="s">
        <v>33</v>
      </c>
      <c r="V1176" s="97" t="s">
        <v>28</v>
      </c>
      <c r="W1176" s="97">
        <f t="shared" ref="W1176:W1178" si="2356">+S1176-M1176</f>
        <v>3500</v>
      </c>
      <c r="X1176" s="97" t="s">
        <v>36</v>
      </c>
      <c r="Y1176" s="97" t="s">
        <v>29</v>
      </c>
      <c r="Z1176" s="105">
        <f t="shared" ref="Z1176:Z1178" si="2357">+W1176*100/M1176</f>
        <v>11.864406779661017</v>
      </c>
      <c r="AA1176" s="93"/>
    </row>
    <row r="1177" spans="1:27" s="101" customFormat="1" ht="16" hidden="1">
      <c r="A1177" s="97">
        <f>SUBTOTAL(3,C$2:C1177)</f>
        <v>469</v>
      </c>
      <c r="B1177" s="97" t="s">
        <v>2469</v>
      </c>
      <c r="C1177" s="97" t="s">
        <v>1031</v>
      </c>
      <c r="D1177" s="97" t="s">
        <v>32</v>
      </c>
      <c r="E1177" s="97" t="s">
        <v>33</v>
      </c>
      <c r="F1177" s="40" t="s">
        <v>2019</v>
      </c>
      <c r="G1177" s="102" t="s">
        <v>34</v>
      </c>
      <c r="H1177" s="111" t="s">
        <v>2505</v>
      </c>
      <c r="I1177" s="104">
        <v>46173</v>
      </c>
      <c r="J1177" s="97">
        <f t="shared" ca="1" si="2353"/>
        <v>11</v>
      </c>
      <c r="K1177" s="97" t="str">
        <f t="shared" si="2354"/>
        <v>Pending</v>
      </c>
      <c r="L1177" s="40" t="s">
        <v>783</v>
      </c>
      <c r="M1177" s="97">
        <v>18000</v>
      </c>
      <c r="N1177" s="97">
        <v>16000</v>
      </c>
      <c r="O1177" s="104">
        <v>46174</v>
      </c>
      <c r="P1177" s="97">
        <f t="shared" si="2355"/>
        <v>2000</v>
      </c>
      <c r="Q1177" s="97" t="s">
        <v>33</v>
      </c>
      <c r="R1177" s="97" t="s">
        <v>56</v>
      </c>
      <c r="S1177" s="97">
        <v>20500</v>
      </c>
      <c r="T1177" s="64" t="s">
        <v>33</v>
      </c>
      <c r="U1177" s="65" t="s">
        <v>33</v>
      </c>
      <c r="V1177" s="97" t="s">
        <v>28</v>
      </c>
      <c r="W1177" s="97">
        <f t="shared" si="2356"/>
        <v>2500</v>
      </c>
      <c r="X1177" s="97" t="s">
        <v>963</v>
      </c>
      <c r="Y1177" s="97" t="s">
        <v>29</v>
      </c>
      <c r="Z1177" s="105">
        <f t="shared" si="2357"/>
        <v>13.888888888888889</v>
      </c>
      <c r="AA1177" s="93"/>
    </row>
    <row r="1178" spans="1:27" s="101" customFormat="1" ht="16" hidden="1">
      <c r="A1178" s="97">
        <f>SUBTOTAL(3,C$2:C1178)</f>
        <v>469</v>
      </c>
      <c r="B1178" s="97" t="s">
        <v>2469</v>
      </c>
      <c r="C1178" s="97" t="s">
        <v>31</v>
      </c>
      <c r="D1178" s="97" t="s">
        <v>32</v>
      </c>
      <c r="E1178" s="97" t="s">
        <v>33</v>
      </c>
      <c r="F1178" s="40" t="s">
        <v>2502</v>
      </c>
      <c r="G1178" s="102" t="s">
        <v>34</v>
      </c>
      <c r="H1178" s="111" t="s">
        <v>2503</v>
      </c>
      <c r="I1178" s="104">
        <v>46174</v>
      </c>
      <c r="J1178" s="97">
        <f t="shared" ca="1" si="2353"/>
        <v>10</v>
      </c>
      <c r="K1178" s="97" t="str">
        <f t="shared" si="2354"/>
        <v>Pending</v>
      </c>
      <c r="L1178" s="40" t="s">
        <v>2501</v>
      </c>
      <c r="M1178" s="97">
        <v>28500</v>
      </c>
      <c r="N1178" s="97">
        <v>26500</v>
      </c>
      <c r="O1178" s="104">
        <v>46174</v>
      </c>
      <c r="P1178" s="97">
        <f t="shared" si="2355"/>
        <v>2000</v>
      </c>
      <c r="Q1178" s="97" t="s">
        <v>33</v>
      </c>
      <c r="R1178" s="97" t="s">
        <v>39</v>
      </c>
      <c r="S1178" s="97">
        <v>31500</v>
      </c>
      <c r="T1178" s="64" t="s">
        <v>33</v>
      </c>
      <c r="U1178" s="65" t="s">
        <v>33</v>
      </c>
      <c r="V1178" s="97" t="s">
        <v>28</v>
      </c>
      <c r="W1178" s="97">
        <f t="shared" si="2356"/>
        <v>3000</v>
      </c>
      <c r="X1178" s="97" t="s">
        <v>36</v>
      </c>
      <c r="Y1178" s="97" t="s">
        <v>29</v>
      </c>
      <c r="Z1178" s="105">
        <f t="shared" si="2357"/>
        <v>10.526315789473685</v>
      </c>
      <c r="AA1178" s="93"/>
    </row>
    <row r="1179" spans="1:27" s="101" customFormat="1" ht="16" hidden="1">
      <c r="A1179" s="97">
        <f>SUBTOTAL(3,C$2:C1179)</f>
        <v>469</v>
      </c>
      <c r="B1179" s="97" t="s">
        <v>2469</v>
      </c>
      <c r="C1179" s="97" t="s">
        <v>31</v>
      </c>
      <c r="D1179" s="97" t="s">
        <v>32</v>
      </c>
      <c r="E1179" s="97" t="s">
        <v>33</v>
      </c>
      <c r="F1179" s="40" t="s">
        <v>2506</v>
      </c>
      <c r="G1179" s="102" t="s">
        <v>34</v>
      </c>
      <c r="H1179" s="111" t="s">
        <v>2507</v>
      </c>
      <c r="I1179" s="104">
        <v>46174</v>
      </c>
      <c r="J1179" s="97">
        <f t="shared" ref="J1179" ca="1" si="2358">+TODAY()-I1179</f>
        <v>10</v>
      </c>
      <c r="K1179" s="97" t="str">
        <f t="shared" ref="K1179" si="2359">+U1179</f>
        <v>Pending</v>
      </c>
      <c r="L1179" s="40" t="s">
        <v>687</v>
      </c>
      <c r="M1179" s="97">
        <v>18300</v>
      </c>
      <c r="N1179" s="97">
        <v>16500</v>
      </c>
      <c r="O1179" s="104">
        <v>46174</v>
      </c>
      <c r="P1179" s="97">
        <f t="shared" ref="P1179" si="2360">+M1179-N1179</f>
        <v>1800</v>
      </c>
      <c r="Q1179" s="97" t="s">
        <v>33</v>
      </c>
      <c r="R1179" s="97" t="s">
        <v>37</v>
      </c>
      <c r="S1179" s="97">
        <v>21500</v>
      </c>
      <c r="T1179" s="64" t="s">
        <v>33</v>
      </c>
      <c r="U1179" s="65" t="s">
        <v>33</v>
      </c>
      <c r="V1179" s="97" t="s">
        <v>28</v>
      </c>
      <c r="W1179" s="97">
        <f t="shared" ref="W1179" si="2361">+S1179-M1179</f>
        <v>3200</v>
      </c>
      <c r="X1179" s="97" t="s">
        <v>36</v>
      </c>
      <c r="Y1179" s="97" t="s">
        <v>29</v>
      </c>
      <c r="Z1179" s="105">
        <f t="shared" ref="Z1179" si="2362">+W1179*100/M1179</f>
        <v>17.486338797814209</v>
      </c>
      <c r="AA1179" s="93"/>
    </row>
    <row r="1180" spans="1:27" s="101" customFormat="1" ht="16" hidden="1">
      <c r="A1180" s="97">
        <f>SUBTOTAL(3,C$2:C1180)</f>
        <v>469</v>
      </c>
      <c r="B1180" s="97" t="s">
        <v>2469</v>
      </c>
      <c r="C1180" s="97" t="s">
        <v>31</v>
      </c>
      <c r="D1180" s="97" t="s">
        <v>32</v>
      </c>
      <c r="E1180" s="97" t="s">
        <v>33</v>
      </c>
      <c r="F1180" s="40" t="s">
        <v>1095</v>
      </c>
      <c r="G1180" s="102" t="s">
        <v>34</v>
      </c>
      <c r="H1180" s="111" t="s">
        <v>2508</v>
      </c>
      <c r="I1180" s="104">
        <v>46172</v>
      </c>
      <c r="J1180" s="97">
        <f t="shared" ref="J1180:J1181" ca="1" si="2363">+TODAY()-I1180</f>
        <v>12</v>
      </c>
      <c r="K1180" s="97" t="str">
        <f t="shared" ref="K1180:K1181" si="2364">+U1180</f>
        <v>Pending</v>
      </c>
      <c r="L1180" s="40" t="s">
        <v>111</v>
      </c>
      <c r="M1180" s="97">
        <v>11700</v>
      </c>
      <c r="N1180" s="97">
        <v>10700</v>
      </c>
      <c r="O1180" s="104">
        <v>46174</v>
      </c>
      <c r="P1180" s="97">
        <f t="shared" ref="P1180:P1181" si="2365">+M1180-N1180</f>
        <v>1000</v>
      </c>
      <c r="Q1180" s="97" t="s">
        <v>33</v>
      </c>
      <c r="R1180" s="97" t="s">
        <v>112</v>
      </c>
      <c r="S1180" s="97">
        <v>13500</v>
      </c>
      <c r="T1180" s="64" t="s">
        <v>33</v>
      </c>
      <c r="U1180" s="65" t="s">
        <v>33</v>
      </c>
      <c r="V1180" s="97" t="s">
        <v>28</v>
      </c>
      <c r="W1180" s="97">
        <f t="shared" ref="W1180:W1181" si="2366">+S1180-M1180</f>
        <v>1800</v>
      </c>
      <c r="X1180" s="97" t="s">
        <v>36</v>
      </c>
      <c r="Y1180" s="97" t="s">
        <v>29</v>
      </c>
      <c r="Z1180" s="105">
        <f t="shared" ref="Z1180:Z1181" si="2367">+W1180*100/M1180</f>
        <v>15.384615384615385</v>
      </c>
      <c r="AA1180" s="93"/>
    </row>
    <row r="1181" spans="1:27" s="101" customFormat="1" ht="16" hidden="1">
      <c r="A1181" s="97">
        <f>SUBTOTAL(3,C$2:C1181)</f>
        <v>469</v>
      </c>
      <c r="B1181" s="97" t="s">
        <v>2469</v>
      </c>
      <c r="C1181" s="97" t="s">
        <v>80</v>
      </c>
      <c r="D1181" s="97" t="s">
        <v>32</v>
      </c>
      <c r="E1181" s="97" t="s">
        <v>33</v>
      </c>
      <c r="F1181" s="40" t="s">
        <v>1984</v>
      </c>
      <c r="G1181" s="102" t="s">
        <v>2450</v>
      </c>
      <c r="H1181" s="111" t="s">
        <v>2509</v>
      </c>
      <c r="I1181" s="104">
        <v>46172</v>
      </c>
      <c r="J1181" s="97">
        <f t="shared" ca="1" si="2363"/>
        <v>12</v>
      </c>
      <c r="K1181" s="97" t="str">
        <f t="shared" si="2364"/>
        <v>Pending</v>
      </c>
      <c r="L1181" s="40" t="s">
        <v>2510</v>
      </c>
      <c r="M1181" s="97">
        <v>22500</v>
      </c>
      <c r="N1181" s="97">
        <v>22500</v>
      </c>
      <c r="O1181" s="104">
        <v>46174</v>
      </c>
      <c r="P1181" s="97">
        <f t="shared" si="2365"/>
        <v>0</v>
      </c>
      <c r="Q1181" s="97" t="s">
        <v>33</v>
      </c>
      <c r="R1181" s="97" t="s">
        <v>39</v>
      </c>
      <c r="S1181" s="97">
        <v>25200</v>
      </c>
      <c r="T1181" s="64" t="s">
        <v>33</v>
      </c>
      <c r="U1181" s="65" t="s">
        <v>33</v>
      </c>
      <c r="V1181" s="97" t="s">
        <v>28</v>
      </c>
      <c r="W1181" s="97">
        <f t="shared" si="2366"/>
        <v>2700</v>
      </c>
      <c r="X1181" s="97" t="s">
        <v>36</v>
      </c>
      <c r="Y1181" s="97" t="s">
        <v>29</v>
      </c>
      <c r="Z1181" s="105">
        <f t="shared" si="2367"/>
        <v>12</v>
      </c>
      <c r="AA1181" s="93"/>
    </row>
    <row r="1182" spans="1:27" s="101" customFormat="1" ht="16" hidden="1">
      <c r="A1182" s="97">
        <f>SUBTOTAL(3,C$2:C1182)</f>
        <v>469</v>
      </c>
      <c r="B1182" s="97" t="s">
        <v>2469</v>
      </c>
      <c r="C1182" s="97" t="s">
        <v>31</v>
      </c>
      <c r="D1182" s="97" t="s">
        <v>32</v>
      </c>
      <c r="E1182" s="97" t="s">
        <v>33</v>
      </c>
      <c r="F1182" s="40" t="s">
        <v>592</v>
      </c>
      <c r="G1182" s="102">
        <v>407</v>
      </c>
      <c r="H1182" s="111" t="s">
        <v>2511</v>
      </c>
      <c r="I1182" s="104">
        <v>46174</v>
      </c>
      <c r="J1182" s="97">
        <f t="shared" ref="J1182" ca="1" si="2368">+TODAY()-I1182</f>
        <v>10</v>
      </c>
      <c r="K1182" s="97" t="str">
        <f t="shared" ref="K1182" si="2369">+U1182</f>
        <v>Pending</v>
      </c>
      <c r="L1182" s="40" t="s">
        <v>687</v>
      </c>
      <c r="M1182" s="97">
        <v>28000</v>
      </c>
      <c r="N1182" s="97">
        <v>26000</v>
      </c>
      <c r="O1182" s="104">
        <v>46174</v>
      </c>
      <c r="P1182" s="97">
        <f t="shared" ref="P1182" si="2370">+M1182-N1182</f>
        <v>2000</v>
      </c>
      <c r="Q1182" s="97" t="s">
        <v>33</v>
      </c>
      <c r="R1182" s="97" t="s">
        <v>37</v>
      </c>
      <c r="S1182" s="97">
        <v>33000</v>
      </c>
      <c r="T1182" s="64" t="s">
        <v>33</v>
      </c>
      <c r="U1182" s="65" t="s">
        <v>33</v>
      </c>
      <c r="V1182" s="97" t="s">
        <v>28</v>
      </c>
      <c r="W1182" s="97">
        <f t="shared" ref="W1182" si="2371">+S1182-M1182</f>
        <v>5000</v>
      </c>
      <c r="X1182" s="97" t="s">
        <v>36</v>
      </c>
      <c r="Y1182" s="97" t="s">
        <v>29</v>
      </c>
      <c r="Z1182" s="105">
        <f t="shared" ref="Z1182" si="2372">+W1182*100/M1182</f>
        <v>17.857142857142858</v>
      </c>
      <c r="AA1182" s="93"/>
    </row>
    <row r="1183" spans="1:27" s="101" customFormat="1" ht="16" hidden="1">
      <c r="A1183" s="97">
        <f>SUBTOTAL(3,C$2:C1183)</f>
        <v>469</v>
      </c>
      <c r="B1183" s="97" t="s">
        <v>2469</v>
      </c>
      <c r="C1183" s="97" t="s">
        <v>31</v>
      </c>
      <c r="D1183" s="97" t="s">
        <v>32</v>
      </c>
      <c r="E1183" s="97" t="s">
        <v>33</v>
      </c>
      <c r="F1183" s="40" t="s">
        <v>1284</v>
      </c>
      <c r="G1183" s="102" t="s">
        <v>34</v>
      </c>
      <c r="H1183" s="111" t="s">
        <v>2512</v>
      </c>
      <c r="I1183" s="104">
        <v>46174</v>
      </c>
      <c r="J1183" s="97">
        <f t="shared" ref="J1183" ca="1" si="2373">+TODAY()-I1183</f>
        <v>10</v>
      </c>
      <c r="K1183" s="97" t="str">
        <f t="shared" ref="K1183" si="2374">+U1183</f>
        <v>Pending</v>
      </c>
      <c r="L1183" s="40" t="s">
        <v>1697</v>
      </c>
      <c r="M1183" s="97">
        <v>18300</v>
      </c>
      <c r="N1183" s="97">
        <v>16500</v>
      </c>
      <c r="O1183" s="104">
        <v>46174</v>
      </c>
      <c r="P1183" s="97">
        <f t="shared" ref="P1183" si="2375">+M1183-N1183</f>
        <v>1800</v>
      </c>
      <c r="Q1183" s="97" t="s">
        <v>33</v>
      </c>
      <c r="R1183" s="97" t="s">
        <v>37</v>
      </c>
      <c r="S1183" s="97">
        <v>21500</v>
      </c>
      <c r="T1183" s="64" t="s">
        <v>33</v>
      </c>
      <c r="U1183" s="65" t="s">
        <v>33</v>
      </c>
      <c r="V1183" s="97" t="s">
        <v>28</v>
      </c>
      <c r="W1183" s="97">
        <f t="shared" ref="W1183" si="2376">+S1183-M1183</f>
        <v>3200</v>
      </c>
      <c r="X1183" s="97" t="s">
        <v>36</v>
      </c>
      <c r="Y1183" s="97" t="s">
        <v>29</v>
      </c>
      <c r="Z1183" s="105">
        <f t="shared" ref="Z1183" si="2377">+W1183*100/M1183</f>
        <v>17.486338797814209</v>
      </c>
      <c r="AA1183" s="93"/>
    </row>
    <row r="1184" spans="1:27" s="101" customFormat="1" ht="16" hidden="1">
      <c r="A1184" s="97">
        <f>SUBTOTAL(3,C$2:C1184)</f>
        <v>469</v>
      </c>
      <c r="B1184" s="97" t="s">
        <v>2469</v>
      </c>
      <c r="C1184" s="97" t="s">
        <v>2513</v>
      </c>
      <c r="D1184" s="97" t="s">
        <v>32</v>
      </c>
      <c r="E1184" s="97" t="s">
        <v>33</v>
      </c>
      <c r="F1184" s="40" t="s">
        <v>169</v>
      </c>
      <c r="G1184" s="102" t="s">
        <v>34</v>
      </c>
      <c r="H1184" s="111" t="s">
        <v>2514</v>
      </c>
      <c r="I1184" s="104">
        <v>46173</v>
      </c>
      <c r="J1184" s="97">
        <f t="shared" ref="J1184:J1188" ca="1" si="2378">+TODAY()-I1184</f>
        <v>11</v>
      </c>
      <c r="K1184" s="97" t="str">
        <f t="shared" ref="K1184:K1188" si="2379">+U1184</f>
        <v>Pending</v>
      </c>
      <c r="L1184" s="40" t="s">
        <v>2515</v>
      </c>
      <c r="M1184" s="97">
        <v>23500</v>
      </c>
      <c r="N1184" s="97">
        <v>23500</v>
      </c>
      <c r="O1184" s="104">
        <v>46174</v>
      </c>
      <c r="P1184" s="97">
        <f t="shared" ref="P1184:P1188" si="2380">+M1184-N1184</f>
        <v>0</v>
      </c>
      <c r="Q1184" s="97" t="s">
        <v>33</v>
      </c>
      <c r="R1184" s="97" t="s">
        <v>78</v>
      </c>
      <c r="S1184" s="97">
        <v>25500</v>
      </c>
      <c r="T1184" s="64" t="s">
        <v>33</v>
      </c>
      <c r="U1184" s="65" t="s">
        <v>33</v>
      </c>
      <c r="V1184" s="97" t="s">
        <v>28</v>
      </c>
      <c r="W1184" s="97">
        <f t="shared" ref="W1184:W1188" si="2381">+S1184-M1184</f>
        <v>2000</v>
      </c>
      <c r="X1184" s="97" t="s">
        <v>36</v>
      </c>
      <c r="Y1184" s="97" t="s">
        <v>29</v>
      </c>
      <c r="Z1184" s="105">
        <f t="shared" ref="Z1184:Z1188" si="2382">+W1184*100/M1184</f>
        <v>8.5106382978723403</v>
      </c>
      <c r="AA1184" s="93"/>
    </row>
    <row r="1185" spans="1:27" s="101" customFormat="1" ht="16" hidden="1">
      <c r="A1185" s="97">
        <f>SUBTOTAL(3,C$2:C1185)</f>
        <v>469</v>
      </c>
      <c r="B1185" s="97" t="s">
        <v>2469</v>
      </c>
      <c r="C1185" s="97" t="s">
        <v>44</v>
      </c>
      <c r="D1185" s="97" t="s">
        <v>32</v>
      </c>
      <c r="E1185" s="97" t="s">
        <v>33</v>
      </c>
      <c r="F1185" s="40" t="s">
        <v>645</v>
      </c>
      <c r="G1185" s="102" t="s">
        <v>50</v>
      </c>
      <c r="H1185" s="111" t="s">
        <v>2538</v>
      </c>
      <c r="I1185" s="104">
        <v>46174</v>
      </c>
      <c r="J1185" s="97">
        <f t="shared" ca="1" si="2378"/>
        <v>10</v>
      </c>
      <c r="K1185" s="97" t="str">
        <f t="shared" si="2379"/>
        <v>Pending</v>
      </c>
      <c r="L1185" s="40" t="s">
        <v>54</v>
      </c>
      <c r="M1185" s="97">
        <f>44000+3000</f>
        <v>47000</v>
      </c>
      <c r="N1185" s="97">
        <v>40000</v>
      </c>
      <c r="O1185" s="104">
        <v>46175</v>
      </c>
      <c r="P1185" s="97">
        <f t="shared" si="2380"/>
        <v>7000</v>
      </c>
      <c r="Q1185" s="97" t="s">
        <v>33</v>
      </c>
      <c r="R1185" s="97" t="s">
        <v>52</v>
      </c>
      <c r="S1185" s="97">
        <f>48000+5000</f>
        <v>53000</v>
      </c>
      <c r="T1185" s="64" t="s">
        <v>33</v>
      </c>
      <c r="U1185" s="65" t="s">
        <v>33</v>
      </c>
      <c r="V1185" s="97" t="s">
        <v>28</v>
      </c>
      <c r="W1185" s="97">
        <f t="shared" si="2381"/>
        <v>6000</v>
      </c>
      <c r="X1185" s="97" t="s">
        <v>36</v>
      </c>
      <c r="Y1185" s="97" t="s">
        <v>29</v>
      </c>
      <c r="Z1185" s="105">
        <f t="shared" si="2382"/>
        <v>12.76595744680851</v>
      </c>
      <c r="AA1185" s="93"/>
    </row>
    <row r="1186" spans="1:27" s="101" customFormat="1" ht="16" hidden="1">
      <c r="A1186" s="97">
        <f>SUBTOTAL(3,C$2:C1186)</f>
        <v>469</v>
      </c>
      <c r="B1186" s="97" t="s">
        <v>2469</v>
      </c>
      <c r="C1186" s="97" t="s">
        <v>227</v>
      </c>
      <c r="D1186" s="97" t="s">
        <v>32</v>
      </c>
      <c r="E1186" s="97" t="s">
        <v>33</v>
      </c>
      <c r="F1186" s="40" t="s">
        <v>228</v>
      </c>
      <c r="G1186" s="102" t="s">
        <v>34</v>
      </c>
      <c r="H1186" s="111" t="s">
        <v>2539</v>
      </c>
      <c r="I1186" s="104">
        <v>46174</v>
      </c>
      <c r="J1186" s="97">
        <f t="shared" ca="1" si="2378"/>
        <v>10</v>
      </c>
      <c r="K1186" s="97" t="str">
        <f t="shared" si="2379"/>
        <v>Pending</v>
      </c>
      <c r="L1186" s="40" t="s">
        <v>229</v>
      </c>
      <c r="M1186" s="97">
        <v>17800</v>
      </c>
      <c r="N1186" s="97">
        <v>15800</v>
      </c>
      <c r="O1186" s="104">
        <v>46175</v>
      </c>
      <c r="P1186" s="97">
        <f t="shared" si="2380"/>
        <v>2000</v>
      </c>
      <c r="Q1186" s="97" t="s">
        <v>33</v>
      </c>
      <c r="R1186" s="97" t="s">
        <v>112</v>
      </c>
      <c r="S1186" s="97">
        <v>20050</v>
      </c>
      <c r="T1186" s="64" t="s">
        <v>33</v>
      </c>
      <c r="U1186" s="65" t="s">
        <v>33</v>
      </c>
      <c r="V1186" s="97" t="s">
        <v>28</v>
      </c>
      <c r="W1186" s="97">
        <f t="shared" si="2381"/>
        <v>2250</v>
      </c>
      <c r="X1186" s="97" t="s">
        <v>36</v>
      </c>
      <c r="Y1186" s="97" t="s">
        <v>29</v>
      </c>
      <c r="Z1186" s="105">
        <f t="shared" si="2382"/>
        <v>12.640449438202246</v>
      </c>
      <c r="AA1186" s="93"/>
    </row>
    <row r="1187" spans="1:27" s="101" customFormat="1" ht="16" hidden="1">
      <c r="A1187" s="97">
        <f>SUBTOTAL(3,C$2:C1187)</f>
        <v>469</v>
      </c>
      <c r="B1187" s="97" t="s">
        <v>2469</v>
      </c>
      <c r="C1187" s="97" t="s">
        <v>31</v>
      </c>
      <c r="D1187" s="97" t="s">
        <v>32</v>
      </c>
      <c r="E1187" s="97" t="s">
        <v>33</v>
      </c>
      <c r="F1187" s="40" t="s">
        <v>1930</v>
      </c>
      <c r="G1187" s="102" t="s">
        <v>34</v>
      </c>
      <c r="H1187" s="111" t="s">
        <v>2540</v>
      </c>
      <c r="I1187" s="104">
        <v>46174</v>
      </c>
      <c r="J1187" s="97">
        <f t="shared" ca="1" si="2378"/>
        <v>10</v>
      </c>
      <c r="K1187" s="97" t="str">
        <f t="shared" si="2379"/>
        <v>Pending</v>
      </c>
      <c r="L1187" s="40" t="s">
        <v>2521</v>
      </c>
      <c r="M1187" s="97">
        <v>28500</v>
      </c>
      <c r="N1187" s="97">
        <v>26500</v>
      </c>
      <c r="O1187" s="104">
        <v>46175</v>
      </c>
      <c r="P1187" s="97">
        <f t="shared" si="2380"/>
        <v>2000</v>
      </c>
      <c r="Q1187" s="97" t="s">
        <v>33</v>
      </c>
      <c r="R1187" s="97" t="s">
        <v>39</v>
      </c>
      <c r="S1187" s="97">
        <v>31500</v>
      </c>
      <c r="T1187" s="64" t="s">
        <v>33</v>
      </c>
      <c r="U1187" s="65" t="s">
        <v>33</v>
      </c>
      <c r="V1187" s="97" t="s">
        <v>28</v>
      </c>
      <c r="W1187" s="97">
        <f t="shared" si="2381"/>
        <v>3000</v>
      </c>
      <c r="X1187" s="97" t="s">
        <v>36</v>
      </c>
      <c r="Y1187" s="97" t="s">
        <v>29</v>
      </c>
      <c r="Z1187" s="105">
        <f t="shared" si="2382"/>
        <v>10.526315789473685</v>
      </c>
      <c r="AA1187" s="93"/>
    </row>
    <row r="1188" spans="1:27" s="101" customFormat="1" ht="16" hidden="1">
      <c r="A1188" s="97">
        <f>SUBTOTAL(3,C$2:C1188)</f>
        <v>469</v>
      </c>
      <c r="B1188" s="97" t="s">
        <v>2469</v>
      </c>
      <c r="C1188" s="97" t="s">
        <v>80</v>
      </c>
      <c r="D1188" s="97" t="s">
        <v>32</v>
      </c>
      <c r="E1188" s="97" t="s">
        <v>33</v>
      </c>
      <c r="F1188" s="40" t="s">
        <v>1211</v>
      </c>
      <c r="G1188" s="102" t="s">
        <v>1215</v>
      </c>
      <c r="H1188" s="111" t="s">
        <v>2541</v>
      </c>
      <c r="I1188" s="104">
        <v>46174</v>
      </c>
      <c r="J1188" s="97">
        <f t="shared" ca="1" si="2378"/>
        <v>10</v>
      </c>
      <c r="K1188" s="97" t="str">
        <f t="shared" si="2379"/>
        <v>Pending</v>
      </c>
      <c r="L1188" s="40" t="s">
        <v>995</v>
      </c>
      <c r="M1188" s="97">
        <v>28000</v>
      </c>
      <c r="N1188" s="97">
        <v>26000</v>
      </c>
      <c r="O1188" s="104">
        <v>46175</v>
      </c>
      <c r="P1188" s="97">
        <f t="shared" si="2380"/>
        <v>2000</v>
      </c>
      <c r="Q1188" s="97" t="s">
        <v>33</v>
      </c>
      <c r="R1188" s="97" t="s">
        <v>52</v>
      </c>
      <c r="S1188" s="97">
        <v>31500</v>
      </c>
      <c r="T1188" s="64" t="s">
        <v>33</v>
      </c>
      <c r="U1188" s="65" t="s">
        <v>33</v>
      </c>
      <c r="V1188" s="97" t="s">
        <v>28</v>
      </c>
      <c r="W1188" s="97">
        <f t="shared" si="2381"/>
        <v>3500</v>
      </c>
      <c r="X1188" s="97" t="s">
        <v>36</v>
      </c>
      <c r="Y1188" s="97" t="s">
        <v>29</v>
      </c>
      <c r="Z1188" s="105">
        <f t="shared" si="2382"/>
        <v>12.5</v>
      </c>
      <c r="AA1188" s="93"/>
    </row>
    <row r="1189" spans="1:27" s="101" customFormat="1" ht="16" hidden="1">
      <c r="A1189" s="97">
        <f>SUBTOTAL(3,C$2:C1189)</f>
        <v>469</v>
      </c>
      <c r="B1189" s="97" t="s">
        <v>2469</v>
      </c>
      <c r="C1189" s="97" t="s">
        <v>31</v>
      </c>
      <c r="D1189" s="97" t="s">
        <v>32</v>
      </c>
      <c r="E1189" s="97" t="s">
        <v>33</v>
      </c>
      <c r="F1189" s="40" t="s">
        <v>2522</v>
      </c>
      <c r="G1189" s="102" t="s">
        <v>34</v>
      </c>
      <c r="H1189" s="111" t="s">
        <v>2542</v>
      </c>
      <c r="I1189" s="104">
        <v>46174</v>
      </c>
      <c r="J1189" s="97">
        <f t="shared" ref="J1189:J1190" ca="1" si="2383">+TODAY()-I1189</f>
        <v>10</v>
      </c>
      <c r="K1189" s="97" t="str">
        <f t="shared" ref="K1189:K1190" si="2384">+U1189</f>
        <v>Pending</v>
      </c>
      <c r="L1189" s="40" t="s">
        <v>1697</v>
      </c>
      <c r="M1189" s="97">
        <v>18300</v>
      </c>
      <c r="N1189" s="97">
        <v>16500</v>
      </c>
      <c r="O1189" s="104">
        <v>46175</v>
      </c>
      <c r="P1189" s="97">
        <f t="shared" ref="P1189:P1190" si="2385">+M1189-N1189</f>
        <v>1800</v>
      </c>
      <c r="Q1189" s="97" t="s">
        <v>33</v>
      </c>
      <c r="R1189" s="97" t="s">
        <v>37</v>
      </c>
      <c r="S1189" s="97">
        <v>21500</v>
      </c>
      <c r="T1189" s="64" t="s">
        <v>33</v>
      </c>
      <c r="U1189" s="65" t="s">
        <v>33</v>
      </c>
      <c r="V1189" s="97" t="s">
        <v>28</v>
      </c>
      <c r="W1189" s="97">
        <f t="shared" ref="W1189:W1190" si="2386">+S1189-M1189</f>
        <v>3200</v>
      </c>
      <c r="X1189" s="97" t="s">
        <v>36</v>
      </c>
      <c r="Y1189" s="97" t="s">
        <v>29</v>
      </c>
      <c r="Z1189" s="105">
        <f t="shared" ref="Z1189:Z1190" si="2387">+W1189*100/M1189</f>
        <v>17.486338797814209</v>
      </c>
      <c r="AA1189" s="93"/>
    </row>
    <row r="1190" spans="1:27" s="101" customFormat="1" ht="16" hidden="1">
      <c r="A1190" s="97">
        <f>SUBTOTAL(3,C$2:C1190)</f>
        <v>469</v>
      </c>
      <c r="B1190" s="97" t="s">
        <v>2469</v>
      </c>
      <c r="C1190" s="97" t="s">
        <v>1031</v>
      </c>
      <c r="D1190" s="97" t="s">
        <v>32</v>
      </c>
      <c r="E1190" s="97" t="s">
        <v>33</v>
      </c>
      <c r="F1190" s="40" t="s">
        <v>2523</v>
      </c>
      <c r="G1190" s="102" t="s">
        <v>34</v>
      </c>
      <c r="H1190" s="111" t="s">
        <v>2543</v>
      </c>
      <c r="I1190" s="104">
        <v>46174</v>
      </c>
      <c r="J1190" s="97">
        <f t="shared" ca="1" si="2383"/>
        <v>10</v>
      </c>
      <c r="K1190" s="97" t="str">
        <f t="shared" si="2384"/>
        <v>Pending</v>
      </c>
      <c r="L1190" s="40" t="s">
        <v>783</v>
      </c>
      <c r="M1190" s="97">
        <v>18000</v>
      </c>
      <c r="N1190" s="97">
        <v>16000</v>
      </c>
      <c r="O1190" s="104">
        <v>46175</v>
      </c>
      <c r="P1190" s="97">
        <f t="shared" si="2385"/>
        <v>2000</v>
      </c>
      <c r="Q1190" s="97" t="s">
        <v>33</v>
      </c>
      <c r="R1190" s="97" t="s">
        <v>56</v>
      </c>
      <c r="S1190" s="97">
        <v>20500</v>
      </c>
      <c r="T1190" s="64" t="s">
        <v>33</v>
      </c>
      <c r="U1190" s="65" t="s">
        <v>33</v>
      </c>
      <c r="V1190" s="97" t="s">
        <v>28</v>
      </c>
      <c r="W1190" s="97">
        <f t="shared" si="2386"/>
        <v>2500</v>
      </c>
      <c r="X1190" s="97" t="s">
        <v>963</v>
      </c>
      <c r="Y1190" s="97" t="s">
        <v>29</v>
      </c>
      <c r="Z1190" s="105">
        <f t="shared" si="2387"/>
        <v>13.888888888888889</v>
      </c>
      <c r="AA1190" s="93"/>
    </row>
    <row r="1191" spans="1:27" s="101" customFormat="1" ht="16" hidden="1">
      <c r="A1191" s="97">
        <f>SUBTOTAL(3,C$2:C1191)</f>
        <v>469</v>
      </c>
      <c r="B1191" s="97" t="s">
        <v>2469</v>
      </c>
      <c r="C1191" s="97" t="s">
        <v>31</v>
      </c>
      <c r="D1191" s="97" t="s">
        <v>32</v>
      </c>
      <c r="E1191" s="97" t="s">
        <v>33</v>
      </c>
      <c r="F1191" s="40" t="s">
        <v>2212</v>
      </c>
      <c r="G1191" s="102" t="s">
        <v>34</v>
      </c>
      <c r="H1191" s="111" t="s">
        <v>2544</v>
      </c>
      <c r="I1191" s="104">
        <v>46174</v>
      </c>
      <c r="J1191" s="97">
        <f t="shared" ref="J1191:J1192" ca="1" si="2388">+TODAY()-I1191</f>
        <v>10</v>
      </c>
      <c r="K1191" s="97" t="str">
        <f t="shared" ref="K1191:K1192" si="2389">+U1191</f>
        <v>Pending</v>
      </c>
      <c r="L1191" s="40" t="s">
        <v>1411</v>
      </c>
      <c r="M1191" s="97">
        <v>19000</v>
      </c>
      <c r="N1191" s="97">
        <v>17000</v>
      </c>
      <c r="O1191" s="104">
        <v>46175</v>
      </c>
      <c r="P1191" s="97">
        <f t="shared" ref="P1191:P1192" si="2390">+M1191-N1191</f>
        <v>2000</v>
      </c>
      <c r="Q1191" s="97" t="s">
        <v>33</v>
      </c>
      <c r="R1191" s="97" t="s">
        <v>39</v>
      </c>
      <c r="S1191" s="97">
        <v>21800</v>
      </c>
      <c r="T1191" s="64" t="s">
        <v>33</v>
      </c>
      <c r="U1191" s="65" t="s">
        <v>33</v>
      </c>
      <c r="V1191" s="97" t="s">
        <v>28</v>
      </c>
      <c r="W1191" s="97">
        <f t="shared" ref="W1191:W1192" si="2391">+S1191-M1191</f>
        <v>2800</v>
      </c>
      <c r="X1191" s="97" t="s">
        <v>36</v>
      </c>
      <c r="Y1191" s="97" t="s">
        <v>29</v>
      </c>
      <c r="Z1191" s="105">
        <f t="shared" ref="Z1191:Z1192" si="2392">+W1191*100/M1191</f>
        <v>14.736842105263158</v>
      </c>
      <c r="AA1191" s="93"/>
    </row>
    <row r="1192" spans="1:27" s="101" customFormat="1" ht="16" hidden="1">
      <c r="A1192" s="97">
        <f>SUBTOTAL(3,C$2:C1192)</f>
        <v>469</v>
      </c>
      <c r="B1192" s="97" t="s">
        <v>2469</v>
      </c>
      <c r="C1192" s="97" t="s">
        <v>44</v>
      </c>
      <c r="D1192" s="97" t="s">
        <v>32</v>
      </c>
      <c r="E1192" s="97" t="s">
        <v>33</v>
      </c>
      <c r="F1192" s="40" t="s">
        <v>2524</v>
      </c>
      <c r="G1192" s="102" t="s">
        <v>994</v>
      </c>
      <c r="H1192" s="111" t="s">
        <v>2545</v>
      </c>
      <c r="I1192" s="104">
        <v>46174</v>
      </c>
      <c r="J1192" s="97">
        <f t="shared" ca="1" si="2388"/>
        <v>10</v>
      </c>
      <c r="K1192" s="97" t="str">
        <f t="shared" si="2389"/>
        <v>Pending</v>
      </c>
      <c r="L1192" s="40" t="s">
        <v>2192</v>
      </c>
      <c r="M1192" s="97">
        <v>40000</v>
      </c>
      <c r="N1192" s="97">
        <v>36000</v>
      </c>
      <c r="O1192" s="104">
        <v>46175</v>
      </c>
      <c r="P1192" s="97">
        <f t="shared" si="2390"/>
        <v>4000</v>
      </c>
      <c r="Q1192" s="97" t="s">
        <v>33</v>
      </c>
      <c r="R1192" s="97" t="s">
        <v>52</v>
      </c>
      <c r="S1192" s="97">
        <v>44000</v>
      </c>
      <c r="T1192" s="64" t="s">
        <v>33</v>
      </c>
      <c r="U1192" s="65" t="s">
        <v>33</v>
      </c>
      <c r="V1192" s="97" t="s">
        <v>28</v>
      </c>
      <c r="W1192" s="97">
        <f t="shared" si="2391"/>
        <v>4000</v>
      </c>
      <c r="X1192" s="97" t="s">
        <v>36</v>
      </c>
      <c r="Y1192" s="97" t="s">
        <v>29</v>
      </c>
      <c r="Z1192" s="105">
        <f t="shared" si="2392"/>
        <v>10</v>
      </c>
      <c r="AA1192" s="93"/>
    </row>
    <row r="1193" spans="1:27" s="101" customFormat="1" ht="16" hidden="1">
      <c r="A1193" s="97">
        <f>SUBTOTAL(3,C$2:C1193)</f>
        <v>469</v>
      </c>
      <c r="B1193" s="97" t="s">
        <v>2469</v>
      </c>
      <c r="C1193" s="97" t="s">
        <v>31</v>
      </c>
      <c r="D1193" s="97" t="s">
        <v>32</v>
      </c>
      <c r="E1193" s="97" t="s">
        <v>33</v>
      </c>
      <c r="F1193" s="40" t="s">
        <v>2525</v>
      </c>
      <c r="G1193" s="102" t="s">
        <v>34</v>
      </c>
      <c r="H1193" s="111" t="s">
        <v>2546</v>
      </c>
      <c r="I1193" s="104">
        <v>46174</v>
      </c>
      <c r="J1193" s="97">
        <f t="shared" ref="J1193:J1194" ca="1" si="2393">+TODAY()-I1193</f>
        <v>10</v>
      </c>
      <c r="K1193" s="97" t="str">
        <f t="shared" ref="K1193:K1194" si="2394">+U1193</f>
        <v>Pending</v>
      </c>
      <c r="L1193" s="40" t="s">
        <v>2501</v>
      </c>
      <c r="M1193" s="97">
        <v>28500</v>
      </c>
      <c r="N1193" s="97">
        <v>26500</v>
      </c>
      <c r="O1193" s="104">
        <v>46175</v>
      </c>
      <c r="P1193" s="97">
        <f t="shared" ref="P1193:P1194" si="2395">+M1193-N1193</f>
        <v>2000</v>
      </c>
      <c r="Q1193" s="97" t="s">
        <v>33</v>
      </c>
      <c r="R1193" s="97" t="s">
        <v>174</v>
      </c>
      <c r="S1193" s="97">
        <v>31500</v>
      </c>
      <c r="T1193" s="64" t="s">
        <v>33</v>
      </c>
      <c r="U1193" s="65" t="s">
        <v>33</v>
      </c>
      <c r="V1193" s="97" t="s">
        <v>28</v>
      </c>
      <c r="W1193" s="97">
        <f t="shared" ref="W1193:W1194" si="2396">+S1193-M1193</f>
        <v>3000</v>
      </c>
      <c r="X1193" s="97" t="s">
        <v>36</v>
      </c>
      <c r="Y1193" s="97" t="s">
        <v>29</v>
      </c>
      <c r="Z1193" s="105">
        <f t="shared" ref="Z1193:Z1194" si="2397">+W1193*100/M1193</f>
        <v>10.526315789473685</v>
      </c>
      <c r="AA1193" s="93"/>
    </row>
    <row r="1194" spans="1:27" s="101" customFormat="1" ht="16" hidden="1">
      <c r="A1194" s="97">
        <f>SUBTOTAL(3,C$2:C1194)</f>
        <v>469</v>
      </c>
      <c r="B1194" s="97" t="s">
        <v>2469</v>
      </c>
      <c r="C1194" s="97" t="s">
        <v>44</v>
      </c>
      <c r="D1194" s="97" t="s">
        <v>32</v>
      </c>
      <c r="E1194" s="97" t="s">
        <v>33</v>
      </c>
      <c r="F1194" s="40" t="s">
        <v>2526</v>
      </c>
      <c r="G1194" s="102" t="s">
        <v>1215</v>
      </c>
      <c r="H1194" s="111" t="s">
        <v>2547</v>
      </c>
      <c r="I1194" s="104">
        <v>46174</v>
      </c>
      <c r="J1194" s="97">
        <f t="shared" ca="1" si="2393"/>
        <v>10</v>
      </c>
      <c r="K1194" s="97" t="str">
        <f t="shared" si="2394"/>
        <v>Pending</v>
      </c>
      <c r="L1194" s="40" t="s">
        <v>2192</v>
      </c>
      <c r="M1194" s="97">
        <v>28500</v>
      </c>
      <c r="N1194" s="97">
        <v>26500</v>
      </c>
      <c r="O1194" s="104">
        <v>46175</v>
      </c>
      <c r="P1194" s="97">
        <f t="shared" si="2395"/>
        <v>2000</v>
      </c>
      <c r="Q1194" s="97" t="s">
        <v>33</v>
      </c>
      <c r="R1194" s="97" t="s">
        <v>52</v>
      </c>
      <c r="S1194" s="97">
        <v>44000</v>
      </c>
      <c r="T1194" s="64" t="s">
        <v>33</v>
      </c>
      <c r="U1194" s="65" t="s">
        <v>33</v>
      </c>
      <c r="V1194" s="97" t="s">
        <v>28</v>
      </c>
      <c r="W1194" s="97">
        <f t="shared" si="2396"/>
        <v>15500</v>
      </c>
      <c r="X1194" s="97" t="s">
        <v>36</v>
      </c>
      <c r="Y1194" s="97" t="s">
        <v>29</v>
      </c>
      <c r="Z1194" s="105">
        <f t="shared" si="2397"/>
        <v>54.385964912280699</v>
      </c>
      <c r="AA1194" s="93"/>
    </row>
    <row r="1195" spans="1:27" s="101" customFormat="1" ht="16" hidden="1">
      <c r="A1195" s="97">
        <f>SUBTOTAL(3,C$2:C1195)</f>
        <v>469</v>
      </c>
      <c r="B1195" s="97" t="s">
        <v>2469</v>
      </c>
      <c r="C1195" s="97" t="s">
        <v>44</v>
      </c>
      <c r="D1195" s="97" t="s">
        <v>32</v>
      </c>
      <c r="E1195" s="97" t="s">
        <v>33</v>
      </c>
      <c r="F1195" s="40" t="s">
        <v>301</v>
      </c>
      <c r="G1195" s="102" t="s">
        <v>607</v>
      </c>
      <c r="H1195" s="111" t="s">
        <v>2548</v>
      </c>
      <c r="I1195" s="104">
        <v>46175</v>
      </c>
      <c r="J1195" s="97">
        <f t="shared" ref="J1195:J1196" ca="1" si="2398">+TODAY()-I1195</f>
        <v>9</v>
      </c>
      <c r="K1195" s="97" t="str">
        <f t="shared" ref="K1195:K1196" si="2399">+U1195</f>
        <v>Pending</v>
      </c>
      <c r="L1195" s="40" t="s">
        <v>609</v>
      </c>
      <c r="M1195" s="97">
        <v>38500</v>
      </c>
      <c r="N1195" s="97">
        <v>35500</v>
      </c>
      <c r="O1195" s="104">
        <v>46175</v>
      </c>
      <c r="P1195" s="97">
        <f t="shared" ref="P1195:P1196" si="2400">+M1195-N1195</f>
        <v>3000</v>
      </c>
      <c r="Q1195" s="97" t="s">
        <v>33</v>
      </c>
      <c r="R1195" s="97" t="s">
        <v>52</v>
      </c>
      <c r="S1195" s="97">
        <v>41500</v>
      </c>
      <c r="T1195" s="64" t="s">
        <v>33</v>
      </c>
      <c r="U1195" s="65" t="s">
        <v>33</v>
      </c>
      <c r="V1195" s="97" t="s">
        <v>28</v>
      </c>
      <c r="W1195" s="97">
        <f t="shared" ref="W1195:W1196" si="2401">+S1195-M1195</f>
        <v>3000</v>
      </c>
      <c r="X1195" s="97" t="s">
        <v>36</v>
      </c>
      <c r="Y1195" s="97" t="s">
        <v>29</v>
      </c>
      <c r="Z1195" s="105">
        <f t="shared" ref="Z1195:Z1196" si="2402">+W1195*100/M1195</f>
        <v>7.7922077922077921</v>
      </c>
      <c r="AA1195" s="93"/>
    </row>
    <row r="1196" spans="1:27" s="101" customFormat="1" ht="16" hidden="1">
      <c r="A1196" s="97">
        <f>SUBTOTAL(3,C$2:C1196)</f>
        <v>469</v>
      </c>
      <c r="B1196" s="97" t="s">
        <v>2469</v>
      </c>
      <c r="C1196" s="97" t="s">
        <v>31</v>
      </c>
      <c r="D1196" s="97" t="s">
        <v>32</v>
      </c>
      <c r="E1196" s="97" t="s">
        <v>33</v>
      </c>
      <c r="F1196" s="40" t="s">
        <v>2527</v>
      </c>
      <c r="G1196" s="102" t="s">
        <v>34</v>
      </c>
      <c r="H1196" s="111" t="s">
        <v>2549</v>
      </c>
      <c r="I1196" s="104">
        <v>46174</v>
      </c>
      <c r="J1196" s="97">
        <f t="shared" ca="1" si="2398"/>
        <v>10</v>
      </c>
      <c r="K1196" s="97" t="str">
        <f t="shared" si="2399"/>
        <v>Pending</v>
      </c>
      <c r="L1196" s="40" t="s">
        <v>1954</v>
      </c>
      <c r="M1196" s="97">
        <v>18300</v>
      </c>
      <c r="N1196" s="97">
        <v>16500</v>
      </c>
      <c r="O1196" s="104">
        <v>46175</v>
      </c>
      <c r="P1196" s="97">
        <f t="shared" si="2400"/>
        <v>1800</v>
      </c>
      <c r="Q1196" s="97" t="s">
        <v>33</v>
      </c>
      <c r="R1196" s="97" t="s">
        <v>37</v>
      </c>
      <c r="S1196" s="97">
        <v>21500</v>
      </c>
      <c r="T1196" s="64" t="s">
        <v>33</v>
      </c>
      <c r="U1196" s="65" t="s">
        <v>33</v>
      </c>
      <c r="V1196" s="97" t="s">
        <v>28</v>
      </c>
      <c r="W1196" s="97">
        <f t="shared" si="2401"/>
        <v>3200</v>
      </c>
      <c r="X1196" s="97" t="s">
        <v>36</v>
      </c>
      <c r="Y1196" s="97" t="s">
        <v>29</v>
      </c>
      <c r="Z1196" s="105">
        <f t="shared" si="2402"/>
        <v>17.486338797814209</v>
      </c>
      <c r="AA1196" s="93"/>
    </row>
    <row r="1197" spans="1:27" s="101" customFormat="1" ht="16" hidden="1">
      <c r="A1197" s="97">
        <f>SUBTOTAL(3,C$2:C1197)</f>
        <v>469</v>
      </c>
      <c r="B1197" s="97" t="s">
        <v>2469</v>
      </c>
      <c r="C1197" s="97" t="s">
        <v>31</v>
      </c>
      <c r="D1197" s="97" t="s">
        <v>32</v>
      </c>
      <c r="E1197" s="97" t="s">
        <v>33</v>
      </c>
      <c r="F1197" s="40" t="s">
        <v>148</v>
      </c>
      <c r="G1197" s="102" t="s">
        <v>34</v>
      </c>
      <c r="H1197" s="111" t="s">
        <v>2550</v>
      </c>
      <c r="I1197" s="104">
        <v>46175</v>
      </c>
      <c r="J1197" s="97">
        <f t="shared" ref="J1197" ca="1" si="2403">+TODAY()-I1197</f>
        <v>9</v>
      </c>
      <c r="K1197" s="97" t="str">
        <f t="shared" ref="K1197" si="2404">+U1197</f>
        <v>Pending</v>
      </c>
      <c r="L1197" s="40" t="s">
        <v>483</v>
      </c>
      <c r="M1197" s="97">
        <v>24000</v>
      </c>
      <c r="N1197" s="97">
        <v>22000</v>
      </c>
      <c r="O1197" s="104">
        <v>46175</v>
      </c>
      <c r="P1197" s="97">
        <f t="shared" ref="P1197" si="2405">+M1197-N1197</f>
        <v>2000</v>
      </c>
      <c r="Q1197" s="97" t="s">
        <v>33</v>
      </c>
      <c r="R1197" s="97" t="s">
        <v>37</v>
      </c>
      <c r="S1197" s="97">
        <v>26000</v>
      </c>
      <c r="T1197" s="64" t="s">
        <v>33</v>
      </c>
      <c r="U1197" s="65" t="s">
        <v>33</v>
      </c>
      <c r="V1197" s="97" t="s">
        <v>28</v>
      </c>
      <c r="W1197" s="97">
        <f t="shared" ref="W1197" si="2406">+S1197-M1197</f>
        <v>2000</v>
      </c>
      <c r="X1197" s="97" t="s">
        <v>36</v>
      </c>
      <c r="Y1197" s="97" t="s">
        <v>29</v>
      </c>
      <c r="Z1197" s="105">
        <f t="shared" ref="Z1197" si="2407">+W1197*100/M1197</f>
        <v>8.3333333333333339</v>
      </c>
      <c r="AA1197" s="93"/>
    </row>
    <row r="1198" spans="1:27" s="101" customFormat="1" ht="16" hidden="1">
      <c r="A1198" s="97">
        <f>SUBTOTAL(3,C$2:C1198)</f>
        <v>469</v>
      </c>
      <c r="B1198" s="97" t="s">
        <v>2469</v>
      </c>
      <c r="C1198" s="97" t="s">
        <v>31</v>
      </c>
      <c r="D1198" s="97" t="s">
        <v>32</v>
      </c>
      <c r="E1198" s="97" t="s">
        <v>33</v>
      </c>
      <c r="F1198" s="40" t="s">
        <v>1639</v>
      </c>
      <c r="G1198" s="102" t="s">
        <v>34</v>
      </c>
      <c r="H1198" s="111" t="s">
        <v>2551</v>
      </c>
      <c r="I1198" s="104">
        <v>46175</v>
      </c>
      <c r="J1198" s="97">
        <f t="shared" ref="J1198:J1199" ca="1" si="2408">+TODAY()-I1198</f>
        <v>9</v>
      </c>
      <c r="K1198" s="97" t="str">
        <f t="shared" ref="K1198:K1199" si="2409">+U1198</f>
        <v>Pending</v>
      </c>
      <c r="L1198" s="40" t="s">
        <v>1697</v>
      </c>
      <c r="M1198" s="97">
        <v>18300</v>
      </c>
      <c r="N1198" s="97">
        <v>16500</v>
      </c>
      <c r="O1198" s="104">
        <v>46175</v>
      </c>
      <c r="P1198" s="97">
        <f t="shared" ref="P1198:P1199" si="2410">+M1198-N1198</f>
        <v>1800</v>
      </c>
      <c r="Q1198" s="97" t="s">
        <v>33</v>
      </c>
      <c r="R1198" s="97" t="s">
        <v>37</v>
      </c>
      <c r="S1198" s="97">
        <v>21500</v>
      </c>
      <c r="T1198" s="64" t="s">
        <v>33</v>
      </c>
      <c r="U1198" s="65" t="s">
        <v>33</v>
      </c>
      <c r="V1198" s="97" t="s">
        <v>28</v>
      </c>
      <c r="W1198" s="97">
        <f t="shared" ref="W1198:W1199" si="2411">+S1198-M1198</f>
        <v>3200</v>
      </c>
      <c r="X1198" s="97" t="s">
        <v>36</v>
      </c>
      <c r="Y1198" s="97" t="s">
        <v>29</v>
      </c>
      <c r="Z1198" s="105">
        <f t="shared" ref="Z1198:Z1199" si="2412">+W1198*100/M1198</f>
        <v>17.486338797814209</v>
      </c>
      <c r="AA1198" s="93"/>
    </row>
    <row r="1199" spans="1:27" s="101" customFormat="1" ht="16" hidden="1">
      <c r="A1199" s="97">
        <f>SUBTOTAL(3,C$2:C1199)</f>
        <v>469</v>
      </c>
      <c r="B1199" s="97" t="s">
        <v>2469</v>
      </c>
      <c r="C1199" s="97" t="s">
        <v>44</v>
      </c>
      <c r="D1199" s="97" t="s">
        <v>32</v>
      </c>
      <c r="E1199" s="97" t="s">
        <v>33</v>
      </c>
      <c r="F1199" s="40" t="s">
        <v>429</v>
      </c>
      <c r="G1199" s="102" t="s">
        <v>143</v>
      </c>
      <c r="H1199" s="111" t="s">
        <v>2552</v>
      </c>
      <c r="I1199" s="104">
        <v>46174</v>
      </c>
      <c r="J1199" s="97">
        <f t="shared" ca="1" si="2408"/>
        <v>10</v>
      </c>
      <c r="K1199" s="97" t="str">
        <f t="shared" si="2409"/>
        <v>Pending</v>
      </c>
      <c r="L1199" s="40" t="s">
        <v>1411</v>
      </c>
      <c r="M1199" s="97">
        <v>31500</v>
      </c>
      <c r="N1199" s="97">
        <v>28500</v>
      </c>
      <c r="O1199" s="104">
        <v>46175</v>
      </c>
      <c r="P1199" s="97">
        <f t="shared" si="2410"/>
        <v>3000</v>
      </c>
      <c r="Q1199" s="97" t="s">
        <v>33</v>
      </c>
      <c r="R1199" s="97" t="s">
        <v>39</v>
      </c>
      <c r="S1199" s="97">
        <v>35000</v>
      </c>
      <c r="T1199" s="64" t="s">
        <v>33</v>
      </c>
      <c r="U1199" s="65" t="s">
        <v>33</v>
      </c>
      <c r="V1199" s="97" t="s">
        <v>28</v>
      </c>
      <c r="W1199" s="97">
        <f t="shared" si="2411"/>
        <v>3500</v>
      </c>
      <c r="X1199" s="97" t="s">
        <v>36</v>
      </c>
      <c r="Y1199" s="97" t="s">
        <v>29</v>
      </c>
      <c r="Z1199" s="105">
        <f t="shared" si="2412"/>
        <v>11.111111111111111</v>
      </c>
      <c r="AA1199" s="93"/>
    </row>
    <row r="1200" spans="1:27" s="101" customFormat="1" ht="16" hidden="1">
      <c r="A1200" s="97">
        <f>SUBTOTAL(3,C$2:C1200)</f>
        <v>469</v>
      </c>
      <c r="B1200" s="97" t="s">
        <v>2469</v>
      </c>
      <c r="C1200" s="97" t="s">
        <v>44</v>
      </c>
      <c r="D1200" s="97" t="s">
        <v>32</v>
      </c>
      <c r="E1200" s="97" t="s">
        <v>33</v>
      </c>
      <c r="F1200" s="40" t="s">
        <v>207</v>
      </c>
      <c r="G1200" s="102" t="s">
        <v>143</v>
      </c>
      <c r="H1200" s="111" t="s">
        <v>2553</v>
      </c>
      <c r="I1200" s="104">
        <v>46175</v>
      </c>
      <c r="J1200" s="97">
        <f t="shared" ref="J1200:J1203" ca="1" si="2413">+TODAY()-I1200</f>
        <v>9</v>
      </c>
      <c r="K1200" s="97" t="str">
        <f t="shared" ref="K1200:K1203" si="2414">+U1200</f>
        <v>Pending</v>
      </c>
      <c r="L1200" s="40" t="s">
        <v>1411</v>
      </c>
      <c r="M1200" s="97">
        <v>31500</v>
      </c>
      <c r="N1200" s="97">
        <v>28500</v>
      </c>
      <c r="O1200" s="104">
        <v>46175</v>
      </c>
      <c r="P1200" s="97">
        <f t="shared" ref="P1200:P1203" si="2415">+M1200-N1200</f>
        <v>3000</v>
      </c>
      <c r="Q1200" s="97" t="s">
        <v>33</v>
      </c>
      <c r="R1200" s="97" t="s">
        <v>39</v>
      </c>
      <c r="S1200" s="97">
        <v>35000</v>
      </c>
      <c r="T1200" s="64" t="s">
        <v>33</v>
      </c>
      <c r="U1200" s="65" t="s">
        <v>33</v>
      </c>
      <c r="V1200" s="97" t="s">
        <v>28</v>
      </c>
      <c r="W1200" s="97">
        <f t="shared" ref="W1200:W1203" si="2416">+S1200-M1200</f>
        <v>3500</v>
      </c>
      <c r="X1200" s="97" t="s">
        <v>36</v>
      </c>
      <c r="Y1200" s="97" t="s">
        <v>29</v>
      </c>
      <c r="Z1200" s="105">
        <f t="shared" ref="Z1200:Z1203" si="2417">+W1200*100/M1200</f>
        <v>11.111111111111111</v>
      </c>
      <c r="AA1200" s="93"/>
    </row>
    <row r="1201" spans="1:27" s="101" customFormat="1" ht="16" hidden="1">
      <c r="A1201" s="97">
        <f>SUBTOTAL(3,C$2:C1201)</f>
        <v>469</v>
      </c>
      <c r="B1201" s="97" t="s">
        <v>2469</v>
      </c>
      <c r="C1201" s="97" t="s">
        <v>31</v>
      </c>
      <c r="D1201" s="97" t="s">
        <v>32</v>
      </c>
      <c r="E1201" s="97" t="s">
        <v>33</v>
      </c>
      <c r="F1201" s="40" t="s">
        <v>2528</v>
      </c>
      <c r="G1201" s="102" t="s">
        <v>34</v>
      </c>
      <c r="H1201" s="111" t="s">
        <v>2554</v>
      </c>
      <c r="I1201" s="104">
        <v>46175</v>
      </c>
      <c r="J1201" s="97">
        <f t="shared" ca="1" si="2413"/>
        <v>9</v>
      </c>
      <c r="K1201" s="97" t="str">
        <f t="shared" si="2414"/>
        <v>Pending</v>
      </c>
      <c r="L1201" s="40" t="s">
        <v>1697</v>
      </c>
      <c r="M1201" s="97">
        <v>18300</v>
      </c>
      <c r="N1201" s="97">
        <v>16500</v>
      </c>
      <c r="O1201" s="104">
        <v>46175</v>
      </c>
      <c r="P1201" s="97">
        <f t="shared" si="2415"/>
        <v>1800</v>
      </c>
      <c r="Q1201" s="97" t="s">
        <v>33</v>
      </c>
      <c r="R1201" s="97" t="s">
        <v>37</v>
      </c>
      <c r="S1201" s="97">
        <v>21500</v>
      </c>
      <c r="T1201" s="64" t="s">
        <v>33</v>
      </c>
      <c r="U1201" s="65" t="s">
        <v>33</v>
      </c>
      <c r="V1201" s="97" t="s">
        <v>28</v>
      </c>
      <c r="W1201" s="97">
        <f t="shared" si="2416"/>
        <v>3200</v>
      </c>
      <c r="X1201" s="97" t="s">
        <v>36</v>
      </c>
      <c r="Y1201" s="97" t="s">
        <v>29</v>
      </c>
      <c r="Z1201" s="105">
        <f t="shared" si="2417"/>
        <v>17.486338797814209</v>
      </c>
      <c r="AA1201" s="93"/>
    </row>
    <row r="1202" spans="1:27" s="101" customFormat="1" ht="16" hidden="1">
      <c r="A1202" s="97">
        <f>SUBTOTAL(3,C$2:C1202)</f>
        <v>469</v>
      </c>
      <c r="B1202" s="97" t="s">
        <v>2469</v>
      </c>
      <c r="C1202" s="97" t="s">
        <v>31</v>
      </c>
      <c r="D1202" s="97" t="s">
        <v>32</v>
      </c>
      <c r="E1202" s="97" t="s">
        <v>33</v>
      </c>
      <c r="F1202" s="40" t="s">
        <v>356</v>
      </c>
      <c r="G1202" s="102" t="s">
        <v>34</v>
      </c>
      <c r="H1202" s="111" t="s">
        <v>2555</v>
      </c>
      <c r="I1202" s="104">
        <v>46173</v>
      </c>
      <c r="J1202" s="97">
        <f t="shared" ca="1" si="2413"/>
        <v>11</v>
      </c>
      <c r="K1202" s="97" t="str">
        <f t="shared" si="2414"/>
        <v>Pending</v>
      </c>
      <c r="L1202" s="40" t="s">
        <v>483</v>
      </c>
      <c r="M1202" s="97">
        <v>24000</v>
      </c>
      <c r="N1202" s="97">
        <v>22000</v>
      </c>
      <c r="O1202" s="104">
        <v>46175</v>
      </c>
      <c r="P1202" s="97">
        <f t="shared" si="2415"/>
        <v>2000</v>
      </c>
      <c r="Q1202" s="97" t="s">
        <v>33</v>
      </c>
      <c r="R1202" s="97" t="s">
        <v>37</v>
      </c>
      <c r="S1202" s="97">
        <v>26000</v>
      </c>
      <c r="T1202" s="64" t="s">
        <v>33</v>
      </c>
      <c r="U1202" s="65" t="s">
        <v>33</v>
      </c>
      <c r="V1202" s="97" t="s">
        <v>28</v>
      </c>
      <c r="W1202" s="97">
        <f t="shared" si="2416"/>
        <v>2000</v>
      </c>
      <c r="X1202" s="97" t="s">
        <v>36</v>
      </c>
      <c r="Y1202" s="97" t="s">
        <v>29</v>
      </c>
      <c r="Z1202" s="105">
        <f t="shared" si="2417"/>
        <v>8.3333333333333339</v>
      </c>
      <c r="AA1202" s="93"/>
    </row>
    <row r="1203" spans="1:27" s="101" customFormat="1" ht="16" hidden="1">
      <c r="A1203" s="97">
        <f>SUBTOTAL(3,C$2:C1203)</f>
        <v>469</v>
      </c>
      <c r="B1203" s="97" t="s">
        <v>2469</v>
      </c>
      <c r="C1203" s="97" t="s">
        <v>124</v>
      </c>
      <c r="D1203" s="97" t="s">
        <v>32</v>
      </c>
      <c r="E1203" s="97" t="s">
        <v>33</v>
      </c>
      <c r="F1203" s="40" t="s">
        <v>784</v>
      </c>
      <c r="G1203" s="102" t="s">
        <v>50</v>
      </c>
      <c r="H1203" s="111" t="s">
        <v>2556</v>
      </c>
      <c r="I1203" s="104">
        <v>46175</v>
      </c>
      <c r="J1203" s="97">
        <f t="shared" ca="1" si="2413"/>
        <v>9</v>
      </c>
      <c r="K1203" s="97" t="str">
        <f t="shared" si="2414"/>
        <v>Pending</v>
      </c>
      <c r="L1203" s="40" t="s">
        <v>1678</v>
      </c>
      <c r="M1203" s="97">
        <v>44000</v>
      </c>
      <c r="N1203" s="97">
        <v>40000</v>
      </c>
      <c r="O1203" s="104">
        <v>46175</v>
      </c>
      <c r="P1203" s="97">
        <f t="shared" si="2415"/>
        <v>4000</v>
      </c>
      <c r="Q1203" s="97" t="s">
        <v>33</v>
      </c>
      <c r="R1203" s="97" t="s">
        <v>52</v>
      </c>
      <c r="S1203" s="97">
        <v>48000</v>
      </c>
      <c r="T1203" s="64" t="s">
        <v>33</v>
      </c>
      <c r="U1203" s="65" t="s">
        <v>33</v>
      </c>
      <c r="V1203" s="97" t="s">
        <v>28</v>
      </c>
      <c r="W1203" s="97">
        <f t="shared" si="2416"/>
        <v>4000</v>
      </c>
      <c r="X1203" s="97" t="s">
        <v>36</v>
      </c>
      <c r="Y1203" s="97" t="s">
        <v>29</v>
      </c>
      <c r="Z1203" s="105">
        <f t="shared" si="2417"/>
        <v>9.0909090909090917</v>
      </c>
      <c r="AA1203" s="93"/>
    </row>
    <row r="1204" spans="1:27" s="101" customFormat="1" ht="16" hidden="1">
      <c r="A1204" s="97">
        <f>SUBTOTAL(3,C$2:C1204)</f>
        <v>469</v>
      </c>
      <c r="B1204" s="97" t="s">
        <v>2469</v>
      </c>
      <c r="C1204" s="97" t="s">
        <v>44</v>
      </c>
      <c r="D1204" s="97" t="s">
        <v>32</v>
      </c>
      <c r="E1204" s="97" t="s">
        <v>33</v>
      </c>
      <c r="F1204" s="40" t="s">
        <v>2530</v>
      </c>
      <c r="G1204" s="102" t="s">
        <v>994</v>
      </c>
      <c r="H1204" s="111" t="s">
        <v>2557</v>
      </c>
      <c r="I1204" s="104">
        <v>46175</v>
      </c>
      <c r="J1204" s="97">
        <f t="shared" ref="J1204:J1205" ca="1" si="2418">+TODAY()-I1204</f>
        <v>9</v>
      </c>
      <c r="K1204" s="97" t="str">
        <f t="shared" ref="K1204:K1205" si="2419">+U1204</f>
        <v>Pending</v>
      </c>
      <c r="L1204" s="40" t="s">
        <v>1411</v>
      </c>
      <c r="M1204" s="97">
        <v>40000</v>
      </c>
      <c r="N1204" s="97">
        <v>36000</v>
      </c>
      <c r="O1204" s="104">
        <v>46175</v>
      </c>
      <c r="P1204" s="97">
        <f t="shared" ref="P1204:P1205" si="2420">+M1204-N1204</f>
        <v>4000</v>
      </c>
      <c r="Q1204" s="97" t="s">
        <v>33</v>
      </c>
      <c r="R1204" s="97" t="s">
        <v>174</v>
      </c>
      <c r="S1204" s="97">
        <v>44000</v>
      </c>
      <c r="T1204" s="64" t="s">
        <v>33</v>
      </c>
      <c r="U1204" s="65" t="s">
        <v>33</v>
      </c>
      <c r="V1204" s="97" t="s">
        <v>28</v>
      </c>
      <c r="W1204" s="97">
        <f t="shared" ref="W1204:W1205" si="2421">+S1204-M1204</f>
        <v>4000</v>
      </c>
      <c r="X1204" s="97" t="s">
        <v>36</v>
      </c>
      <c r="Y1204" s="97" t="s">
        <v>29</v>
      </c>
      <c r="Z1204" s="105">
        <f t="shared" ref="Z1204:Z1205" si="2422">+W1204*100/M1204</f>
        <v>10</v>
      </c>
      <c r="AA1204" s="93"/>
    </row>
    <row r="1205" spans="1:27" s="101" customFormat="1" ht="16" hidden="1">
      <c r="A1205" s="97">
        <f>SUBTOTAL(3,C$2:C1205)</f>
        <v>469</v>
      </c>
      <c r="B1205" s="97" t="s">
        <v>2469</v>
      </c>
      <c r="C1205" s="97" t="s">
        <v>31</v>
      </c>
      <c r="D1205" s="97" t="s">
        <v>32</v>
      </c>
      <c r="E1205" s="97" t="s">
        <v>33</v>
      </c>
      <c r="F1205" s="40" t="s">
        <v>201</v>
      </c>
      <c r="G1205" s="102">
        <v>407</v>
      </c>
      <c r="H1205" s="111" t="s">
        <v>2558</v>
      </c>
      <c r="I1205" s="104">
        <v>46175</v>
      </c>
      <c r="J1205" s="97">
        <f t="shared" ca="1" si="2418"/>
        <v>9</v>
      </c>
      <c r="K1205" s="97" t="str">
        <f t="shared" si="2419"/>
        <v>Pending</v>
      </c>
      <c r="L1205" s="40" t="s">
        <v>687</v>
      </c>
      <c r="M1205" s="97">
        <v>28000</v>
      </c>
      <c r="N1205" s="97">
        <v>26000</v>
      </c>
      <c r="O1205" s="104">
        <v>46175</v>
      </c>
      <c r="P1205" s="97">
        <f t="shared" si="2420"/>
        <v>2000</v>
      </c>
      <c r="Q1205" s="97" t="s">
        <v>33</v>
      </c>
      <c r="R1205" s="97" t="s">
        <v>37</v>
      </c>
      <c r="S1205" s="97">
        <v>33000</v>
      </c>
      <c r="T1205" s="64" t="s">
        <v>33</v>
      </c>
      <c r="U1205" s="65" t="s">
        <v>33</v>
      </c>
      <c r="V1205" s="97" t="s">
        <v>28</v>
      </c>
      <c r="W1205" s="97">
        <f t="shared" si="2421"/>
        <v>5000</v>
      </c>
      <c r="X1205" s="97" t="s">
        <v>36</v>
      </c>
      <c r="Y1205" s="97" t="s">
        <v>29</v>
      </c>
      <c r="Z1205" s="105">
        <f t="shared" si="2422"/>
        <v>17.857142857142858</v>
      </c>
      <c r="AA1205" s="93"/>
    </row>
    <row r="1206" spans="1:27" s="101" customFormat="1" ht="16" hidden="1">
      <c r="A1206" s="97">
        <f>SUBTOTAL(3,C$2:C1206)</f>
        <v>469</v>
      </c>
      <c r="B1206" s="97" t="s">
        <v>2469</v>
      </c>
      <c r="C1206" s="97" t="s">
        <v>31</v>
      </c>
      <c r="D1206" s="97" t="s">
        <v>32</v>
      </c>
      <c r="E1206" s="97" t="s">
        <v>33</v>
      </c>
      <c r="F1206" s="40" t="s">
        <v>2531</v>
      </c>
      <c r="G1206" s="102" t="s">
        <v>34</v>
      </c>
      <c r="H1206" s="111" t="s">
        <v>2559</v>
      </c>
      <c r="I1206" s="104">
        <v>46175</v>
      </c>
      <c r="J1206" s="97">
        <f t="shared" ref="J1206:J1207" ca="1" si="2423">+TODAY()-I1206</f>
        <v>9</v>
      </c>
      <c r="K1206" s="97" t="str">
        <f t="shared" ref="K1206:K1207" si="2424">+U1206</f>
        <v>Pending</v>
      </c>
      <c r="L1206" s="40" t="s">
        <v>2521</v>
      </c>
      <c r="M1206" s="97">
        <v>28500</v>
      </c>
      <c r="N1206" s="97">
        <v>26500</v>
      </c>
      <c r="O1206" s="104">
        <v>46175</v>
      </c>
      <c r="P1206" s="97">
        <f t="shared" ref="P1206:P1207" si="2425">+M1206-N1206</f>
        <v>2000</v>
      </c>
      <c r="Q1206" s="97" t="s">
        <v>33</v>
      </c>
      <c r="R1206" s="97" t="s">
        <v>39</v>
      </c>
      <c r="S1206" s="97">
        <v>31500</v>
      </c>
      <c r="T1206" s="64" t="s">
        <v>33</v>
      </c>
      <c r="U1206" s="65" t="s">
        <v>33</v>
      </c>
      <c r="V1206" s="97" t="s">
        <v>28</v>
      </c>
      <c r="W1206" s="97">
        <f t="shared" ref="W1206:W1207" si="2426">+S1206-M1206</f>
        <v>3000</v>
      </c>
      <c r="X1206" s="97" t="s">
        <v>36</v>
      </c>
      <c r="Y1206" s="97" t="s">
        <v>29</v>
      </c>
      <c r="Z1206" s="105">
        <f t="shared" ref="Z1206:Z1207" si="2427">+W1206*100/M1206</f>
        <v>10.526315789473685</v>
      </c>
      <c r="AA1206" s="93"/>
    </row>
    <row r="1207" spans="1:27" s="101" customFormat="1" ht="16" hidden="1">
      <c r="A1207" s="97">
        <f>SUBTOTAL(3,C$2:C1207)</f>
        <v>469</v>
      </c>
      <c r="B1207" s="97" t="s">
        <v>2469</v>
      </c>
      <c r="C1207" s="97" t="s">
        <v>80</v>
      </c>
      <c r="D1207" s="97" t="s">
        <v>32</v>
      </c>
      <c r="E1207" s="97" t="s">
        <v>33</v>
      </c>
      <c r="F1207" s="40" t="s">
        <v>2532</v>
      </c>
      <c r="G1207" s="102">
        <v>407</v>
      </c>
      <c r="H1207" s="111" t="s">
        <v>2560</v>
      </c>
      <c r="I1207" s="104">
        <v>46175</v>
      </c>
      <c r="J1207" s="97">
        <f t="shared" ca="1" si="2423"/>
        <v>9</v>
      </c>
      <c r="K1207" s="97" t="str">
        <f t="shared" si="2424"/>
        <v>Pending</v>
      </c>
      <c r="L1207" s="40" t="s">
        <v>2533</v>
      </c>
      <c r="M1207" s="97">
        <v>29500</v>
      </c>
      <c r="N1207" s="97">
        <v>26500</v>
      </c>
      <c r="O1207" s="104">
        <v>46175</v>
      </c>
      <c r="P1207" s="97">
        <f t="shared" si="2425"/>
        <v>3000</v>
      </c>
      <c r="Q1207" s="97" t="s">
        <v>33</v>
      </c>
      <c r="R1207" s="97" t="s">
        <v>52</v>
      </c>
      <c r="S1207" s="97">
        <v>32500</v>
      </c>
      <c r="T1207" s="64" t="s">
        <v>33</v>
      </c>
      <c r="U1207" s="65" t="s">
        <v>33</v>
      </c>
      <c r="V1207" s="97" t="s">
        <v>28</v>
      </c>
      <c r="W1207" s="97">
        <f t="shared" si="2426"/>
        <v>3000</v>
      </c>
      <c r="X1207" s="97" t="s">
        <v>36</v>
      </c>
      <c r="Y1207" s="97" t="s">
        <v>29</v>
      </c>
      <c r="Z1207" s="105">
        <f t="shared" si="2427"/>
        <v>10.169491525423728</v>
      </c>
      <c r="AA1207" s="93"/>
    </row>
    <row r="1208" spans="1:27" s="101" customFormat="1" ht="16" hidden="1">
      <c r="A1208" s="97">
        <f>SUBTOTAL(3,C$2:C1208)</f>
        <v>469</v>
      </c>
      <c r="B1208" s="97" t="s">
        <v>2469</v>
      </c>
      <c r="C1208" s="97" t="s">
        <v>31</v>
      </c>
      <c r="D1208" s="97" t="s">
        <v>32</v>
      </c>
      <c r="E1208" s="97" t="s">
        <v>33</v>
      </c>
      <c r="F1208" s="40" t="s">
        <v>201</v>
      </c>
      <c r="G1208" s="102" t="s">
        <v>34</v>
      </c>
      <c r="H1208" s="111">
        <v>18280</v>
      </c>
      <c r="I1208" s="104">
        <v>46173</v>
      </c>
      <c r="J1208" s="97">
        <f t="shared" ref="J1208:J1210" ca="1" si="2428">+TODAY()-I1208</f>
        <v>11</v>
      </c>
      <c r="K1208" s="97" t="str">
        <f t="shared" ref="K1208:K1210" si="2429">+U1208</f>
        <v>Pending</v>
      </c>
      <c r="L1208" s="40" t="s">
        <v>397</v>
      </c>
      <c r="M1208" s="97">
        <v>14000</v>
      </c>
      <c r="N1208" s="97">
        <v>14000</v>
      </c>
      <c r="O1208" s="104">
        <v>46175</v>
      </c>
      <c r="P1208" s="97">
        <f t="shared" ref="P1208:P1210" si="2430">+M1208-N1208</f>
        <v>0</v>
      </c>
      <c r="Q1208" s="97" t="s">
        <v>33</v>
      </c>
      <c r="R1208" s="97" t="s">
        <v>112</v>
      </c>
      <c r="S1208" s="97">
        <v>16000</v>
      </c>
      <c r="T1208" s="64" t="s">
        <v>33</v>
      </c>
      <c r="U1208" s="65" t="s">
        <v>33</v>
      </c>
      <c r="V1208" s="97" t="s">
        <v>28</v>
      </c>
      <c r="W1208" s="97">
        <f t="shared" ref="W1208:W1210" si="2431">+S1208-M1208</f>
        <v>2000</v>
      </c>
      <c r="X1208" s="97" t="s">
        <v>36</v>
      </c>
      <c r="Y1208" s="97" t="s">
        <v>29</v>
      </c>
      <c r="Z1208" s="105">
        <f t="shared" ref="Z1208:Z1210" si="2432">+W1208*100/M1208</f>
        <v>14.285714285714286</v>
      </c>
      <c r="AA1208" s="93"/>
    </row>
    <row r="1209" spans="1:27" s="107" customFormat="1" ht="16" hidden="1">
      <c r="A1209" s="106">
        <f>SUBTOTAL(3,C$2:C1209)</f>
        <v>469</v>
      </c>
      <c r="B1209" s="106" t="s">
        <v>2469</v>
      </c>
      <c r="C1209" s="106" t="s">
        <v>48</v>
      </c>
      <c r="D1209" s="106" t="s">
        <v>32</v>
      </c>
      <c r="E1209" s="106" t="s">
        <v>33</v>
      </c>
      <c r="F1209" s="53" t="s">
        <v>49</v>
      </c>
      <c r="G1209" s="108" t="s">
        <v>50</v>
      </c>
      <c r="H1209" s="112" t="s">
        <v>2561</v>
      </c>
      <c r="I1209" s="109">
        <v>46175</v>
      </c>
      <c r="J1209" s="106">
        <f t="shared" ca="1" si="2428"/>
        <v>9</v>
      </c>
      <c r="K1209" s="106" t="str">
        <f t="shared" si="2429"/>
        <v>Pending</v>
      </c>
      <c r="L1209" s="53" t="s">
        <v>1698</v>
      </c>
      <c r="M1209" s="106">
        <v>44000</v>
      </c>
      <c r="N1209" s="106">
        <v>40000</v>
      </c>
      <c r="O1209" s="109">
        <v>46175</v>
      </c>
      <c r="P1209" s="106">
        <f t="shared" si="2430"/>
        <v>4000</v>
      </c>
      <c r="Q1209" s="106" t="s">
        <v>33</v>
      </c>
      <c r="R1209" s="106" t="s">
        <v>37</v>
      </c>
      <c r="S1209" s="106">
        <v>48000</v>
      </c>
      <c r="T1209" s="64" t="s">
        <v>33</v>
      </c>
      <c r="U1209" s="65" t="s">
        <v>33</v>
      </c>
      <c r="V1209" s="106" t="s">
        <v>28</v>
      </c>
      <c r="W1209" s="106">
        <f t="shared" si="2431"/>
        <v>4000</v>
      </c>
      <c r="X1209" s="106" t="s">
        <v>36</v>
      </c>
      <c r="Y1209" s="106" t="s">
        <v>29</v>
      </c>
      <c r="Z1209" s="110">
        <f t="shared" si="2432"/>
        <v>9.0909090909090917</v>
      </c>
      <c r="AA1209" s="113"/>
    </row>
    <row r="1210" spans="1:27" s="101" customFormat="1" ht="16" hidden="1">
      <c r="A1210" s="97">
        <f>SUBTOTAL(3,C$2:C1210)</f>
        <v>469</v>
      </c>
      <c r="B1210" s="97" t="s">
        <v>2469</v>
      </c>
      <c r="C1210" s="97" t="s">
        <v>44</v>
      </c>
      <c r="D1210" s="97" t="s">
        <v>32</v>
      </c>
      <c r="E1210" s="97" t="s">
        <v>33</v>
      </c>
      <c r="F1210" s="52" t="s">
        <v>414</v>
      </c>
      <c r="G1210" s="102">
        <v>407</v>
      </c>
      <c r="H1210" s="111" t="s">
        <v>2569</v>
      </c>
      <c r="I1210" s="104">
        <v>46172</v>
      </c>
      <c r="J1210" s="97">
        <f t="shared" ca="1" si="2428"/>
        <v>12</v>
      </c>
      <c r="K1210" s="97" t="str">
        <f t="shared" si="2429"/>
        <v>Pending</v>
      </c>
      <c r="L1210" s="114" t="s">
        <v>131</v>
      </c>
      <c r="M1210" s="97">
        <v>28000</v>
      </c>
      <c r="N1210" s="97">
        <v>26000</v>
      </c>
      <c r="O1210" s="104">
        <v>46176</v>
      </c>
      <c r="P1210" s="97">
        <f t="shared" si="2430"/>
        <v>2000</v>
      </c>
      <c r="Q1210" s="97" t="s">
        <v>33</v>
      </c>
      <c r="R1210" s="97" t="s">
        <v>78</v>
      </c>
      <c r="S1210" s="97">
        <v>29800</v>
      </c>
      <c r="T1210" s="64" t="s">
        <v>33</v>
      </c>
      <c r="U1210" s="65" t="s">
        <v>33</v>
      </c>
      <c r="V1210" s="97" t="s">
        <v>28</v>
      </c>
      <c r="W1210" s="97">
        <f t="shared" si="2431"/>
        <v>1800</v>
      </c>
      <c r="X1210" s="97" t="s">
        <v>36</v>
      </c>
      <c r="Y1210" s="97" t="s">
        <v>29</v>
      </c>
      <c r="Z1210" s="105">
        <f t="shared" si="2432"/>
        <v>6.4285714285714288</v>
      </c>
      <c r="AA1210" s="93"/>
    </row>
    <row r="1211" spans="1:27" s="101" customFormat="1" ht="16" hidden="1">
      <c r="A1211" s="97">
        <f>SUBTOTAL(3,C$2:C1211)</f>
        <v>469</v>
      </c>
      <c r="B1211" s="97" t="s">
        <v>2469</v>
      </c>
      <c r="C1211" s="97" t="s">
        <v>44</v>
      </c>
      <c r="D1211" s="97" t="s">
        <v>32</v>
      </c>
      <c r="E1211" s="97" t="s">
        <v>33</v>
      </c>
      <c r="F1211" s="52" t="s">
        <v>2570</v>
      </c>
      <c r="G1211" s="102">
        <v>407</v>
      </c>
      <c r="H1211" s="111" t="s">
        <v>2571</v>
      </c>
      <c r="I1211" s="104">
        <v>46173</v>
      </c>
      <c r="J1211" s="97">
        <f t="shared" ref="J1211" ca="1" si="2433">+TODAY()-I1211</f>
        <v>11</v>
      </c>
      <c r="K1211" s="97" t="str">
        <f t="shared" ref="K1211" si="2434">+U1211</f>
        <v>Pending</v>
      </c>
      <c r="L1211" s="114" t="s">
        <v>131</v>
      </c>
      <c r="M1211" s="97">
        <v>28000</v>
      </c>
      <c r="N1211" s="97">
        <v>26000</v>
      </c>
      <c r="O1211" s="104">
        <v>46176</v>
      </c>
      <c r="P1211" s="97">
        <f t="shared" ref="P1211" si="2435">+M1211-N1211</f>
        <v>2000</v>
      </c>
      <c r="Q1211" s="97" t="s">
        <v>33</v>
      </c>
      <c r="R1211" s="97" t="s">
        <v>78</v>
      </c>
      <c r="S1211" s="97">
        <v>29800</v>
      </c>
      <c r="T1211" s="64" t="s">
        <v>33</v>
      </c>
      <c r="U1211" s="65" t="s">
        <v>33</v>
      </c>
      <c r="V1211" s="97" t="s">
        <v>28</v>
      </c>
      <c r="W1211" s="97">
        <f t="shared" ref="W1211" si="2436">+S1211-M1211</f>
        <v>1800</v>
      </c>
      <c r="X1211" s="97" t="s">
        <v>36</v>
      </c>
      <c r="Y1211" s="97" t="s">
        <v>29</v>
      </c>
      <c r="Z1211" s="105">
        <f t="shared" ref="Z1211" si="2437">+W1211*100/M1211</f>
        <v>6.4285714285714288</v>
      </c>
      <c r="AA1211" s="93"/>
    </row>
    <row r="1212" spans="1:27" s="101" customFormat="1" ht="16" hidden="1">
      <c r="A1212" s="97">
        <f>SUBTOTAL(3,C$2:C1212)</f>
        <v>469</v>
      </c>
      <c r="B1212" s="97" t="s">
        <v>2469</v>
      </c>
      <c r="C1212" s="97" t="s">
        <v>44</v>
      </c>
      <c r="D1212" s="97" t="s">
        <v>32</v>
      </c>
      <c r="E1212" s="97" t="s">
        <v>33</v>
      </c>
      <c r="F1212" s="52" t="s">
        <v>2572</v>
      </c>
      <c r="G1212" s="102">
        <v>407</v>
      </c>
      <c r="H1212" s="111" t="s">
        <v>2573</v>
      </c>
      <c r="I1212" s="104">
        <v>46175</v>
      </c>
      <c r="J1212" s="97">
        <f t="shared" ref="J1212" ca="1" si="2438">+TODAY()-I1212</f>
        <v>9</v>
      </c>
      <c r="K1212" s="97" t="str">
        <f t="shared" ref="K1212" si="2439">+U1212</f>
        <v>Pending</v>
      </c>
      <c r="L1212" s="114" t="s">
        <v>131</v>
      </c>
      <c r="M1212" s="97">
        <v>28000</v>
      </c>
      <c r="N1212" s="97">
        <v>26000</v>
      </c>
      <c r="O1212" s="104">
        <v>46176</v>
      </c>
      <c r="P1212" s="97">
        <f t="shared" ref="P1212" si="2440">+M1212-N1212</f>
        <v>2000</v>
      </c>
      <c r="Q1212" s="97" t="s">
        <v>33</v>
      </c>
      <c r="R1212" s="97" t="s">
        <v>78</v>
      </c>
      <c r="S1212" s="97">
        <v>31141</v>
      </c>
      <c r="T1212" s="64" t="s">
        <v>33</v>
      </c>
      <c r="U1212" s="65" t="s">
        <v>33</v>
      </c>
      <c r="V1212" s="97" t="s">
        <v>28</v>
      </c>
      <c r="W1212" s="97">
        <f t="shared" ref="W1212" si="2441">+S1212-M1212</f>
        <v>3141</v>
      </c>
      <c r="X1212" s="97" t="s">
        <v>36</v>
      </c>
      <c r="Y1212" s="97" t="s">
        <v>29</v>
      </c>
      <c r="Z1212" s="105">
        <f t="shared" ref="Z1212" si="2442">+W1212*100/M1212</f>
        <v>11.217857142857143</v>
      </c>
      <c r="AA1212" s="93"/>
    </row>
    <row r="1213" spans="1:27" s="101" customFormat="1" ht="16" hidden="1">
      <c r="A1213" s="97">
        <f>SUBTOTAL(3,C$2:C1213)</f>
        <v>469</v>
      </c>
      <c r="B1213" s="97" t="s">
        <v>2469</v>
      </c>
      <c r="C1213" s="97" t="s">
        <v>44</v>
      </c>
      <c r="D1213" s="97" t="s">
        <v>32</v>
      </c>
      <c r="E1213" s="97" t="s">
        <v>33</v>
      </c>
      <c r="F1213" s="52" t="s">
        <v>380</v>
      </c>
      <c r="G1213" s="102">
        <v>407</v>
      </c>
      <c r="H1213" s="111" t="s">
        <v>2574</v>
      </c>
      <c r="I1213" s="104">
        <v>46175</v>
      </c>
      <c r="J1213" s="97">
        <f t="shared" ref="J1213:J1215" ca="1" si="2443">+TODAY()-I1213</f>
        <v>9</v>
      </c>
      <c r="K1213" s="97" t="str">
        <f t="shared" ref="K1213:K1215" si="2444">+U1213</f>
        <v>Pending</v>
      </c>
      <c r="L1213" s="114" t="s">
        <v>131</v>
      </c>
      <c r="M1213" s="97">
        <v>28000</v>
      </c>
      <c r="N1213" s="97">
        <v>26000</v>
      </c>
      <c r="O1213" s="104">
        <v>46176</v>
      </c>
      <c r="P1213" s="97">
        <f t="shared" ref="P1213:P1215" si="2445">+M1213-N1213</f>
        <v>2000</v>
      </c>
      <c r="Q1213" s="97" t="s">
        <v>33</v>
      </c>
      <c r="R1213" s="97" t="s">
        <v>78</v>
      </c>
      <c r="S1213" s="97">
        <v>31141</v>
      </c>
      <c r="T1213" s="64" t="s">
        <v>33</v>
      </c>
      <c r="U1213" s="65" t="s">
        <v>33</v>
      </c>
      <c r="V1213" s="97" t="s">
        <v>28</v>
      </c>
      <c r="W1213" s="97">
        <f t="shared" ref="W1213:W1215" si="2446">+S1213-M1213</f>
        <v>3141</v>
      </c>
      <c r="X1213" s="97" t="s">
        <v>36</v>
      </c>
      <c r="Y1213" s="97" t="s">
        <v>29</v>
      </c>
      <c r="Z1213" s="105">
        <f t="shared" ref="Z1213:Z1215" si="2447">+W1213*100/M1213</f>
        <v>11.217857142857143</v>
      </c>
      <c r="AA1213" s="93"/>
    </row>
    <row r="1214" spans="1:27" s="101" customFormat="1" ht="16" hidden="1">
      <c r="A1214" s="97">
        <f>SUBTOTAL(3,C$2:C1214)</f>
        <v>469</v>
      </c>
      <c r="B1214" s="97" t="s">
        <v>2469</v>
      </c>
      <c r="C1214" s="97" t="s">
        <v>80</v>
      </c>
      <c r="D1214" s="97" t="s">
        <v>32</v>
      </c>
      <c r="E1214" s="97" t="s">
        <v>33</v>
      </c>
      <c r="F1214" s="52" t="s">
        <v>1883</v>
      </c>
      <c r="G1214" s="102">
        <v>407</v>
      </c>
      <c r="H1214" s="111" t="s">
        <v>2575</v>
      </c>
      <c r="I1214" s="104">
        <v>46175</v>
      </c>
      <c r="J1214" s="97">
        <f t="shared" ca="1" si="2443"/>
        <v>9</v>
      </c>
      <c r="K1214" s="97" t="str">
        <f t="shared" si="2444"/>
        <v>Pending</v>
      </c>
      <c r="L1214" s="40" t="s">
        <v>2533</v>
      </c>
      <c r="M1214" s="97">
        <v>30000</v>
      </c>
      <c r="N1214" s="97">
        <v>27000</v>
      </c>
      <c r="O1214" s="104">
        <v>46176</v>
      </c>
      <c r="P1214" s="97">
        <f t="shared" si="2445"/>
        <v>3000</v>
      </c>
      <c r="Q1214" s="97" t="s">
        <v>33</v>
      </c>
      <c r="R1214" s="97" t="s">
        <v>52</v>
      </c>
      <c r="S1214" s="97">
        <v>32500</v>
      </c>
      <c r="T1214" s="64" t="s">
        <v>33</v>
      </c>
      <c r="U1214" s="65" t="s">
        <v>33</v>
      </c>
      <c r="V1214" s="97" t="s">
        <v>28</v>
      </c>
      <c r="W1214" s="97">
        <f t="shared" si="2446"/>
        <v>2500</v>
      </c>
      <c r="X1214" s="97" t="s">
        <v>36</v>
      </c>
      <c r="Y1214" s="97" t="s">
        <v>29</v>
      </c>
      <c r="Z1214" s="105">
        <f t="shared" si="2447"/>
        <v>8.3333333333333339</v>
      </c>
      <c r="AA1214" s="93"/>
    </row>
    <row r="1215" spans="1:27" s="101" customFormat="1" ht="16" hidden="1">
      <c r="A1215" s="97">
        <f>SUBTOTAL(3,C$2:C1215)</f>
        <v>469</v>
      </c>
      <c r="B1215" s="97" t="s">
        <v>2469</v>
      </c>
      <c r="C1215" s="97" t="s">
        <v>31</v>
      </c>
      <c r="D1215" s="97" t="s">
        <v>32</v>
      </c>
      <c r="E1215" s="97" t="s">
        <v>33</v>
      </c>
      <c r="F1215" s="40" t="s">
        <v>2576</v>
      </c>
      <c r="G1215" s="102" t="s">
        <v>34</v>
      </c>
      <c r="H1215" s="111" t="s">
        <v>2577</v>
      </c>
      <c r="I1215" s="104">
        <v>46175</v>
      </c>
      <c r="J1215" s="97">
        <f t="shared" ca="1" si="2443"/>
        <v>9</v>
      </c>
      <c r="K1215" s="97" t="str">
        <f t="shared" si="2444"/>
        <v>Pending</v>
      </c>
      <c r="L1215" s="114" t="s">
        <v>2501</v>
      </c>
      <c r="M1215" s="97">
        <v>28500</v>
      </c>
      <c r="N1215" s="97">
        <v>26500</v>
      </c>
      <c r="O1215" s="104">
        <v>46176</v>
      </c>
      <c r="P1215" s="97">
        <f t="shared" si="2445"/>
        <v>2000</v>
      </c>
      <c r="Q1215" s="97" t="s">
        <v>33</v>
      </c>
      <c r="R1215" s="97" t="s">
        <v>52</v>
      </c>
      <c r="S1215" s="97">
        <v>31500</v>
      </c>
      <c r="T1215" s="64" t="s">
        <v>33</v>
      </c>
      <c r="U1215" s="65" t="s">
        <v>33</v>
      </c>
      <c r="V1215" s="97" t="s">
        <v>28</v>
      </c>
      <c r="W1215" s="97">
        <f t="shared" si="2446"/>
        <v>3000</v>
      </c>
      <c r="X1215" s="97" t="s">
        <v>36</v>
      </c>
      <c r="Y1215" s="97" t="s">
        <v>29</v>
      </c>
      <c r="Z1215" s="105">
        <f t="shared" si="2447"/>
        <v>10.526315789473685</v>
      </c>
      <c r="AA1215" s="93"/>
    </row>
    <row r="1216" spans="1:27" s="101" customFormat="1" ht="16" hidden="1">
      <c r="A1216" s="97">
        <f>SUBTOTAL(3,C$2:C1216)</f>
        <v>469</v>
      </c>
      <c r="B1216" s="97" t="s">
        <v>2469</v>
      </c>
      <c r="C1216" s="97" t="s">
        <v>44</v>
      </c>
      <c r="D1216" s="97" t="s">
        <v>32</v>
      </c>
      <c r="E1216" s="97" t="s">
        <v>33</v>
      </c>
      <c r="F1216" s="40" t="s">
        <v>1578</v>
      </c>
      <c r="G1216" s="102" t="s">
        <v>1215</v>
      </c>
      <c r="H1216" s="111" t="s">
        <v>2578</v>
      </c>
      <c r="I1216" s="104">
        <v>46175</v>
      </c>
      <c r="J1216" s="97">
        <f t="shared" ref="J1216:J1218" ca="1" si="2448">+TODAY()-I1216</f>
        <v>9</v>
      </c>
      <c r="K1216" s="97" t="str">
        <f t="shared" ref="K1216:K1218" si="2449">+U1216</f>
        <v>Pending</v>
      </c>
      <c r="L1216" s="114" t="s">
        <v>2501</v>
      </c>
      <c r="M1216" s="97">
        <v>28500</v>
      </c>
      <c r="N1216" s="97">
        <v>26500</v>
      </c>
      <c r="O1216" s="104">
        <v>46176</v>
      </c>
      <c r="P1216" s="97">
        <f t="shared" ref="P1216:P1218" si="2450">+M1216-N1216</f>
        <v>2000</v>
      </c>
      <c r="Q1216" s="97" t="s">
        <v>33</v>
      </c>
      <c r="R1216" s="97" t="s">
        <v>52</v>
      </c>
      <c r="S1216" s="97">
        <v>31500</v>
      </c>
      <c r="T1216" s="64" t="s">
        <v>33</v>
      </c>
      <c r="U1216" s="65" t="s">
        <v>33</v>
      </c>
      <c r="V1216" s="97" t="s">
        <v>28</v>
      </c>
      <c r="W1216" s="97">
        <f t="shared" ref="W1216:W1218" si="2451">+S1216-M1216</f>
        <v>3000</v>
      </c>
      <c r="X1216" s="97" t="s">
        <v>36</v>
      </c>
      <c r="Y1216" s="97" t="s">
        <v>29</v>
      </c>
      <c r="Z1216" s="105">
        <f t="shared" ref="Z1216:Z1218" si="2452">+W1216*100/M1216</f>
        <v>10.526315789473685</v>
      </c>
      <c r="AA1216" s="93"/>
    </row>
    <row r="1217" spans="1:27" s="101" customFormat="1" ht="16" hidden="1">
      <c r="A1217" s="97">
        <f>SUBTOTAL(3,C$2:C1217)</f>
        <v>469</v>
      </c>
      <c r="B1217" s="97" t="s">
        <v>2469</v>
      </c>
      <c r="C1217" s="97" t="s">
        <v>1031</v>
      </c>
      <c r="D1217" s="97" t="s">
        <v>32</v>
      </c>
      <c r="E1217" s="97" t="s">
        <v>33</v>
      </c>
      <c r="F1217" s="40" t="s">
        <v>782</v>
      </c>
      <c r="G1217" s="102" t="s">
        <v>34</v>
      </c>
      <c r="H1217" s="111" t="s">
        <v>2583</v>
      </c>
      <c r="I1217" s="104">
        <v>46175</v>
      </c>
      <c r="J1217" s="97">
        <f t="shared" ca="1" si="2448"/>
        <v>9</v>
      </c>
      <c r="K1217" s="97" t="str">
        <f t="shared" si="2449"/>
        <v>Pending</v>
      </c>
      <c r="L1217" s="40" t="s">
        <v>783</v>
      </c>
      <c r="M1217" s="97">
        <v>18000</v>
      </c>
      <c r="N1217" s="97">
        <v>16000</v>
      </c>
      <c r="O1217" s="104">
        <v>46176</v>
      </c>
      <c r="P1217" s="97">
        <f t="shared" si="2450"/>
        <v>2000</v>
      </c>
      <c r="Q1217" s="97" t="s">
        <v>33</v>
      </c>
      <c r="R1217" s="97" t="s">
        <v>56</v>
      </c>
      <c r="S1217" s="97">
        <v>20500</v>
      </c>
      <c r="T1217" s="64" t="s">
        <v>33</v>
      </c>
      <c r="U1217" s="65" t="s">
        <v>33</v>
      </c>
      <c r="V1217" s="97" t="s">
        <v>28</v>
      </c>
      <c r="W1217" s="97">
        <f t="shared" si="2451"/>
        <v>2500</v>
      </c>
      <c r="X1217" s="97" t="s">
        <v>963</v>
      </c>
      <c r="Y1217" s="97" t="s">
        <v>29</v>
      </c>
      <c r="Z1217" s="105">
        <f t="shared" si="2452"/>
        <v>13.888888888888889</v>
      </c>
      <c r="AA1217" s="93"/>
    </row>
    <row r="1218" spans="1:27" s="101" customFormat="1" ht="16" hidden="1">
      <c r="A1218" s="97">
        <f>SUBTOTAL(3,C$2:C1218)</f>
        <v>469</v>
      </c>
      <c r="B1218" s="97" t="s">
        <v>2469</v>
      </c>
      <c r="C1218" s="97" t="s">
        <v>216</v>
      </c>
      <c r="D1218" s="97" t="s">
        <v>32</v>
      </c>
      <c r="E1218" s="97" t="s">
        <v>33</v>
      </c>
      <c r="F1218" s="40" t="s">
        <v>330</v>
      </c>
      <c r="G1218" s="102" t="s">
        <v>50</v>
      </c>
      <c r="H1218" s="111" t="s">
        <v>2584</v>
      </c>
      <c r="I1218" s="104">
        <v>46176</v>
      </c>
      <c r="J1218" s="97">
        <f t="shared" ca="1" si="2448"/>
        <v>8</v>
      </c>
      <c r="K1218" s="97" t="str">
        <f t="shared" si="2449"/>
        <v>Pending</v>
      </c>
      <c r="L1218" s="51" t="s">
        <v>586</v>
      </c>
      <c r="M1218" s="97">
        <v>44000</v>
      </c>
      <c r="N1218" s="97">
        <v>40000</v>
      </c>
      <c r="O1218" s="104">
        <v>46176</v>
      </c>
      <c r="P1218" s="97">
        <f t="shared" si="2450"/>
        <v>4000</v>
      </c>
      <c r="Q1218" s="97" t="s">
        <v>33</v>
      </c>
      <c r="R1218" s="97" t="s">
        <v>2141</v>
      </c>
      <c r="S1218" s="97">
        <v>48000</v>
      </c>
      <c r="T1218" s="64" t="s">
        <v>33</v>
      </c>
      <c r="U1218" s="65" t="s">
        <v>33</v>
      </c>
      <c r="V1218" s="97" t="s">
        <v>28</v>
      </c>
      <c r="W1218" s="97">
        <f t="shared" si="2451"/>
        <v>4000</v>
      </c>
      <c r="X1218" s="97" t="s">
        <v>36</v>
      </c>
      <c r="Y1218" s="97" t="s">
        <v>29</v>
      </c>
      <c r="Z1218" s="105">
        <f t="shared" si="2452"/>
        <v>9.0909090909090917</v>
      </c>
      <c r="AA1218" s="93"/>
    </row>
    <row r="1219" spans="1:27" s="101" customFormat="1" ht="16" hidden="1">
      <c r="A1219" s="97">
        <f>SUBTOTAL(3,C$2:C1219)</f>
        <v>469</v>
      </c>
      <c r="B1219" s="97" t="s">
        <v>2469</v>
      </c>
      <c r="C1219" s="97" t="s">
        <v>1031</v>
      </c>
      <c r="D1219" s="97" t="s">
        <v>32</v>
      </c>
      <c r="E1219" s="97" t="s">
        <v>33</v>
      </c>
      <c r="F1219" s="40" t="s">
        <v>205</v>
      </c>
      <c r="G1219" s="102" t="s">
        <v>34</v>
      </c>
      <c r="H1219" s="111" t="s">
        <v>2585</v>
      </c>
      <c r="I1219" s="104">
        <v>46176</v>
      </c>
      <c r="J1219" s="97">
        <f t="shared" ref="J1219:J1221" ca="1" si="2453">+TODAY()-I1219</f>
        <v>8</v>
      </c>
      <c r="K1219" s="97" t="str">
        <f t="shared" ref="K1219:K1221" si="2454">+U1219</f>
        <v>Pending</v>
      </c>
      <c r="L1219" s="40" t="s">
        <v>783</v>
      </c>
      <c r="M1219" s="97">
        <v>24000</v>
      </c>
      <c r="N1219" s="97">
        <v>22000</v>
      </c>
      <c r="O1219" s="104">
        <v>46176</v>
      </c>
      <c r="P1219" s="97">
        <f t="shared" ref="P1219:P1221" si="2455">+M1219-N1219</f>
        <v>2000</v>
      </c>
      <c r="Q1219" s="97" t="s">
        <v>33</v>
      </c>
      <c r="R1219" s="97" t="s">
        <v>37</v>
      </c>
      <c r="S1219" s="97">
        <v>26000</v>
      </c>
      <c r="T1219" s="64" t="s">
        <v>33</v>
      </c>
      <c r="U1219" s="65" t="s">
        <v>33</v>
      </c>
      <c r="V1219" s="97" t="s">
        <v>28</v>
      </c>
      <c r="W1219" s="97">
        <f t="shared" ref="W1219:W1221" si="2456">+S1219-M1219</f>
        <v>2000</v>
      </c>
      <c r="X1219" s="97" t="s">
        <v>963</v>
      </c>
      <c r="Y1219" s="97" t="s">
        <v>29</v>
      </c>
      <c r="Z1219" s="105">
        <f t="shared" ref="Z1219:Z1221" si="2457">+W1219*100/M1219</f>
        <v>8.3333333333333339</v>
      </c>
      <c r="AA1219" s="93"/>
    </row>
    <row r="1220" spans="1:27" s="101" customFormat="1" ht="16" hidden="1">
      <c r="A1220" s="97">
        <f>SUBTOTAL(3,C$2:C1220)</f>
        <v>469</v>
      </c>
      <c r="B1220" s="97" t="s">
        <v>2469</v>
      </c>
      <c r="C1220" s="97" t="s">
        <v>31</v>
      </c>
      <c r="D1220" s="97" t="s">
        <v>32</v>
      </c>
      <c r="E1220" s="97" t="s">
        <v>33</v>
      </c>
      <c r="F1220" s="40" t="s">
        <v>161</v>
      </c>
      <c r="G1220" s="102" t="s">
        <v>34</v>
      </c>
      <c r="H1220" s="111" t="s">
        <v>2586</v>
      </c>
      <c r="I1220" s="104">
        <v>46176</v>
      </c>
      <c r="J1220" s="97">
        <f t="shared" ca="1" si="2453"/>
        <v>8</v>
      </c>
      <c r="K1220" s="97" t="str">
        <f t="shared" si="2454"/>
        <v>Pending</v>
      </c>
      <c r="L1220" s="114" t="s">
        <v>1954</v>
      </c>
      <c r="M1220" s="97">
        <v>18300</v>
      </c>
      <c r="N1220" s="97">
        <v>16500</v>
      </c>
      <c r="O1220" s="104">
        <v>46176</v>
      </c>
      <c r="P1220" s="97">
        <f t="shared" si="2455"/>
        <v>1800</v>
      </c>
      <c r="Q1220" s="97" t="s">
        <v>33</v>
      </c>
      <c r="R1220" s="97" t="s">
        <v>37</v>
      </c>
      <c r="S1220" s="97">
        <v>21500</v>
      </c>
      <c r="T1220" s="64" t="s">
        <v>33</v>
      </c>
      <c r="U1220" s="65" t="s">
        <v>33</v>
      </c>
      <c r="V1220" s="97" t="s">
        <v>28</v>
      </c>
      <c r="W1220" s="97">
        <f t="shared" si="2456"/>
        <v>3200</v>
      </c>
      <c r="X1220" s="97" t="s">
        <v>36</v>
      </c>
      <c r="Y1220" s="97" t="s">
        <v>29</v>
      </c>
      <c r="Z1220" s="105">
        <f t="shared" si="2457"/>
        <v>17.486338797814209</v>
      </c>
      <c r="AA1220" s="93"/>
    </row>
    <row r="1221" spans="1:27" s="101" customFormat="1" ht="16" hidden="1">
      <c r="A1221" s="97">
        <f>SUBTOTAL(3,C$2:C1221)</f>
        <v>469</v>
      </c>
      <c r="B1221" s="97" t="s">
        <v>2469</v>
      </c>
      <c r="C1221" s="97" t="s">
        <v>80</v>
      </c>
      <c r="D1221" s="97" t="s">
        <v>32</v>
      </c>
      <c r="E1221" s="97" t="s">
        <v>33</v>
      </c>
      <c r="F1221" s="52" t="s">
        <v>2587</v>
      </c>
      <c r="G1221" s="102">
        <v>407</v>
      </c>
      <c r="H1221" s="111" t="s">
        <v>2588</v>
      </c>
      <c r="I1221" s="104">
        <v>46176</v>
      </c>
      <c r="J1221" s="97">
        <f t="shared" ca="1" si="2453"/>
        <v>8</v>
      </c>
      <c r="K1221" s="97" t="str">
        <f t="shared" si="2454"/>
        <v>Pending</v>
      </c>
      <c r="L1221" s="40" t="s">
        <v>2533</v>
      </c>
      <c r="M1221" s="97">
        <v>30000</v>
      </c>
      <c r="N1221" s="97">
        <v>27000</v>
      </c>
      <c r="O1221" s="104">
        <v>46176</v>
      </c>
      <c r="P1221" s="97">
        <f t="shared" si="2455"/>
        <v>3000</v>
      </c>
      <c r="Q1221" s="97" t="s">
        <v>33</v>
      </c>
      <c r="R1221" s="97" t="s">
        <v>52</v>
      </c>
      <c r="S1221" s="97">
        <v>32500</v>
      </c>
      <c r="T1221" s="64" t="s">
        <v>33</v>
      </c>
      <c r="U1221" s="65" t="s">
        <v>33</v>
      </c>
      <c r="V1221" s="97" t="s">
        <v>28</v>
      </c>
      <c r="W1221" s="97">
        <f t="shared" si="2456"/>
        <v>2500</v>
      </c>
      <c r="X1221" s="97" t="s">
        <v>36</v>
      </c>
      <c r="Y1221" s="97" t="s">
        <v>29</v>
      </c>
      <c r="Z1221" s="105">
        <f t="shared" si="2457"/>
        <v>8.3333333333333339</v>
      </c>
      <c r="AA1221" s="93"/>
    </row>
    <row r="1222" spans="1:27" s="101" customFormat="1" ht="16" hidden="1">
      <c r="A1222" s="97">
        <f>SUBTOTAL(3,C$2:C1222)</f>
        <v>469</v>
      </c>
      <c r="B1222" s="97" t="s">
        <v>2469</v>
      </c>
      <c r="C1222" s="97" t="s">
        <v>31</v>
      </c>
      <c r="D1222" s="97" t="s">
        <v>32</v>
      </c>
      <c r="E1222" s="97" t="s">
        <v>33</v>
      </c>
      <c r="F1222" s="40" t="s">
        <v>1416</v>
      </c>
      <c r="G1222" s="102" t="s">
        <v>34</v>
      </c>
      <c r="H1222" s="111" t="s">
        <v>2589</v>
      </c>
      <c r="I1222" s="104">
        <v>46176</v>
      </c>
      <c r="J1222" s="97">
        <f t="shared" ref="J1222" ca="1" si="2458">+TODAY()-I1222</f>
        <v>8</v>
      </c>
      <c r="K1222" s="97" t="str">
        <f t="shared" ref="K1222" si="2459">+U1222</f>
        <v>Pending</v>
      </c>
      <c r="L1222" s="114" t="s">
        <v>1954</v>
      </c>
      <c r="M1222" s="97">
        <v>18300</v>
      </c>
      <c r="N1222" s="97">
        <v>16500</v>
      </c>
      <c r="O1222" s="104">
        <v>46176</v>
      </c>
      <c r="P1222" s="97">
        <f t="shared" ref="P1222" si="2460">+M1222-N1222</f>
        <v>1800</v>
      </c>
      <c r="Q1222" s="97" t="s">
        <v>33</v>
      </c>
      <c r="R1222" s="97" t="s">
        <v>37</v>
      </c>
      <c r="S1222" s="97">
        <v>21500</v>
      </c>
      <c r="T1222" s="64" t="s">
        <v>33</v>
      </c>
      <c r="U1222" s="65" t="s">
        <v>33</v>
      </c>
      <c r="V1222" s="97" t="s">
        <v>28</v>
      </c>
      <c r="W1222" s="97">
        <f t="shared" ref="W1222" si="2461">+S1222-M1222</f>
        <v>3200</v>
      </c>
      <c r="X1222" s="97" t="s">
        <v>36</v>
      </c>
      <c r="Y1222" s="97" t="s">
        <v>29</v>
      </c>
      <c r="Z1222" s="105">
        <f t="shared" ref="Z1222" si="2462">+W1222*100/M1222</f>
        <v>17.486338797814209</v>
      </c>
      <c r="AA1222" s="93"/>
    </row>
    <row r="1223" spans="1:27" s="101" customFormat="1" ht="16" hidden="1">
      <c r="A1223" s="97">
        <f>SUBTOTAL(3,C$2:C1223)</f>
        <v>469</v>
      </c>
      <c r="B1223" s="97" t="s">
        <v>2469</v>
      </c>
      <c r="C1223" s="97" t="s">
        <v>80</v>
      </c>
      <c r="D1223" s="97" t="s">
        <v>32</v>
      </c>
      <c r="E1223" s="97" t="s">
        <v>33</v>
      </c>
      <c r="F1223" s="40" t="s">
        <v>81</v>
      </c>
      <c r="G1223" s="102" t="s">
        <v>2450</v>
      </c>
      <c r="H1223" s="111" t="s">
        <v>2590</v>
      </c>
      <c r="I1223" s="104">
        <v>46176</v>
      </c>
      <c r="J1223" s="97">
        <f t="shared" ref="J1223" ca="1" si="2463">+TODAY()-I1223</f>
        <v>8</v>
      </c>
      <c r="K1223" s="97" t="str">
        <f t="shared" ref="K1223" si="2464">+U1223</f>
        <v>Pending</v>
      </c>
      <c r="L1223" s="114" t="s">
        <v>1954</v>
      </c>
      <c r="M1223" s="97">
        <v>36000</v>
      </c>
      <c r="N1223" s="97">
        <v>32000</v>
      </c>
      <c r="O1223" s="104">
        <v>46176</v>
      </c>
      <c r="P1223" s="97">
        <f t="shared" ref="P1223" si="2465">+M1223-N1223</f>
        <v>4000</v>
      </c>
      <c r="Q1223" s="97" t="s">
        <v>33</v>
      </c>
      <c r="R1223" s="97" t="s">
        <v>39</v>
      </c>
      <c r="S1223" s="97">
        <v>38500</v>
      </c>
      <c r="T1223" s="64" t="s">
        <v>33</v>
      </c>
      <c r="U1223" s="65" t="s">
        <v>33</v>
      </c>
      <c r="V1223" s="97" t="s">
        <v>28</v>
      </c>
      <c r="W1223" s="97">
        <f t="shared" ref="W1223" si="2466">+S1223-M1223</f>
        <v>2500</v>
      </c>
      <c r="X1223" s="97" t="s">
        <v>36</v>
      </c>
      <c r="Y1223" s="97" t="s">
        <v>29</v>
      </c>
      <c r="Z1223" s="105">
        <f t="shared" ref="Z1223" si="2467">+W1223*100/M1223</f>
        <v>6.9444444444444446</v>
      </c>
      <c r="AA1223" s="93"/>
    </row>
    <row r="1224" spans="1:27" s="101" customFormat="1" ht="16.5" hidden="1" thickBot="1">
      <c r="A1224" s="97">
        <f>SUBTOTAL(3,C$2:C1224)</f>
        <v>469</v>
      </c>
      <c r="B1224" s="97" t="s">
        <v>2469</v>
      </c>
      <c r="C1224" s="97" t="s">
        <v>80</v>
      </c>
      <c r="D1224" s="97" t="s">
        <v>32</v>
      </c>
      <c r="E1224" s="97" t="s">
        <v>33</v>
      </c>
      <c r="F1224" s="50" t="s">
        <v>1929</v>
      </c>
      <c r="G1224" s="102" t="s">
        <v>1215</v>
      </c>
      <c r="H1224" s="111" t="s">
        <v>2591</v>
      </c>
      <c r="I1224" s="104">
        <v>46175</v>
      </c>
      <c r="J1224" s="97">
        <f t="shared" ref="J1224:J1226" ca="1" si="2468">+TODAY()-I1224</f>
        <v>9</v>
      </c>
      <c r="K1224" s="97" t="str">
        <f t="shared" ref="K1224:K1226" si="2469">+U1224</f>
        <v>Pending</v>
      </c>
      <c r="L1224" s="52" t="s">
        <v>1858</v>
      </c>
      <c r="M1224" s="97">
        <v>28500</v>
      </c>
      <c r="N1224" s="97">
        <v>26500</v>
      </c>
      <c r="O1224" s="104">
        <v>46176</v>
      </c>
      <c r="P1224" s="97">
        <f t="shared" ref="P1224:P1226" si="2470">+M1224-N1224</f>
        <v>2000</v>
      </c>
      <c r="Q1224" s="97" t="s">
        <v>33</v>
      </c>
      <c r="R1224" s="97" t="s">
        <v>39</v>
      </c>
      <c r="S1224" s="97">
        <v>31500</v>
      </c>
      <c r="T1224" s="64" t="s">
        <v>33</v>
      </c>
      <c r="U1224" s="65" t="s">
        <v>33</v>
      </c>
      <c r="V1224" s="97" t="s">
        <v>28</v>
      </c>
      <c r="W1224" s="97">
        <f t="shared" ref="W1224:W1226" si="2471">+S1224-M1224</f>
        <v>3000</v>
      </c>
      <c r="X1224" s="97" t="s">
        <v>36</v>
      </c>
      <c r="Y1224" s="97" t="s">
        <v>29</v>
      </c>
      <c r="Z1224" s="105">
        <f t="shared" ref="Z1224:Z1226" si="2472">+W1224*100/M1224</f>
        <v>10.526315789473685</v>
      </c>
      <c r="AA1224" s="93"/>
    </row>
    <row r="1225" spans="1:27" s="101" customFormat="1" ht="16" hidden="1">
      <c r="A1225" s="97">
        <f>SUBTOTAL(3,C$2:C1225)</f>
        <v>469</v>
      </c>
      <c r="B1225" s="97" t="s">
        <v>2469</v>
      </c>
      <c r="C1225" s="97" t="s">
        <v>44</v>
      </c>
      <c r="D1225" s="97" t="s">
        <v>32</v>
      </c>
      <c r="E1225" s="97" t="s">
        <v>33</v>
      </c>
      <c r="F1225" s="40" t="s">
        <v>378</v>
      </c>
      <c r="G1225" s="102" t="s">
        <v>1215</v>
      </c>
      <c r="H1225" s="111" t="s">
        <v>2592</v>
      </c>
      <c r="I1225" s="104">
        <v>46176</v>
      </c>
      <c r="J1225" s="97">
        <f t="shared" ca="1" si="2468"/>
        <v>8</v>
      </c>
      <c r="K1225" s="97" t="str">
        <f t="shared" si="2469"/>
        <v>Pending</v>
      </c>
      <c r="L1225" s="40" t="s">
        <v>2533</v>
      </c>
      <c r="M1225" s="97">
        <v>19000</v>
      </c>
      <c r="N1225" s="97">
        <v>17000</v>
      </c>
      <c r="O1225" s="104">
        <v>46176</v>
      </c>
      <c r="P1225" s="97">
        <f t="shared" si="2470"/>
        <v>2000</v>
      </c>
      <c r="Q1225" s="97" t="s">
        <v>33</v>
      </c>
      <c r="R1225" s="97" t="s">
        <v>52</v>
      </c>
      <c r="S1225" s="97">
        <v>21500</v>
      </c>
      <c r="T1225" s="64" t="s">
        <v>33</v>
      </c>
      <c r="U1225" s="65" t="s">
        <v>33</v>
      </c>
      <c r="V1225" s="97" t="s">
        <v>28</v>
      </c>
      <c r="W1225" s="97">
        <f t="shared" si="2471"/>
        <v>2500</v>
      </c>
      <c r="X1225" s="97" t="s">
        <v>36</v>
      </c>
      <c r="Y1225" s="97" t="s">
        <v>29</v>
      </c>
      <c r="Z1225" s="105">
        <f t="shared" si="2472"/>
        <v>13.157894736842104</v>
      </c>
      <c r="AA1225" s="93"/>
    </row>
    <row r="1226" spans="1:27" s="101" customFormat="1" ht="16" hidden="1">
      <c r="A1226" s="97">
        <f>SUBTOTAL(3,C$2:C1226)</f>
        <v>469</v>
      </c>
      <c r="B1226" s="97" t="s">
        <v>2469</v>
      </c>
      <c r="C1226" s="97" t="s">
        <v>31</v>
      </c>
      <c r="D1226" s="97" t="s">
        <v>32</v>
      </c>
      <c r="E1226" s="97" t="s">
        <v>33</v>
      </c>
      <c r="F1226" s="40" t="s">
        <v>147</v>
      </c>
      <c r="G1226" s="102" t="s">
        <v>34</v>
      </c>
      <c r="H1226" s="111" t="s">
        <v>2593</v>
      </c>
      <c r="I1226" s="104">
        <v>46176</v>
      </c>
      <c r="J1226" s="97">
        <f t="shared" ca="1" si="2468"/>
        <v>8</v>
      </c>
      <c r="K1226" s="97" t="str">
        <f t="shared" si="2469"/>
        <v>Pending</v>
      </c>
      <c r="L1226" s="114" t="s">
        <v>1954</v>
      </c>
      <c r="M1226" s="97">
        <v>18300</v>
      </c>
      <c r="N1226" s="97">
        <v>16500</v>
      </c>
      <c r="O1226" s="104">
        <v>46176</v>
      </c>
      <c r="P1226" s="97">
        <f t="shared" si="2470"/>
        <v>1800</v>
      </c>
      <c r="Q1226" s="97" t="s">
        <v>33</v>
      </c>
      <c r="R1226" s="97" t="s">
        <v>37</v>
      </c>
      <c r="S1226" s="97">
        <v>21500</v>
      </c>
      <c r="T1226" s="64" t="s">
        <v>33</v>
      </c>
      <c r="U1226" s="65" t="s">
        <v>33</v>
      </c>
      <c r="V1226" s="97" t="s">
        <v>28</v>
      </c>
      <c r="W1226" s="97">
        <f t="shared" si="2471"/>
        <v>3200</v>
      </c>
      <c r="X1226" s="97" t="s">
        <v>36</v>
      </c>
      <c r="Y1226" s="97" t="s">
        <v>29</v>
      </c>
      <c r="Z1226" s="105">
        <f t="shared" si="2472"/>
        <v>17.486338797814209</v>
      </c>
      <c r="AA1226" s="93"/>
    </row>
    <row r="1227" spans="1:27" s="101" customFormat="1" ht="16" hidden="1">
      <c r="A1227" s="97">
        <f>SUBTOTAL(3,C$2:C1227)</f>
        <v>469</v>
      </c>
      <c r="B1227" s="97" t="s">
        <v>2469</v>
      </c>
      <c r="C1227" s="97" t="s">
        <v>31</v>
      </c>
      <c r="D1227" s="97" t="s">
        <v>32</v>
      </c>
      <c r="E1227" s="97" t="s">
        <v>33</v>
      </c>
      <c r="F1227" s="40" t="s">
        <v>831</v>
      </c>
      <c r="G1227" s="102">
        <v>407</v>
      </c>
      <c r="H1227" s="111" t="s">
        <v>2594</v>
      </c>
      <c r="I1227" s="104">
        <v>46176</v>
      </c>
      <c r="J1227" s="97">
        <f t="shared" ref="J1227" ca="1" si="2473">+TODAY()-I1227</f>
        <v>8</v>
      </c>
      <c r="K1227" s="97" t="str">
        <f t="shared" ref="K1227" si="2474">+U1227</f>
        <v>Pending</v>
      </c>
      <c r="L1227" s="52" t="s">
        <v>687</v>
      </c>
      <c r="M1227" s="97">
        <v>28000</v>
      </c>
      <c r="N1227" s="97">
        <v>26000</v>
      </c>
      <c r="O1227" s="104">
        <v>46176</v>
      </c>
      <c r="P1227" s="97">
        <f t="shared" ref="P1227" si="2475">+M1227-N1227</f>
        <v>2000</v>
      </c>
      <c r="Q1227" s="97" t="s">
        <v>33</v>
      </c>
      <c r="R1227" s="97" t="s">
        <v>37</v>
      </c>
      <c r="S1227" s="97">
        <v>33000</v>
      </c>
      <c r="T1227" s="64" t="s">
        <v>33</v>
      </c>
      <c r="U1227" s="65" t="s">
        <v>33</v>
      </c>
      <c r="V1227" s="97" t="s">
        <v>28</v>
      </c>
      <c r="W1227" s="97">
        <f t="shared" ref="W1227" si="2476">+S1227-M1227</f>
        <v>5000</v>
      </c>
      <c r="X1227" s="97" t="s">
        <v>36</v>
      </c>
      <c r="Y1227" s="97" t="s">
        <v>29</v>
      </c>
      <c r="Z1227" s="105">
        <f t="shared" ref="Z1227" si="2477">+W1227*100/M1227</f>
        <v>17.857142857142858</v>
      </c>
      <c r="AA1227" s="93"/>
    </row>
    <row r="1228" spans="1:27" s="101" customFormat="1" ht="16" hidden="1">
      <c r="A1228" s="97">
        <f>SUBTOTAL(3,C$2:C1228)</f>
        <v>469</v>
      </c>
      <c r="B1228" s="97" t="s">
        <v>2469</v>
      </c>
      <c r="C1228" s="97" t="s">
        <v>31</v>
      </c>
      <c r="D1228" s="97" t="s">
        <v>32</v>
      </c>
      <c r="E1228" s="97" t="s">
        <v>33</v>
      </c>
      <c r="F1228" s="40" t="s">
        <v>741</v>
      </c>
      <c r="G1228" s="102" t="s">
        <v>34</v>
      </c>
      <c r="H1228" s="111" t="s">
        <v>2595</v>
      </c>
      <c r="I1228" s="104">
        <v>46176</v>
      </c>
      <c r="J1228" s="97">
        <f t="shared" ref="J1228:J1231" ca="1" si="2478">+TODAY()-I1228</f>
        <v>8</v>
      </c>
      <c r="K1228" s="97" t="str">
        <f t="shared" ref="K1228:K1231" si="2479">+U1228</f>
        <v>Pending</v>
      </c>
      <c r="L1228" s="114" t="s">
        <v>1954</v>
      </c>
      <c r="M1228" s="97">
        <v>18300</v>
      </c>
      <c r="N1228" s="97">
        <v>16500</v>
      </c>
      <c r="O1228" s="104">
        <v>46176</v>
      </c>
      <c r="P1228" s="97">
        <f t="shared" ref="P1228:P1231" si="2480">+M1228-N1228</f>
        <v>1800</v>
      </c>
      <c r="Q1228" s="97" t="s">
        <v>33</v>
      </c>
      <c r="R1228" s="97" t="s">
        <v>37</v>
      </c>
      <c r="S1228" s="97">
        <v>21500</v>
      </c>
      <c r="T1228" s="64" t="s">
        <v>33</v>
      </c>
      <c r="U1228" s="65" t="s">
        <v>33</v>
      </c>
      <c r="V1228" s="97" t="s">
        <v>28</v>
      </c>
      <c r="W1228" s="97">
        <f t="shared" ref="W1228:W1231" si="2481">+S1228-M1228</f>
        <v>3200</v>
      </c>
      <c r="X1228" s="97" t="s">
        <v>36</v>
      </c>
      <c r="Y1228" s="97" t="s">
        <v>29</v>
      </c>
      <c r="Z1228" s="105">
        <f t="shared" ref="Z1228:Z1231" si="2482">+W1228*100/M1228</f>
        <v>17.486338797814209</v>
      </c>
      <c r="AA1228" s="93"/>
    </row>
    <row r="1229" spans="1:27" s="101" customFormat="1" ht="16" hidden="1">
      <c r="A1229" s="97">
        <f>SUBTOTAL(3,C$2:C1229)</f>
        <v>469</v>
      </c>
      <c r="B1229" s="97" t="s">
        <v>2469</v>
      </c>
      <c r="C1229" s="97" t="s">
        <v>44</v>
      </c>
      <c r="D1229" s="97" t="s">
        <v>32</v>
      </c>
      <c r="E1229" s="97" t="s">
        <v>33</v>
      </c>
      <c r="F1229" s="40" t="s">
        <v>414</v>
      </c>
      <c r="G1229" s="102" t="s">
        <v>1215</v>
      </c>
      <c r="H1229" s="111" t="s">
        <v>2596</v>
      </c>
      <c r="I1229" s="104">
        <v>46176</v>
      </c>
      <c r="J1229" s="97">
        <f t="shared" ca="1" si="2478"/>
        <v>8</v>
      </c>
      <c r="K1229" s="97" t="str">
        <f t="shared" si="2479"/>
        <v>Pending</v>
      </c>
      <c r="L1229" s="40" t="s">
        <v>1288</v>
      </c>
      <c r="M1229" s="97">
        <v>18500</v>
      </c>
      <c r="N1229" s="97">
        <v>18500</v>
      </c>
      <c r="O1229" s="104">
        <v>46176</v>
      </c>
      <c r="P1229" s="97">
        <f t="shared" si="2480"/>
        <v>0</v>
      </c>
      <c r="Q1229" s="97" t="s">
        <v>33</v>
      </c>
      <c r="R1229" s="97" t="s">
        <v>78</v>
      </c>
      <c r="S1229" s="97">
        <v>21000</v>
      </c>
      <c r="T1229" s="64" t="s">
        <v>33</v>
      </c>
      <c r="U1229" s="65" t="s">
        <v>33</v>
      </c>
      <c r="V1229" s="97" t="s">
        <v>28</v>
      </c>
      <c r="W1229" s="97">
        <f t="shared" si="2481"/>
        <v>2500</v>
      </c>
      <c r="X1229" s="97" t="s">
        <v>36</v>
      </c>
      <c r="Y1229" s="97" t="s">
        <v>29</v>
      </c>
      <c r="Z1229" s="105">
        <f t="shared" si="2482"/>
        <v>13.513513513513514</v>
      </c>
      <c r="AA1229" s="93"/>
    </row>
    <row r="1230" spans="1:27" s="101" customFormat="1" hidden="1">
      <c r="A1230" s="97">
        <f>SUBTOTAL(3,C$2:C1230)</f>
        <v>469</v>
      </c>
      <c r="B1230" s="97" t="s">
        <v>2469</v>
      </c>
      <c r="C1230" s="97" t="s">
        <v>328</v>
      </c>
      <c r="D1230" s="97" t="s">
        <v>32</v>
      </c>
      <c r="E1230" s="97" t="s">
        <v>33</v>
      </c>
      <c r="F1230" s="101" t="s">
        <v>329</v>
      </c>
      <c r="G1230" s="102" t="s">
        <v>1152</v>
      </c>
      <c r="H1230" s="111" t="s">
        <v>2597</v>
      </c>
      <c r="I1230" s="104">
        <v>46176</v>
      </c>
      <c r="J1230" s="97">
        <f t="shared" ca="1" si="2478"/>
        <v>8</v>
      </c>
      <c r="K1230" s="97" t="str">
        <f t="shared" si="2479"/>
        <v>Pending</v>
      </c>
      <c r="L1230" s="101" t="s">
        <v>246</v>
      </c>
      <c r="M1230" s="97">
        <v>44000</v>
      </c>
      <c r="N1230" s="97">
        <v>40000</v>
      </c>
      <c r="O1230" s="104">
        <v>46176</v>
      </c>
      <c r="P1230" s="97">
        <f t="shared" si="2480"/>
        <v>4000</v>
      </c>
      <c r="Q1230" s="97" t="s">
        <v>33</v>
      </c>
      <c r="R1230" s="97" t="s">
        <v>2141</v>
      </c>
      <c r="S1230" s="97">
        <v>48000</v>
      </c>
      <c r="T1230" s="64" t="s">
        <v>33</v>
      </c>
      <c r="U1230" s="65" t="s">
        <v>33</v>
      </c>
      <c r="V1230" s="97" t="s">
        <v>28</v>
      </c>
      <c r="W1230" s="97">
        <f t="shared" si="2481"/>
        <v>4000</v>
      </c>
      <c r="X1230" s="97" t="s">
        <v>36</v>
      </c>
      <c r="Y1230" s="97" t="s">
        <v>29</v>
      </c>
      <c r="Z1230" s="105">
        <f t="shared" si="2482"/>
        <v>9.0909090909090917</v>
      </c>
      <c r="AA1230" s="93"/>
    </row>
    <row r="1231" spans="1:27" ht="16" hidden="1">
      <c r="A1231" s="64">
        <f>SUBTOTAL(3,C$2:C1231)</f>
        <v>469</v>
      </c>
      <c r="B1231" s="97" t="s">
        <v>2469</v>
      </c>
      <c r="C1231" s="64" t="s">
        <v>276</v>
      </c>
      <c r="D1231" s="64" t="s">
        <v>32</v>
      </c>
      <c r="E1231" s="64" t="s">
        <v>33</v>
      </c>
      <c r="F1231" s="40" t="s">
        <v>277</v>
      </c>
      <c r="G1231" s="91" t="s">
        <v>50</v>
      </c>
      <c r="H1231" s="111" t="s">
        <v>2598</v>
      </c>
      <c r="I1231" s="104">
        <v>46176</v>
      </c>
      <c r="J1231" s="64">
        <f t="shared" ca="1" si="2478"/>
        <v>8</v>
      </c>
      <c r="K1231" s="97" t="str">
        <f t="shared" si="2479"/>
        <v>Pending</v>
      </c>
      <c r="L1231" s="64" t="s">
        <v>278</v>
      </c>
      <c r="M1231" s="64">
        <v>44000</v>
      </c>
      <c r="N1231" s="64">
        <v>40000</v>
      </c>
      <c r="O1231" s="104">
        <v>46176</v>
      </c>
      <c r="P1231" s="64">
        <f t="shared" si="2480"/>
        <v>4000</v>
      </c>
      <c r="Q1231" s="97" t="s">
        <v>33</v>
      </c>
      <c r="R1231" s="97" t="s">
        <v>2141</v>
      </c>
      <c r="S1231" s="64">
        <v>48000</v>
      </c>
      <c r="T1231" s="64" t="s">
        <v>33</v>
      </c>
      <c r="U1231" s="65" t="s">
        <v>33</v>
      </c>
      <c r="V1231" s="64" t="s">
        <v>28</v>
      </c>
      <c r="W1231" s="64">
        <f t="shared" si="2481"/>
        <v>4000</v>
      </c>
      <c r="X1231" s="64" t="s">
        <v>36</v>
      </c>
      <c r="Y1231" s="64" t="s">
        <v>29</v>
      </c>
      <c r="Z1231" s="71">
        <f t="shared" si="2482"/>
        <v>9.0909090909090917</v>
      </c>
      <c r="AA1231" s="93"/>
    </row>
    <row r="1232" spans="1:27" ht="16" hidden="1">
      <c r="A1232" s="64">
        <f>SUBTOTAL(3,C$2:C1232)</f>
        <v>469</v>
      </c>
      <c r="B1232" s="64" t="s">
        <v>2469</v>
      </c>
      <c r="C1232" s="64" t="s">
        <v>44</v>
      </c>
      <c r="D1232" s="64" t="s">
        <v>32</v>
      </c>
      <c r="E1232" s="64" t="s">
        <v>33</v>
      </c>
      <c r="F1232" s="40" t="s">
        <v>2212</v>
      </c>
      <c r="G1232" s="91" t="s">
        <v>1215</v>
      </c>
      <c r="H1232" s="111" t="s">
        <v>2609</v>
      </c>
      <c r="I1232" s="104">
        <v>46176</v>
      </c>
      <c r="J1232" s="64">
        <f t="shared" ref="J1232:J1233" ca="1" si="2483">+TODAY()-I1232</f>
        <v>8</v>
      </c>
      <c r="K1232" s="97" t="str">
        <f t="shared" ref="K1232:K1233" si="2484">+U1232</f>
        <v>Pending</v>
      </c>
      <c r="L1232" s="64" t="s">
        <v>303</v>
      </c>
      <c r="M1232" s="64">
        <v>14500</v>
      </c>
      <c r="N1232" s="64">
        <v>13000</v>
      </c>
      <c r="O1232" s="104">
        <v>46177</v>
      </c>
      <c r="P1232" s="64">
        <f t="shared" ref="P1232:P1233" si="2485">+M1232-N1232</f>
        <v>1500</v>
      </c>
      <c r="Q1232" s="97" t="s">
        <v>33</v>
      </c>
      <c r="R1232" s="97" t="s">
        <v>56</v>
      </c>
      <c r="S1232" s="64">
        <v>17500</v>
      </c>
      <c r="T1232" s="64" t="s">
        <v>33</v>
      </c>
      <c r="U1232" s="65" t="s">
        <v>33</v>
      </c>
      <c r="V1232" s="64" t="s">
        <v>28</v>
      </c>
      <c r="W1232" s="64">
        <f t="shared" ref="W1232:W1233" si="2486">+S1232-M1232</f>
        <v>3000</v>
      </c>
      <c r="X1232" s="64" t="s">
        <v>36</v>
      </c>
      <c r="Y1232" s="64" t="s">
        <v>29</v>
      </c>
      <c r="Z1232" s="71">
        <f t="shared" ref="Z1232:Z1233" si="2487">+W1232*100/M1232</f>
        <v>20.689655172413794</v>
      </c>
      <c r="AA1232" s="93"/>
    </row>
    <row r="1233" spans="1:27" ht="16" hidden="1">
      <c r="A1233" s="64">
        <f>SUBTOTAL(3,C$2:C1233)</f>
        <v>469</v>
      </c>
      <c r="B1233" s="64" t="s">
        <v>2469</v>
      </c>
      <c r="C1233" s="64" t="s">
        <v>31</v>
      </c>
      <c r="D1233" s="64" t="s">
        <v>32</v>
      </c>
      <c r="E1233" s="64" t="s">
        <v>33</v>
      </c>
      <c r="F1233" s="40" t="s">
        <v>2610</v>
      </c>
      <c r="G1233" s="91" t="s">
        <v>34</v>
      </c>
      <c r="H1233" s="111" t="s">
        <v>2611</v>
      </c>
      <c r="I1233" s="104">
        <v>46176</v>
      </c>
      <c r="J1233" s="64">
        <f t="shared" ca="1" si="2483"/>
        <v>8</v>
      </c>
      <c r="K1233" s="97" t="str">
        <f t="shared" si="2484"/>
        <v>Pending</v>
      </c>
      <c r="L1233" s="64" t="s">
        <v>1954</v>
      </c>
      <c r="M1233" s="64">
        <v>18300</v>
      </c>
      <c r="N1233" s="64">
        <v>16500</v>
      </c>
      <c r="O1233" s="104">
        <v>46177</v>
      </c>
      <c r="P1233" s="64">
        <f t="shared" si="2485"/>
        <v>1800</v>
      </c>
      <c r="Q1233" s="97" t="s">
        <v>33</v>
      </c>
      <c r="R1233" s="97" t="s">
        <v>37</v>
      </c>
      <c r="S1233" s="64">
        <v>21500</v>
      </c>
      <c r="T1233" s="64" t="s">
        <v>33</v>
      </c>
      <c r="U1233" s="65" t="s">
        <v>33</v>
      </c>
      <c r="V1233" s="64" t="s">
        <v>28</v>
      </c>
      <c r="W1233" s="64">
        <f t="shared" si="2486"/>
        <v>3200</v>
      </c>
      <c r="X1233" s="64" t="s">
        <v>36</v>
      </c>
      <c r="Y1233" s="64" t="s">
        <v>29</v>
      </c>
      <c r="Z1233" s="71">
        <f t="shared" si="2487"/>
        <v>17.486338797814209</v>
      </c>
      <c r="AA1233" s="93"/>
    </row>
    <row r="1234" spans="1:27" ht="16" hidden="1">
      <c r="A1234" s="64">
        <f>SUBTOTAL(3,C$2:C1234)</f>
        <v>469</v>
      </c>
      <c r="B1234" s="64" t="s">
        <v>2469</v>
      </c>
      <c r="C1234" s="64" t="s">
        <v>31</v>
      </c>
      <c r="D1234" s="64" t="s">
        <v>32</v>
      </c>
      <c r="E1234" s="64" t="s">
        <v>33</v>
      </c>
      <c r="F1234" s="40" t="s">
        <v>354</v>
      </c>
      <c r="G1234" s="91" t="s">
        <v>34</v>
      </c>
      <c r="H1234" s="111" t="s">
        <v>2613</v>
      </c>
      <c r="I1234" s="104">
        <v>46175</v>
      </c>
      <c r="J1234" s="64">
        <f t="shared" ref="J1234" ca="1" si="2488">+TODAY()-I1234</f>
        <v>9</v>
      </c>
      <c r="K1234" s="97" t="str">
        <f t="shared" ref="K1234" si="2489">+U1234</f>
        <v>Pending</v>
      </c>
      <c r="L1234" s="64" t="s">
        <v>246</v>
      </c>
      <c r="M1234" s="64">
        <v>18300</v>
      </c>
      <c r="N1234" s="64">
        <v>16500</v>
      </c>
      <c r="O1234" s="104">
        <v>46177</v>
      </c>
      <c r="P1234" s="64">
        <f t="shared" ref="P1234" si="2490">+M1234-N1234</f>
        <v>1800</v>
      </c>
      <c r="Q1234" s="97" t="s">
        <v>33</v>
      </c>
      <c r="R1234" s="97" t="s">
        <v>37</v>
      </c>
      <c r="S1234" s="64">
        <v>21500</v>
      </c>
      <c r="T1234" s="64" t="s">
        <v>33</v>
      </c>
      <c r="U1234" s="65" t="s">
        <v>33</v>
      </c>
      <c r="V1234" s="64" t="s">
        <v>28</v>
      </c>
      <c r="W1234" s="64">
        <f t="shared" ref="W1234" si="2491">+S1234-M1234</f>
        <v>3200</v>
      </c>
      <c r="X1234" s="64" t="s">
        <v>36</v>
      </c>
      <c r="Y1234" s="64" t="s">
        <v>29</v>
      </c>
      <c r="Z1234" s="71">
        <f t="shared" ref="Z1234" si="2492">+W1234*100/M1234</f>
        <v>17.486338797814209</v>
      </c>
      <c r="AA1234" s="93"/>
    </row>
    <row r="1235" spans="1:27" ht="16" hidden="1">
      <c r="A1235" s="64">
        <f>SUBTOTAL(3,C$2:C1235)</f>
        <v>469</v>
      </c>
      <c r="B1235" s="64" t="s">
        <v>2469</v>
      </c>
      <c r="C1235" s="64" t="s">
        <v>31</v>
      </c>
      <c r="D1235" s="64" t="s">
        <v>32</v>
      </c>
      <c r="E1235" s="64" t="s">
        <v>33</v>
      </c>
      <c r="F1235" s="40" t="s">
        <v>2614</v>
      </c>
      <c r="G1235" s="91" t="s">
        <v>34</v>
      </c>
      <c r="H1235" s="111" t="s">
        <v>2615</v>
      </c>
      <c r="I1235" s="104">
        <v>46176</v>
      </c>
      <c r="J1235" s="64">
        <f t="shared" ref="J1235" ca="1" si="2493">+TODAY()-I1235</f>
        <v>8</v>
      </c>
      <c r="K1235" s="97" t="str">
        <f t="shared" ref="K1235" si="2494">+U1235</f>
        <v>Pending</v>
      </c>
      <c r="L1235" s="64" t="s">
        <v>1954</v>
      </c>
      <c r="M1235" s="64">
        <v>18300</v>
      </c>
      <c r="N1235" s="64">
        <v>16500</v>
      </c>
      <c r="O1235" s="104">
        <v>46177</v>
      </c>
      <c r="P1235" s="64">
        <f t="shared" ref="P1235" si="2495">+M1235-N1235</f>
        <v>1800</v>
      </c>
      <c r="Q1235" s="97" t="s">
        <v>33</v>
      </c>
      <c r="R1235" s="97" t="s">
        <v>37</v>
      </c>
      <c r="S1235" s="64">
        <v>21500</v>
      </c>
      <c r="T1235" s="64" t="s">
        <v>33</v>
      </c>
      <c r="U1235" s="65" t="s">
        <v>33</v>
      </c>
      <c r="V1235" s="64" t="s">
        <v>28</v>
      </c>
      <c r="W1235" s="64">
        <f t="shared" ref="W1235" si="2496">+S1235-M1235</f>
        <v>3200</v>
      </c>
      <c r="X1235" s="64" t="s">
        <v>36</v>
      </c>
      <c r="Y1235" s="64" t="s">
        <v>29</v>
      </c>
      <c r="Z1235" s="71">
        <f t="shared" ref="Z1235" si="2497">+W1235*100/M1235</f>
        <v>17.486338797814209</v>
      </c>
      <c r="AA1235" s="93"/>
    </row>
    <row r="1236" spans="1:27" ht="16" hidden="1">
      <c r="A1236" s="64">
        <f>SUBTOTAL(3,C$2:C1236)</f>
        <v>469</v>
      </c>
      <c r="B1236" s="64" t="s">
        <v>2469</v>
      </c>
      <c r="C1236" s="64" t="s">
        <v>31</v>
      </c>
      <c r="D1236" s="64" t="s">
        <v>32</v>
      </c>
      <c r="E1236" s="64" t="s">
        <v>33</v>
      </c>
      <c r="F1236" s="40" t="s">
        <v>2198</v>
      </c>
      <c r="G1236" s="91" t="s">
        <v>34</v>
      </c>
      <c r="H1236" s="111" t="s">
        <v>2616</v>
      </c>
      <c r="I1236" s="104">
        <v>46176</v>
      </c>
      <c r="J1236" s="64">
        <f t="shared" ref="J1236:J1237" ca="1" si="2498">+TODAY()-I1236</f>
        <v>8</v>
      </c>
      <c r="K1236" s="97" t="str">
        <f t="shared" ref="K1236:K1237" si="2499">+U1236</f>
        <v>Pending</v>
      </c>
      <c r="L1236" s="64" t="s">
        <v>2501</v>
      </c>
      <c r="M1236" s="64">
        <v>28500</v>
      </c>
      <c r="N1236" s="64">
        <v>26500</v>
      </c>
      <c r="O1236" s="104">
        <v>46177</v>
      </c>
      <c r="P1236" s="64">
        <f t="shared" ref="P1236:P1238" si="2500">+M1236-N1236</f>
        <v>2000</v>
      </c>
      <c r="Q1236" s="97" t="s">
        <v>33</v>
      </c>
      <c r="R1236" s="97" t="s">
        <v>52</v>
      </c>
      <c r="S1236" s="64">
        <v>31500</v>
      </c>
      <c r="T1236" s="64" t="s">
        <v>33</v>
      </c>
      <c r="U1236" s="65" t="s">
        <v>33</v>
      </c>
      <c r="V1236" s="64" t="s">
        <v>28</v>
      </c>
      <c r="W1236" s="64">
        <f t="shared" ref="W1236:W1237" si="2501">+S1236-M1236</f>
        <v>3000</v>
      </c>
      <c r="X1236" s="64" t="s">
        <v>36</v>
      </c>
      <c r="Y1236" s="64" t="s">
        <v>29</v>
      </c>
      <c r="Z1236" s="71">
        <f t="shared" ref="Z1236:Z1237" si="2502">+W1236*100/M1236</f>
        <v>10.526315789473685</v>
      </c>
      <c r="AA1236" s="93"/>
    </row>
    <row r="1237" spans="1:27" ht="16" hidden="1">
      <c r="A1237" s="64">
        <f>SUBTOTAL(3,C$2:C1237)</f>
        <v>469</v>
      </c>
      <c r="B1237" s="64" t="s">
        <v>2469</v>
      </c>
      <c r="C1237" s="64" t="s">
        <v>44</v>
      </c>
      <c r="D1237" s="64" t="s">
        <v>32</v>
      </c>
      <c r="E1237" s="64" t="s">
        <v>33</v>
      </c>
      <c r="F1237" s="40" t="s">
        <v>1621</v>
      </c>
      <c r="G1237" s="91" t="s">
        <v>1215</v>
      </c>
      <c r="H1237" s="111" t="s">
        <v>2619</v>
      </c>
      <c r="I1237" s="104">
        <v>46176</v>
      </c>
      <c r="J1237" s="64">
        <f t="shared" ca="1" si="2498"/>
        <v>8</v>
      </c>
      <c r="K1237" s="97" t="str">
        <f t="shared" si="2499"/>
        <v>Pending</v>
      </c>
      <c r="L1237" s="64" t="s">
        <v>2501</v>
      </c>
      <c r="M1237" s="64">
        <v>28500</v>
      </c>
      <c r="N1237" s="64">
        <v>26500</v>
      </c>
      <c r="O1237" s="104">
        <v>46177</v>
      </c>
      <c r="P1237" s="64">
        <f t="shared" si="2500"/>
        <v>2000</v>
      </c>
      <c r="Q1237" s="97" t="s">
        <v>33</v>
      </c>
      <c r="R1237" s="97" t="s">
        <v>52</v>
      </c>
      <c r="S1237" s="64">
        <v>31500</v>
      </c>
      <c r="T1237" s="64" t="s">
        <v>33</v>
      </c>
      <c r="U1237" s="65" t="s">
        <v>33</v>
      </c>
      <c r="V1237" s="64" t="s">
        <v>28</v>
      </c>
      <c r="W1237" s="64">
        <f t="shared" si="2501"/>
        <v>3000</v>
      </c>
      <c r="X1237" s="64" t="s">
        <v>36</v>
      </c>
      <c r="Y1237" s="64" t="s">
        <v>29</v>
      </c>
      <c r="Z1237" s="71">
        <f t="shared" si="2502"/>
        <v>10.526315789473685</v>
      </c>
      <c r="AA1237" s="93"/>
    </row>
    <row r="1238" spans="1:27" ht="16" hidden="1">
      <c r="A1238" s="64">
        <f>SUBTOTAL(3,C$2:C1238)</f>
        <v>469</v>
      </c>
      <c r="B1238" s="64" t="s">
        <v>2469</v>
      </c>
      <c r="C1238" s="64" t="s">
        <v>31</v>
      </c>
      <c r="D1238" s="64" t="s">
        <v>32</v>
      </c>
      <c r="E1238" s="64" t="s">
        <v>33</v>
      </c>
      <c r="F1238" s="40" t="s">
        <v>2620</v>
      </c>
      <c r="G1238" s="91" t="s">
        <v>34</v>
      </c>
      <c r="H1238" s="111" t="s">
        <v>2621</v>
      </c>
      <c r="I1238" s="104">
        <v>46176</v>
      </c>
      <c r="J1238" s="64">
        <f t="shared" ref="J1238:J1239" ca="1" si="2503">+TODAY()-I1238</f>
        <v>8</v>
      </c>
      <c r="K1238" s="97" t="str">
        <f t="shared" ref="K1238:K1239" si="2504">+U1238</f>
        <v>Pending</v>
      </c>
      <c r="L1238" s="64" t="s">
        <v>1954</v>
      </c>
      <c r="M1238" s="64">
        <v>18300</v>
      </c>
      <c r="N1238" s="64">
        <v>16500</v>
      </c>
      <c r="O1238" s="104">
        <v>46177</v>
      </c>
      <c r="P1238" s="64">
        <f t="shared" si="2500"/>
        <v>1800</v>
      </c>
      <c r="Q1238" s="97" t="s">
        <v>33</v>
      </c>
      <c r="R1238" s="97" t="s">
        <v>37</v>
      </c>
      <c r="S1238" s="64">
        <v>21500</v>
      </c>
      <c r="T1238" s="64" t="s">
        <v>33</v>
      </c>
      <c r="U1238" s="65" t="s">
        <v>33</v>
      </c>
      <c r="V1238" s="64" t="s">
        <v>28</v>
      </c>
      <c r="W1238" s="64">
        <f t="shared" ref="W1238:W1239" si="2505">+S1238-M1238</f>
        <v>3200</v>
      </c>
      <c r="X1238" s="64" t="s">
        <v>36</v>
      </c>
      <c r="Y1238" s="64" t="s">
        <v>29</v>
      </c>
      <c r="Z1238" s="71">
        <f t="shared" ref="Z1238:Z1239" si="2506">+W1238*100/M1238</f>
        <v>17.486338797814209</v>
      </c>
      <c r="AA1238" s="93"/>
    </row>
    <row r="1239" spans="1:27" ht="16" hidden="1">
      <c r="A1239" s="64">
        <f>SUBTOTAL(3,C$2:C1239)</f>
        <v>469</v>
      </c>
      <c r="B1239" s="64" t="s">
        <v>2469</v>
      </c>
      <c r="C1239" s="64" t="s">
        <v>44</v>
      </c>
      <c r="D1239" s="64" t="s">
        <v>32</v>
      </c>
      <c r="E1239" s="64" t="s">
        <v>33</v>
      </c>
      <c r="F1239" s="40" t="s">
        <v>2622</v>
      </c>
      <c r="G1239" s="91" t="s">
        <v>1942</v>
      </c>
      <c r="H1239" s="111" t="s">
        <v>2623</v>
      </c>
      <c r="I1239" s="104">
        <v>46177</v>
      </c>
      <c r="J1239" s="64">
        <f t="shared" ca="1" si="2503"/>
        <v>7</v>
      </c>
      <c r="K1239" s="97" t="str">
        <f t="shared" si="2504"/>
        <v>Pending</v>
      </c>
      <c r="L1239" s="64" t="s">
        <v>246</v>
      </c>
      <c r="M1239" s="64">
        <v>39500</v>
      </c>
      <c r="N1239" s="64">
        <v>36500</v>
      </c>
      <c r="O1239" s="104">
        <v>46177</v>
      </c>
      <c r="P1239" s="64">
        <f t="shared" ref="P1239" si="2507">+M1239-N1239</f>
        <v>3000</v>
      </c>
      <c r="Q1239" s="97" t="s">
        <v>33</v>
      </c>
      <c r="R1239" s="97" t="s">
        <v>37</v>
      </c>
      <c r="S1239" s="64">
        <v>42000</v>
      </c>
      <c r="T1239" s="64" t="s">
        <v>33</v>
      </c>
      <c r="U1239" s="65" t="s">
        <v>33</v>
      </c>
      <c r="V1239" s="64" t="s">
        <v>28</v>
      </c>
      <c r="W1239" s="64">
        <f t="shared" si="2505"/>
        <v>2500</v>
      </c>
      <c r="X1239" s="64" t="s">
        <v>36</v>
      </c>
      <c r="Y1239" s="64" t="s">
        <v>29</v>
      </c>
      <c r="Z1239" s="71">
        <f t="shared" si="2506"/>
        <v>6.3291139240506329</v>
      </c>
      <c r="AA1239" s="93"/>
    </row>
    <row r="1240" spans="1:27" ht="16" hidden="1">
      <c r="A1240" s="64">
        <f>SUBTOTAL(3,C$2:C1240)</f>
        <v>469</v>
      </c>
      <c r="B1240" s="64" t="s">
        <v>2469</v>
      </c>
      <c r="C1240" s="64" t="s">
        <v>44</v>
      </c>
      <c r="D1240" s="64" t="s">
        <v>32</v>
      </c>
      <c r="E1240" s="64" t="s">
        <v>33</v>
      </c>
      <c r="F1240" s="40" t="s">
        <v>331</v>
      </c>
      <c r="G1240" s="91" t="s">
        <v>994</v>
      </c>
      <c r="H1240" s="111" t="s">
        <v>2624</v>
      </c>
      <c r="I1240" s="104">
        <v>46177</v>
      </c>
      <c r="J1240" s="64">
        <f t="shared" ref="J1240:J1241" ca="1" si="2508">+TODAY()-I1240</f>
        <v>7</v>
      </c>
      <c r="K1240" s="97" t="str">
        <f t="shared" ref="K1240:K1241" si="2509">+U1240</f>
        <v>Pending</v>
      </c>
      <c r="L1240" s="64" t="s">
        <v>2625</v>
      </c>
      <c r="M1240" s="64">
        <v>39500</v>
      </c>
      <c r="N1240" s="64">
        <v>36500</v>
      </c>
      <c r="O1240" s="104">
        <v>46177</v>
      </c>
      <c r="P1240" s="64">
        <f t="shared" ref="P1240:P1241" si="2510">+M1240-N1240</f>
        <v>3000</v>
      </c>
      <c r="Q1240" s="97" t="s">
        <v>33</v>
      </c>
      <c r="R1240" s="97" t="s">
        <v>52</v>
      </c>
      <c r="S1240" s="64">
        <v>41500</v>
      </c>
      <c r="T1240" s="64" t="s">
        <v>33</v>
      </c>
      <c r="U1240" s="65" t="s">
        <v>33</v>
      </c>
      <c r="V1240" s="64" t="s">
        <v>28</v>
      </c>
      <c r="W1240" s="64">
        <f t="shared" ref="W1240:W1241" si="2511">+S1240-M1240</f>
        <v>2000</v>
      </c>
      <c r="X1240" s="64" t="s">
        <v>36</v>
      </c>
      <c r="Y1240" s="64" t="s">
        <v>29</v>
      </c>
      <c r="Z1240" s="71">
        <f t="shared" ref="Z1240:Z1241" si="2512">+W1240*100/M1240</f>
        <v>5.0632911392405067</v>
      </c>
      <c r="AA1240" s="93"/>
    </row>
    <row r="1241" spans="1:27" ht="16" hidden="1">
      <c r="A1241" s="64">
        <f>SUBTOTAL(3,C$2:C1241)</f>
        <v>469</v>
      </c>
      <c r="B1241" s="64" t="s">
        <v>2469</v>
      </c>
      <c r="C1241" s="64" t="s">
        <v>31</v>
      </c>
      <c r="D1241" s="64" t="s">
        <v>32</v>
      </c>
      <c r="E1241" s="64" t="s">
        <v>33</v>
      </c>
      <c r="F1241" s="40" t="s">
        <v>2628</v>
      </c>
      <c r="G1241" s="91" t="s">
        <v>34</v>
      </c>
      <c r="H1241" s="111" t="s">
        <v>2629</v>
      </c>
      <c r="I1241" s="104">
        <v>46177</v>
      </c>
      <c r="J1241" s="64">
        <f t="shared" ca="1" si="2508"/>
        <v>7</v>
      </c>
      <c r="K1241" s="97" t="str">
        <f t="shared" si="2509"/>
        <v>Pending</v>
      </c>
      <c r="L1241" s="64" t="s">
        <v>483</v>
      </c>
      <c r="M1241" s="64">
        <v>24000</v>
      </c>
      <c r="N1241" s="64">
        <v>22000</v>
      </c>
      <c r="O1241" s="104">
        <v>46177</v>
      </c>
      <c r="P1241" s="64">
        <f t="shared" si="2510"/>
        <v>2000</v>
      </c>
      <c r="Q1241" s="97" t="s">
        <v>33</v>
      </c>
      <c r="R1241" s="97" t="s">
        <v>37</v>
      </c>
      <c r="S1241" s="64">
        <v>26000</v>
      </c>
      <c r="T1241" s="64" t="s">
        <v>33</v>
      </c>
      <c r="U1241" s="65" t="s">
        <v>33</v>
      </c>
      <c r="V1241" s="64" t="s">
        <v>28</v>
      </c>
      <c r="W1241" s="64">
        <f t="shared" si="2511"/>
        <v>2000</v>
      </c>
      <c r="X1241" s="64" t="s">
        <v>36</v>
      </c>
      <c r="Y1241" s="64" t="s">
        <v>29</v>
      </c>
      <c r="Z1241" s="71">
        <f t="shared" si="2512"/>
        <v>8.3333333333333339</v>
      </c>
      <c r="AA1241" s="93"/>
    </row>
    <row r="1242" spans="1:27" ht="16" hidden="1">
      <c r="A1242" s="64">
        <f>SUBTOTAL(3,C$2:C1242)</f>
        <v>469</v>
      </c>
      <c r="B1242" s="64" t="s">
        <v>2469</v>
      </c>
      <c r="C1242" s="64" t="s">
        <v>44</v>
      </c>
      <c r="D1242" s="64" t="s">
        <v>32</v>
      </c>
      <c r="E1242" s="64" t="s">
        <v>33</v>
      </c>
      <c r="F1242" s="40" t="s">
        <v>414</v>
      </c>
      <c r="G1242" s="91" t="s">
        <v>994</v>
      </c>
      <c r="H1242" s="111" t="s">
        <v>2630</v>
      </c>
      <c r="I1242" s="104">
        <v>46177</v>
      </c>
      <c r="J1242" s="64">
        <f t="shared" ref="J1242:J1243" ca="1" si="2513">+TODAY()-I1242</f>
        <v>7</v>
      </c>
      <c r="K1242" s="97" t="str">
        <f t="shared" ref="K1242:K1243" si="2514">+U1242</f>
        <v>Pending</v>
      </c>
      <c r="L1242" s="64" t="s">
        <v>246</v>
      </c>
      <c r="M1242" s="64">
        <v>30000</v>
      </c>
      <c r="N1242" s="64">
        <v>27000</v>
      </c>
      <c r="O1242" s="104">
        <v>46177</v>
      </c>
      <c r="P1242" s="64">
        <f t="shared" ref="P1242:P1243" si="2515">+M1242-N1242</f>
        <v>3000</v>
      </c>
      <c r="Q1242" s="97" t="s">
        <v>33</v>
      </c>
      <c r="R1242" s="97" t="s">
        <v>52</v>
      </c>
      <c r="S1242" s="64">
        <v>32500</v>
      </c>
      <c r="T1242" s="64" t="s">
        <v>33</v>
      </c>
      <c r="U1242" s="65" t="s">
        <v>33</v>
      </c>
      <c r="V1242" s="64" t="s">
        <v>28</v>
      </c>
      <c r="W1242" s="64">
        <f t="shared" ref="W1242:W1243" si="2516">+S1242-M1242</f>
        <v>2500</v>
      </c>
      <c r="X1242" s="64" t="s">
        <v>36</v>
      </c>
      <c r="Y1242" s="64" t="s">
        <v>29</v>
      </c>
      <c r="Z1242" s="71">
        <f t="shared" ref="Z1242:Z1243" si="2517">+W1242*100/M1242</f>
        <v>8.3333333333333339</v>
      </c>
      <c r="AA1242" s="93"/>
    </row>
    <row r="1243" spans="1:27" ht="16" hidden="1">
      <c r="A1243" s="64">
        <f>SUBTOTAL(3,C$2:C1243)</f>
        <v>469</v>
      </c>
      <c r="B1243" s="64" t="s">
        <v>2469</v>
      </c>
      <c r="C1243" s="64" t="s">
        <v>31</v>
      </c>
      <c r="D1243" s="64" t="s">
        <v>32</v>
      </c>
      <c r="E1243" s="64" t="s">
        <v>33</v>
      </c>
      <c r="F1243" s="40" t="s">
        <v>194</v>
      </c>
      <c r="G1243" s="91" t="s">
        <v>34</v>
      </c>
      <c r="H1243" s="111" t="s">
        <v>2631</v>
      </c>
      <c r="I1243" s="104">
        <v>46177</v>
      </c>
      <c r="J1243" s="64">
        <f t="shared" ca="1" si="2513"/>
        <v>7</v>
      </c>
      <c r="K1243" s="97" t="str">
        <f t="shared" si="2514"/>
        <v>Pending</v>
      </c>
      <c r="L1243" s="64" t="s">
        <v>1954</v>
      </c>
      <c r="M1243" s="64">
        <v>18300</v>
      </c>
      <c r="N1243" s="64">
        <v>16500</v>
      </c>
      <c r="O1243" s="104">
        <v>46177</v>
      </c>
      <c r="P1243" s="64">
        <f t="shared" si="2515"/>
        <v>1800</v>
      </c>
      <c r="Q1243" s="97" t="s">
        <v>33</v>
      </c>
      <c r="R1243" s="97" t="s">
        <v>37</v>
      </c>
      <c r="S1243" s="64">
        <v>21500</v>
      </c>
      <c r="T1243" s="64" t="s">
        <v>33</v>
      </c>
      <c r="U1243" s="65" t="s">
        <v>33</v>
      </c>
      <c r="V1243" s="64" t="s">
        <v>28</v>
      </c>
      <c r="W1243" s="64">
        <f t="shared" si="2516"/>
        <v>3200</v>
      </c>
      <c r="X1243" s="64" t="s">
        <v>36</v>
      </c>
      <c r="Y1243" s="64" t="s">
        <v>29</v>
      </c>
      <c r="Z1243" s="71">
        <f t="shared" si="2517"/>
        <v>17.486338797814209</v>
      </c>
      <c r="AA1243" s="93"/>
    </row>
    <row r="1244" spans="1:27" ht="16" hidden="1">
      <c r="A1244" s="64">
        <f>SUBTOTAL(3,C$2:C1244)</f>
        <v>469</v>
      </c>
      <c r="B1244" s="64" t="s">
        <v>2469</v>
      </c>
      <c r="C1244" s="64" t="s">
        <v>31</v>
      </c>
      <c r="D1244" s="64" t="s">
        <v>32</v>
      </c>
      <c r="E1244" s="64" t="s">
        <v>33</v>
      </c>
      <c r="F1244" s="40" t="s">
        <v>194</v>
      </c>
      <c r="G1244" s="91" t="s">
        <v>34</v>
      </c>
      <c r="H1244" s="111" t="s">
        <v>2632</v>
      </c>
      <c r="I1244" s="104">
        <v>46175</v>
      </c>
      <c r="J1244" s="64">
        <f t="shared" ref="J1244:J1246" ca="1" si="2518">+TODAY()-I1244</f>
        <v>9</v>
      </c>
      <c r="K1244" s="97" t="str">
        <f t="shared" ref="K1244:K1246" si="2519">+U1244</f>
        <v>Pending</v>
      </c>
      <c r="L1244" s="64" t="s">
        <v>1954</v>
      </c>
      <c r="M1244" s="64">
        <v>18300</v>
      </c>
      <c r="N1244" s="64">
        <v>16500</v>
      </c>
      <c r="O1244" s="104">
        <v>46177</v>
      </c>
      <c r="P1244" s="64">
        <f t="shared" ref="P1244:P1246" si="2520">+M1244-N1244</f>
        <v>1800</v>
      </c>
      <c r="Q1244" s="97" t="s">
        <v>33</v>
      </c>
      <c r="R1244" s="97" t="s">
        <v>37</v>
      </c>
      <c r="S1244" s="64">
        <v>21500</v>
      </c>
      <c r="T1244" s="64" t="s">
        <v>33</v>
      </c>
      <c r="U1244" s="65" t="s">
        <v>33</v>
      </c>
      <c r="V1244" s="64" t="s">
        <v>28</v>
      </c>
      <c r="W1244" s="64">
        <f t="shared" ref="W1244:W1246" si="2521">+S1244-M1244</f>
        <v>3200</v>
      </c>
      <c r="X1244" s="64" t="s">
        <v>36</v>
      </c>
      <c r="Y1244" s="64" t="s">
        <v>29</v>
      </c>
      <c r="Z1244" s="71">
        <f t="shared" ref="Z1244:Z1246" si="2522">+W1244*100/M1244</f>
        <v>17.486338797814209</v>
      </c>
      <c r="AA1244" s="93"/>
    </row>
    <row r="1245" spans="1:27" ht="16" hidden="1">
      <c r="A1245" s="64">
        <f>SUBTOTAL(3,C$2:C1245)</f>
        <v>469</v>
      </c>
      <c r="B1245" s="64" t="s">
        <v>2469</v>
      </c>
      <c r="C1245" s="64" t="s">
        <v>44</v>
      </c>
      <c r="D1245" s="64" t="s">
        <v>32</v>
      </c>
      <c r="E1245" s="64" t="s">
        <v>33</v>
      </c>
      <c r="F1245" s="40" t="s">
        <v>2640</v>
      </c>
      <c r="G1245" s="91">
        <v>407</v>
      </c>
      <c r="H1245" s="111" t="s">
        <v>2641</v>
      </c>
      <c r="I1245" s="104">
        <v>46177</v>
      </c>
      <c r="J1245" s="64">
        <f t="shared" ca="1" si="2518"/>
        <v>7</v>
      </c>
      <c r="K1245" s="97" t="str">
        <f t="shared" si="2519"/>
        <v>Pending</v>
      </c>
      <c r="L1245" s="64" t="s">
        <v>84</v>
      </c>
      <c r="M1245" s="64">
        <v>28000</v>
      </c>
      <c r="N1245" s="64">
        <v>26000</v>
      </c>
      <c r="O1245" s="104">
        <v>46177</v>
      </c>
      <c r="P1245" s="64">
        <f t="shared" si="2520"/>
        <v>2000</v>
      </c>
      <c r="Q1245" s="97" t="s">
        <v>33</v>
      </c>
      <c r="R1245" s="97" t="s">
        <v>78</v>
      </c>
      <c r="S1245" s="64">
        <v>31141</v>
      </c>
      <c r="T1245" s="64" t="s">
        <v>33</v>
      </c>
      <c r="U1245" s="65" t="s">
        <v>33</v>
      </c>
      <c r="V1245" s="64" t="s">
        <v>28</v>
      </c>
      <c r="W1245" s="64">
        <f t="shared" si="2521"/>
        <v>3141</v>
      </c>
      <c r="X1245" s="64" t="s">
        <v>36</v>
      </c>
      <c r="Y1245" s="64" t="s">
        <v>29</v>
      </c>
      <c r="Z1245" s="71">
        <f t="shared" si="2522"/>
        <v>11.217857142857143</v>
      </c>
      <c r="AA1245" s="93"/>
    </row>
    <row r="1246" spans="1:27" ht="16" hidden="1">
      <c r="A1246" s="64">
        <f>SUBTOTAL(3,C$2:C1246)</f>
        <v>469</v>
      </c>
      <c r="B1246" s="64" t="s">
        <v>2469</v>
      </c>
      <c r="C1246" s="64" t="s">
        <v>44</v>
      </c>
      <c r="D1246" s="64" t="s">
        <v>32</v>
      </c>
      <c r="E1246" s="64" t="s">
        <v>33</v>
      </c>
      <c r="F1246" s="40" t="s">
        <v>1041</v>
      </c>
      <c r="G1246" s="91" t="s">
        <v>1918</v>
      </c>
      <c r="H1246" s="111" t="s">
        <v>2635</v>
      </c>
      <c r="I1246" s="104">
        <v>46177</v>
      </c>
      <c r="J1246" s="64">
        <f t="shared" ca="1" si="2518"/>
        <v>7</v>
      </c>
      <c r="K1246" s="97" t="str">
        <f t="shared" si="2519"/>
        <v>Pending</v>
      </c>
      <c r="L1246" s="64" t="s">
        <v>1411</v>
      </c>
      <c r="M1246" s="64">
        <v>31500</v>
      </c>
      <c r="N1246" s="64">
        <v>28500</v>
      </c>
      <c r="O1246" s="104">
        <v>46177</v>
      </c>
      <c r="P1246" s="64">
        <f t="shared" si="2520"/>
        <v>3000</v>
      </c>
      <c r="Q1246" s="97" t="s">
        <v>33</v>
      </c>
      <c r="R1246" s="97" t="s">
        <v>39</v>
      </c>
      <c r="S1246" s="64">
        <v>35000</v>
      </c>
      <c r="T1246" s="64" t="s">
        <v>33</v>
      </c>
      <c r="U1246" s="65" t="s">
        <v>33</v>
      </c>
      <c r="V1246" s="64" t="s">
        <v>28</v>
      </c>
      <c r="W1246" s="64">
        <f t="shared" si="2521"/>
        <v>3500</v>
      </c>
      <c r="X1246" s="64" t="s">
        <v>36</v>
      </c>
      <c r="Y1246" s="64" t="s">
        <v>29</v>
      </c>
      <c r="Z1246" s="71">
        <f t="shared" si="2522"/>
        <v>11.111111111111111</v>
      </c>
      <c r="AA1246" s="93"/>
    </row>
    <row r="1247" spans="1:27" ht="16" hidden="1">
      <c r="A1247" s="64">
        <f>SUBTOTAL(3,C$2:C1247)</f>
        <v>469</v>
      </c>
      <c r="B1247" s="64" t="s">
        <v>2469</v>
      </c>
      <c r="C1247" s="64" t="s">
        <v>31</v>
      </c>
      <c r="D1247" s="64" t="s">
        <v>32</v>
      </c>
      <c r="E1247" s="64" t="s">
        <v>33</v>
      </c>
      <c r="F1247" s="40" t="s">
        <v>2314</v>
      </c>
      <c r="G1247" s="91" t="s">
        <v>34</v>
      </c>
      <c r="H1247" s="111" t="s">
        <v>2638</v>
      </c>
      <c r="I1247" s="104">
        <v>46177</v>
      </c>
      <c r="J1247" s="64">
        <f t="shared" ref="J1247:J1248" ca="1" si="2523">+TODAY()-I1247</f>
        <v>7</v>
      </c>
      <c r="K1247" s="97" t="str">
        <f t="shared" ref="K1247:K1248" si="2524">+U1247</f>
        <v>Pending</v>
      </c>
      <c r="L1247" s="64" t="s">
        <v>1954</v>
      </c>
      <c r="M1247" s="64">
        <v>18300</v>
      </c>
      <c r="N1247" s="64">
        <v>16500</v>
      </c>
      <c r="O1247" s="104">
        <v>46177</v>
      </c>
      <c r="P1247" s="64">
        <f t="shared" ref="P1247:P1248" si="2525">+M1247-N1247</f>
        <v>1800</v>
      </c>
      <c r="Q1247" s="97" t="s">
        <v>33</v>
      </c>
      <c r="R1247" s="97" t="s">
        <v>37</v>
      </c>
      <c r="S1247" s="64">
        <v>21500</v>
      </c>
      <c r="T1247" s="64" t="s">
        <v>33</v>
      </c>
      <c r="U1247" s="65" t="s">
        <v>33</v>
      </c>
      <c r="V1247" s="64" t="s">
        <v>28</v>
      </c>
      <c r="W1247" s="64">
        <f t="shared" ref="W1247:W1248" si="2526">+S1247-M1247</f>
        <v>3200</v>
      </c>
      <c r="X1247" s="64" t="s">
        <v>36</v>
      </c>
      <c r="Y1247" s="64" t="s">
        <v>29</v>
      </c>
      <c r="Z1247" s="71">
        <f t="shared" ref="Z1247:Z1248" si="2527">+W1247*100/M1247</f>
        <v>17.486338797814209</v>
      </c>
      <c r="AA1247" s="93"/>
    </row>
    <row r="1248" spans="1:27" ht="16" hidden="1">
      <c r="A1248" s="64">
        <f>SUBTOTAL(3,C$2:C1248)</f>
        <v>469</v>
      </c>
      <c r="B1248" s="64" t="s">
        <v>2469</v>
      </c>
      <c r="C1248" s="64" t="s">
        <v>44</v>
      </c>
      <c r="D1248" s="64" t="s">
        <v>32</v>
      </c>
      <c r="E1248" s="64" t="s">
        <v>33</v>
      </c>
      <c r="F1248" s="40" t="s">
        <v>1030</v>
      </c>
      <c r="G1248" s="91">
        <v>407</v>
      </c>
      <c r="H1248" s="111" t="s">
        <v>2639</v>
      </c>
      <c r="I1248" s="104">
        <v>46177</v>
      </c>
      <c r="J1248" s="64">
        <f t="shared" ca="1" si="2523"/>
        <v>7</v>
      </c>
      <c r="K1248" s="97" t="str">
        <f t="shared" si="2524"/>
        <v>Pending</v>
      </c>
      <c r="L1248" s="64" t="s">
        <v>84</v>
      </c>
      <c r="M1248" s="64">
        <v>28000</v>
      </c>
      <c r="N1248" s="64">
        <v>26000</v>
      </c>
      <c r="O1248" s="104">
        <v>46177</v>
      </c>
      <c r="P1248" s="64">
        <f t="shared" si="2525"/>
        <v>2000</v>
      </c>
      <c r="Q1248" s="97" t="s">
        <v>33</v>
      </c>
      <c r="R1248" s="97" t="s">
        <v>78</v>
      </c>
      <c r="S1248" s="64">
        <v>31141</v>
      </c>
      <c r="T1248" s="64" t="s">
        <v>33</v>
      </c>
      <c r="U1248" s="65" t="s">
        <v>33</v>
      </c>
      <c r="V1248" s="64" t="s">
        <v>28</v>
      </c>
      <c r="W1248" s="64">
        <f t="shared" si="2526"/>
        <v>3141</v>
      </c>
      <c r="X1248" s="64" t="s">
        <v>36</v>
      </c>
      <c r="Y1248" s="64" t="s">
        <v>29</v>
      </c>
      <c r="Z1248" s="71">
        <f t="shared" si="2527"/>
        <v>11.217857142857143</v>
      </c>
      <c r="AA1248" s="93"/>
    </row>
    <row r="1249" spans="1:27" ht="16" hidden="1">
      <c r="A1249" s="64">
        <f>SUBTOTAL(3,C$2:C1249)</f>
        <v>469</v>
      </c>
      <c r="B1249" s="64" t="s">
        <v>2469</v>
      </c>
      <c r="C1249" s="64" t="s">
        <v>76</v>
      </c>
      <c r="D1249" s="64" t="s">
        <v>32</v>
      </c>
      <c r="E1249" s="64" t="s">
        <v>33</v>
      </c>
      <c r="F1249" s="40" t="s">
        <v>373</v>
      </c>
      <c r="G1249" s="91" t="s">
        <v>67</v>
      </c>
      <c r="H1249" s="111" t="s">
        <v>2642</v>
      </c>
      <c r="I1249" s="104">
        <v>46177</v>
      </c>
      <c r="J1249" s="64">
        <f t="shared" ref="J1249:J1251" ca="1" si="2528">+TODAY()-I1249</f>
        <v>7</v>
      </c>
      <c r="K1249" s="97" t="str">
        <f t="shared" ref="K1249:K1251" si="2529">+U1249</f>
        <v>Pending</v>
      </c>
      <c r="L1249" s="64" t="s">
        <v>302</v>
      </c>
      <c r="M1249" s="64">
        <f>3000+38500</f>
        <v>41500</v>
      </c>
      <c r="N1249" s="64">
        <v>35500</v>
      </c>
      <c r="O1249" s="104">
        <v>46177</v>
      </c>
      <c r="P1249" s="64">
        <f t="shared" ref="P1249:P1251" si="2530">+M1249-N1249</f>
        <v>6000</v>
      </c>
      <c r="Q1249" s="97" t="s">
        <v>33</v>
      </c>
      <c r="R1249" s="97" t="s">
        <v>52</v>
      </c>
      <c r="S1249" s="64">
        <f>5000+42000</f>
        <v>47000</v>
      </c>
      <c r="T1249" s="64" t="s">
        <v>33</v>
      </c>
      <c r="U1249" s="65" t="s">
        <v>33</v>
      </c>
      <c r="V1249" s="64" t="s">
        <v>28</v>
      </c>
      <c r="W1249" s="64">
        <f t="shared" ref="W1249:W1251" si="2531">+S1249-M1249</f>
        <v>5500</v>
      </c>
      <c r="X1249" s="64" t="s">
        <v>36</v>
      </c>
      <c r="Y1249" s="64" t="s">
        <v>29</v>
      </c>
      <c r="Z1249" s="71">
        <f t="shared" ref="Z1249:Z1251" si="2532">+W1249*100/M1249</f>
        <v>13.253012048192771</v>
      </c>
      <c r="AA1249" s="93"/>
    </row>
    <row r="1250" spans="1:27" ht="16" hidden="1">
      <c r="A1250" s="64">
        <f>SUBTOTAL(3,C$2:C1250)</f>
        <v>469</v>
      </c>
      <c r="B1250" s="64" t="s">
        <v>2469</v>
      </c>
      <c r="C1250" s="64" t="s">
        <v>31</v>
      </c>
      <c r="D1250" s="64" t="s">
        <v>32</v>
      </c>
      <c r="E1250" s="64" t="s">
        <v>33</v>
      </c>
      <c r="F1250" s="40" t="s">
        <v>2644</v>
      </c>
      <c r="G1250" s="91" t="s">
        <v>34</v>
      </c>
      <c r="H1250" s="111" t="s">
        <v>2645</v>
      </c>
      <c r="I1250" s="104">
        <v>46177</v>
      </c>
      <c r="J1250" s="64">
        <f t="shared" ref="J1250" ca="1" si="2533">+TODAY()-I1250</f>
        <v>7</v>
      </c>
      <c r="K1250" s="97" t="str">
        <f t="shared" ref="K1250" si="2534">+U1250</f>
        <v>Pending</v>
      </c>
      <c r="L1250" s="64" t="s">
        <v>1954</v>
      </c>
      <c r="M1250" s="64">
        <v>18300</v>
      </c>
      <c r="N1250" s="64">
        <v>16500</v>
      </c>
      <c r="O1250" s="104">
        <v>46177</v>
      </c>
      <c r="P1250" s="64">
        <f t="shared" ref="P1250" si="2535">+M1250-N1250</f>
        <v>1800</v>
      </c>
      <c r="Q1250" s="97" t="s">
        <v>33</v>
      </c>
      <c r="R1250" s="97" t="s">
        <v>52</v>
      </c>
      <c r="S1250" s="64">
        <v>21500</v>
      </c>
      <c r="T1250" s="64" t="s">
        <v>33</v>
      </c>
      <c r="U1250" s="65" t="s">
        <v>33</v>
      </c>
      <c r="V1250" s="64" t="s">
        <v>28</v>
      </c>
      <c r="W1250" s="64">
        <f t="shared" ref="W1250" si="2536">+S1250-M1250</f>
        <v>3200</v>
      </c>
      <c r="X1250" s="64" t="s">
        <v>36</v>
      </c>
      <c r="Y1250" s="64" t="s">
        <v>29</v>
      </c>
      <c r="Z1250" s="71">
        <f t="shared" ref="Z1250" si="2537">+W1250*100/M1250</f>
        <v>17.486338797814209</v>
      </c>
      <c r="AA1250" s="93"/>
    </row>
    <row r="1251" spans="1:27" ht="16" hidden="1">
      <c r="A1251" s="64">
        <f>SUBTOTAL(3,C$2:C1251)</f>
        <v>469</v>
      </c>
      <c r="B1251" s="64" t="s">
        <v>2469</v>
      </c>
      <c r="C1251" s="64" t="s">
        <v>1031</v>
      </c>
      <c r="D1251" s="64" t="s">
        <v>32</v>
      </c>
      <c r="E1251" s="64" t="s">
        <v>33</v>
      </c>
      <c r="F1251" s="40" t="s">
        <v>182</v>
      </c>
      <c r="G1251" s="91" t="s">
        <v>34</v>
      </c>
      <c r="H1251" s="111" t="s">
        <v>2643</v>
      </c>
      <c r="I1251" s="104">
        <v>46176</v>
      </c>
      <c r="J1251" s="64">
        <f t="shared" ca="1" si="2528"/>
        <v>8</v>
      </c>
      <c r="K1251" s="97" t="str">
        <f t="shared" si="2529"/>
        <v>Pending</v>
      </c>
      <c r="L1251" s="64" t="s">
        <v>783</v>
      </c>
      <c r="M1251" s="64">
        <v>18000</v>
      </c>
      <c r="N1251" s="64">
        <v>16000</v>
      </c>
      <c r="O1251" s="104">
        <v>46177</v>
      </c>
      <c r="P1251" s="64">
        <f t="shared" si="2530"/>
        <v>2000</v>
      </c>
      <c r="Q1251" s="97" t="s">
        <v>33</v>
      </c>
      <c r="R1251" s="97" t="s">
        <v>39</v>
      </c>
      <c r="S1251" s="64">
        <v>20500</v>
      </c>
      <c r="T1251" s="64" t="s">
        <v>33</v>
      </c>
      <c r="U1251" s="65" t="s">
        <v>33</v>
      </c>
      <c r="V1251" s="64" t="s">
        <v>28</v>
      </c>
      <c r="W1251" s="64">
        <f t="shared" si="2531"/>
        <v>2500</v>
      </c>
      <c r="X1251" s="64" t="s">
        <v>963</v>
      </c>
      <c r="Y1251" s="64" t="s">
        <v>29</v>
      </c>
      <c r="Z1251" s="71">
        <f t="shared" si="2532"/>
        <v>13.888888888888889</v>
      </c>
      <c r="AA1251" s="93"/>
    </row>
    <row r="1252" spans="1:27" ht="16" hidden="1">
      <c r="A1252" s="64">
        <f>SUBTOTAL(3,C$2:C1252)</f>
        <v>469</v>
      </c>
      <c r="B1252" s="64" t="s">
        <v>2469</v>
      </c>
      <c r="C1252" s="64" t="s">
        <v>31</v>
      </c>
      <c r="D1252" s="64" t="s">
        <v>32</v>
      </c>
      <c r="E1252" s="64" t="s">
        <v>33</v>
      </c>
      <c r="F1252" s="40" t="s">
        <v>377</v>
      </c>
      <c r="G1252" s="91" t="s">
        <v>34</v>
      </c>
      <c r="H1252" s="111" t="s">
        <v>2647</v>
      </c>
      <c r="I1252" s="104">
        <v>46177</v>
      </c>
      <c r="J1252" s="64">
        <f t="shared" ref="J1252:J1254" ca="1" si="2538">+TODAY()-I1252</f>
        <v>7</v>
      </c>
      <c r="K1252" s="97" t="str">
        <f t="shared" ref="K1252:K1254" si="2539">+U1252</f>
        <v>Pending</v>
      </c>
      <c r="L1252" s="64" t="s">
        <v>483</v>
      </c>
      <c r="M1252" s="64">
        <v>24000</v>
      </c>
      <c r="N1252" s="64">
        <v>22000</v>
      </c>
      <c r="O1252" s="104">
        <v>46177</v>
      </c>
      <c r="P1252" s="64">
        <f t="shared" ref="P1252:P1254" si="2540">+M1252-N1252</f>
        <v>2000</v>
      </c>
      <c r="Q1252" s="97" t="s">
        <v>33</v>
      </c>
      <c r="R1252" s="97" t="s">
        <v>37</v>
      </c>
      <c r="S1252" s="64">
        <v>26000</v>
      </c>
      <c r="T1252" s="64" t="s">
        <v>33</v>
      </c>
      <c r="U1252" s="65" t="s">
        <v>33</v>
      </c>
      <c r="V1252" s="64" t="s">
        <v>28</v>
      </c>
      <c r="W1252" s="64">
        <f t="shared" ref="W1252:W1254" si="2541">+S1252-M1252</f>
        <v>2000</v>
      </c>
      <c r="X1252" s="64" t="s">
        <v>36</v>
      </c>
      <c r="Y1252" s="64" t="s">
        <v>29</v>
      </c>
      <c r="Z1252" s="71">
        <f t="shared" ref="Z1252:Z1254" si="2542">+W1252*100/M1252</f>
        <v>8.3333333333333339</v>
      </c>
      <c r="AA1252" s="93"/>
    </row>
    <row r="1253" spans="1:27" ht="16" hidden="1">
      <c r="A1253" s="64">
        <f>SUBTOTAL(3,C$2:C1253)</f>
        <v>469</v>
      </c>
      <c r="B1253" s="64" t="s">
        <v>2469</v>
      </c>
      <c r="C1253" s="64" t="s">
        <v>31</v>
      </c>
      <c r="D1253" s="64" t="s">
        <v>32</v>
      </c>
      <c r="E1253" s="64" t="s">
        <v>33</v>
      </c>
      <c r="F1253" s="40" t="s">
        <v>1279</v>
      </c>
      <c r="G1253" s="91" t="s">
        <v>34</v>
      </c>
      <c r="H1253" s="111" t="s">
        <v>2653</v>
      </c>
      <c r="I1253" s="104">
        <v>46177</v>
      </c>
      <c r="J1253" s="64">
        <f t="shared" ca="1" si="2538"/>
        <v>7</v>
      </c>
      <c r="K1253" s="97" t="str">
        <f t="shared" si="2539"/>
        <v>Pending</v>
      </c>
      <c r="L1253" s="64" t="s">
        <v>687</v>
      </c>
      <c r="M1253" s="64">
        <v>28000</v>
      </c>
      <c r="N1253" s="64">
        <v>26000</v>
      </c>
      <c r="O1253" s="104">
        <v>46177</v>
      </c>
      <c r="P1253" s="64">
        <f t="shared" si="2540"/>
        <v>2000</v>
      </c>
      <c r="Q1253" s="97" t="s">
        <v>33</v>
      </c>
      <c r="R1253" s="97" t="s">
        <v>37</v>
      </c>
      <c r="S1253" s="64">
        <v>33000</v>
      </c>
      <c r="T1253" s="64" t="s">
        <v>33</v>
      </c>
      <c r="U1253" s="65" t="s">
        <v>33</v>
      </c>
      <c r="V1253" s="64" t="s">
        <v>28</v>
      </c>
      <c r="W1253" s="64">
        <f t="shared" si="2541"/>
        <v>5000</v>
      </c>
      <c r="X1253" s="64" t="s">
        <v>36</v>
      </c>
      <c r="Y1253" s="64" t="s">
        <v>29</v>
      </c>
      <c r="Z1253" s="71">
        <f t="shared" si="2542"/>
        <v>17.857142857142858</v>
      </c>
      <c r="AA1253" s="93"/>
    </row>
    <row r="1254" spans="1:27" ht="16" hidden="1">
      <c r="A1254" s="64">
        <f>SUBTOTAL(3,C$2:C1254)</f>
        <v>469</v>
      </c>
      <c r="B1254" s="64" t="s">
        <v>2469</v>
      </c>
      <c r="C1254" s="64" t="s">
        <v>31</v>
      </c>
      <c r="D1254" s="64" t="s">
        <v>32</v>
      </c>
      <c r="E1254" s="64" t="s">
        <v>33</v>
      </c>
      <c r="F1254" s="40" t="s">
        <v>2655</v>
      </c>
      <c r="G1254" s="91" t="s">
        <v>34</v>
      </c>
      <c r="H1254" s="111" t="s">
        <v>2646</v>
      </c>
      <c r="I1254" s="104">
        <v>46177</v>
      </c>
      <c r="J1254" s="64">
        <f t="shared" ca="1" si="2538"/>
        <v>7</v>
      </c>
      <c r="K1254" s="97" t="str">
        <f t="shared" si="2539"/>
        <v>Pending</v>
      </c>
      <c r="L1254" s="64" t="s">
        <v>1954</v>
      </c>
      <c r="M1254" s="64">
        <v>18300</v>
      </c>
      <c r="N1254" s="64">
        <v>16500</v>
      </c>
      <c r="O1254" s="104">
        <v>46177</v>
      </c>
      <c r="P1254" s="64">
        <f t="shared" si="2540"/>
        <v>1800</v>
      </c>
      <c r="Q1254" s="97" t="s">
        <v>33</v>
      </c>
      <c r="R1254" s="97" t="s">
        <v>52</v>
      </c>
      <c r="S1254" s="64">
        <v>21500</v>
      </c>
      <c r="T1254" s="64" t="s">
        <v>33</v>
      </c>
      <c r="U1254" s="65" t="s">
        <v>33</v>
      </c>
      <c r="V1254" s="64" t="s">
        <v>28</v>
      </c>
      <c r="W1254" s="64">
        <f t="shared" si="2541"/>
        <v>3200</v>
      </c>
      <c r="X1254" s="64" t="s">
        <v>36</v>
      </c>
      <c r="Y1254" s="64" t="s">
        <v>29</v>
      </c>
      <c r="Z1254" s="71">
        <f t="shared" si="2542"/>
        <v>17.486338797814209</v>
      </c>
      <c r="AA1254" s="93"/>
    </row>
    <row r="1255" spans="1:27" ht="16" hidden="1">
      <c r="A1255" s="64">
        <f>SUBTOTAL(3,C$2:C1255)</f>
        <v>469</v>
      </c>
      <c r="B1255" s="64" t="s">
        <v>2469</v>
      </c>
      <c r="C1255" s="64" t="s">
        <v>31</v>
      </c>
      <c r="D1255" s="64" t="s">
        <v>32</v>
      </c>
      <c r="E1255" s="64" t="s">
        <v>33</v>
      </c>
      <c r="F1255" s="40" t="s">
        <v>191</v>
      </c>
      <c r="G1255" s="91" t="s">
        <v>34</v>
      </c>
      <c r="H1255" s="111" t="s">
        <v>2648</v>
      </c>
      <c r="I1255" s="104">
        <v>46177</v>
      </c>
      <c r="J1255" s="64">
        <f t="shared" ref="J1255:J1256" ca="1" si="2543">+TODAY()-I1255</f>
        <v>7</v>
      </c>
      <c r="K1255" s="97" t="str">
        <f t="shared" ref="K1255:K1256" si="2544">+U1255</f>
        <v>Pending</v>
      </c>
      <c r="L1255" s="64" t="s">
        <v>483</v>
      </c>
      <c r="M1255" s="64">
        <v>24000</v>
      </c>
      <c r="N1255" s="64">
        <v>22000</v>
      </c>
      <c r="O1255" s="104">
        <v>46177</v>
      </c>
      <c r="P1255" s="64">
        <f t="shared" ref="P1255:P1256" si="2545">+M1255-N1255</f>
        <v>2000</v>
      </c>
      <c r="Q1255" s="97" t="s">
        <v>33</v>
      </c>
      <c r="R1255" s="97" t="s">
        <v>37</v>
      </c>
      <c r="S1255" s="64">
        <v>26000</v>
      </c>
      <c r="T1255" s="64" t="s">
        <v>33</v>
      </c>
      <c r="U1255" s="65" t="s">
        <v>33</v>
      </c>
      <c r="V1255" s="64" t="s">
        <v>28</v>
      </c>
      <c r="W1255" s="64">
        <f t="shared" ref="W1255:W1256" si="2546">+S1255-M1255</f>
        <v>2000</v>
      </c>
      <c r="X1255" s="64" t="s">
        <v>36</v>
      </c>
      <c r="Y1255" s="64" t="s">
        <v>29</v>
      </c>
      <c r="Z1255" s="71">
        <f t="shared" ref="Z1255:Z1256" si="2547">+W1255*100/M1255</f>
        <v>8.3333333333333339</v>
      </c>
      <c r="AA1255" s="93"/>
    </row>
    <row r="1256" spans="1:27" ht="16" hidden="1">
      <c r="A1256" s="64">
        <f>SUBTOTAL(3,C$2:C1256)</f>
        <v>469</v>
      </c>
      <c r="B1256" s="64" t="s">
        <v>2469</v>
      </c>
      <c r="C1256" s="64" t="s">
        <v>1031</v>
      </c>
      <c r="D1256" s="64" t="s">
        <v>32</v>
      </c>
      <c r="E1256" s="64" t="s">
        <v>33</v>
      </c>
      <c r="F1256" s="40" t="s">
        <v>2210</v>
      </c>
      <c r="G1256" s="91" t="s">
        <v>34</v>
      </c>
      <c r="H1256" s="111" t="s">
        <v>2649</v>
      </c>
      <c r="I1256" s="104">
        <v>46177</v>
      </c>
      <c r="J1256" s="64">
        <f t="shared" ca="1" si="2543"/>
        <v>7</v>
      </c>
      <c r="K1256" s="97" t="str">
        <f t="shared" si="2544"/>
        <v>Pending</v>
      </c>
      <c r="L1256" s="64" t="s">
        <v>2408</v>
      </c>
      <c r="M1256" s="64">
        <v>18300</v>
      </c>
      <c r="N1256" s="64">
        <v>16000</v>
      </c>
      <c r="O1256" s="104">
        <v>46177</v>
      </c>
      <c r="P1256" s="64">
        <f t="shared" si="2545"/>
        <v>2300</v>
      </c>
      <c r="Q1256" s="97" t="s">
        <v>33</v>
      </c>
      <c r="R1256" s="97" t="s">
        <v>174</v>
      </c>
      <c r="S1256" s="64">
        <v>21500</v>
      </c>
      <c r="T1256" s="64" t="s">
        <v>33</v>
      </c>
      <c r="U1256" s="65" t="s">
        <v>33</v>
      </c>
      <c r="V1256" s="64" t="s">
        <v>28</v>
      </c>
      <c r="W1256" s="64">
        <f t="shared" si="2546"/>
        <v>3200</v>
      </c>
      <c r="X1256" s="64" t="s">
        <v>963</v>
      </c>
      <c r="Y1256" s="64" t="s">
        <v>29</v>
      </c>
      <c r="Z1256" s="71">
        <f t="shared" si="2547"/>
        <v>17.486338797814209</v>
      </c>
      <c r="AA1256" s="93"/>
    </row>
    <row r="1257" spans="1:27" ht="16" hidden="1">
      <c r="A1257" s="64">
        <f>SUBTOTAL(3,C$2:C1257)</f>
        <v>469</v>
      </c>
      <c r="B1257" s="64" t="s">
        <v>2469</v>
      </c>
      <c r="C1257" s="64" t="s">
        <v>31</v>
      </c>
      <c r="D1257" s="64" t="s">
        <v>32</v>
      </c>
      <c r="E1257" s="64" t="s">
        <v>33</v>
      </c>
      <c r="F1257" s="40" t="s">
        <v>2650</v>
      </c>
      <c r="G1257" s="91" t="s">
        <v>34</v>
      </c>
      <c r="H1257" s="111" t="s">
        <v>2651</v>
      </c>
      <c r="I1257" s="104">
        <v>46177</v>
      </c>
      <c r="J1257" s="64">
        <f t="shared" ref="J1257:J1258" ca="1" si="2548">+TODAY()-I1257</f>
        <v>7</v>
      </c>
      <c r="K1257" s="97" t="str">
        <f t="shared" ref="K1257:K1258" si="2549">+U1257</f>
        <v>Pending</v>
      </c>
      <c r="L1257" s="64" t="s">
        <v>2501</v>
      </c>
      <c r="M1257" s="64">
        <v>28500</v>
      </c>
      <c r="N1257" s="64">
        <v>26500</v>
      </c>
      <c r="O1257" s="104">
        <v>46177</v>
      </c>
      <c r="P1257" s="64">
        <f t="shared" ref="P1257:P1258" si="2550">+M1257-N1257</f>
        <v>2000</v>
      </c>
      <c r="Q1257" s="97" t="s">
        <v>33</v>
      </c>
      <c r="R1257" s="97" t="s">
        <v>174</v>
      </c>
      <c r="S1257" s="64">
        <v>31500</v>
      </c>
      <c r="T1257" s="64" t="s">
        <v>33</v>
      </c>
      <c r="U1257" s="65" t="s">
        <v>33</v>
      </c>
      <c r="V1257" s="64" t="s">
        <v>28</v>
      </c>
      <c r="W1257" s="64">
        <f t="shared" ref="W1257:W1258" si="2551">+S1257-M1257</f>
        <v>3000</v>
      </c>
      <c r="X1257" s="64" t="s">
        <v>36</v>
      </c>
      <c r="Y1257" s="64" t="s">
        <v>29</v>
      </c>
      <c r="Z1257" s="71">
        <f t="shared" ref="Z1257:Z1258" si="2552">+W1257*100/M1257</f>
        <v>10.526315789473685</v>
      </c>
      <c r="AA1257" s="93"/>
    </row>
    <row r="1258" spans="1:27" ht="16" hidden="1">
      <c r="A1258" s="64">
        <f>SUBTOTAL(3,C$2:C1258)</f>
        <v>469</v>
      </c>
      <c r="B1258" s="64" t="s">
        <v>2469</v>
      </c>
      <c r="C1258" s="64" t="s">
        <v>216</v>
      </c>
      <c r="D1258" s="64" t="s">
        <v>32</v>
      </c>
      <c r="E1258" s="64" t="s">
        <v>33</v>
      </c>
      <c r="F1258" s="40" t="s">
        <v>215</v>
      </c>
      <c r="G1258" s="91" t="s">
        <v>1942</v>
      </c>
      <c r="H1258" s="111" t="s">
        <v>2706</v>
      </c>
      <c r="I1258" s="104">
        <v>46177</v>
      </c>
      <c r="J1258" s="64">
        <f t="shared" ca="1" si="2548"/>
        <v>7</v>
      </c>
      <c r="K1258" s="97" t="str">
        <f t="shared" si="2549"/>
        <v>Pending</v>
      </c>
      <c r="L1258" s="64" t="s">
        <v>217</v>
      </c>
      <c r="M1258" s="64">
        <f>3000+38500</f>
        <v>41500</v>
      </c>
      <c r="N1258" s="64">
        <v>35500</v>
      </c>
      <c r="O1258" s="104">
        <v>46178</v>
      </c>
      <c r="P1258" s="64">
        <f t="shared" si="2550"/>
        <v>6000</v>
      </c>
      <c r="Q1258" s="97" t="s">
        <v>33</v>
      </c>
      <c r="R1258" s="97" t="s">
        <v>52</v>
      </c>
      <c r="S1258" s="64">
        <f>5000+42000</f>
        <v>47000</v>
      </c>
      <c r="T1258" s="64" t="s">
        <v>33</v>
      </c>
      <c r="U1258" s="65" t="s">
        <v>33</v>
      </c>
      <c r="V1258" s="64" t="s">
        <v>28</v>
      </c>
      <c r="W1258" s="64">
        <f t="shared" si="2551"/>
        <v>5500</v>
      </c>
      <c r="X1258" s="64" t="s">
        <v>36</v>
      </c>
      <c r="Y1258" s="64" t="s">
        <v>29</v>
      </c>
      <c r="Z1258" s="71">
        <f t="shared" si="2552"/>
        <v>13.253012048192771</v>
      </c>
      <c r="AA1258" s="93"/>
    </row>
    <row r="1259" spans="1:27" ht="16" hidden="1">
      <c r="A1259" s="64">
        <f>SUBTOTAL(3,C$2:C1259)</f>
        <v>469</v>
      </c>
      <c r="B1259" s="64" t="s">
        <v>2469</v>
      </c>
      <c r="C1259" s="64" t="s">
        <v>31</v>
      </c>
      <c r="D1259" s="64" t="s">
        <v>32</v>
      </c>
      <c r="E1259" s="64" t="s">
        <v>33</v>
      </c>
      <c r="F1259" s="40" t="s">
        <v>2707</v>
      </c>
      <c r="G1259" s="91" t="s">
        <v>34</v>
      </c>
      <c r="H1259" s="111" t="s">
        <v>2745</v>
      </c>
      <c r="I1259" s="104">
        <v>46177</v>
      </c>
      <c r="J1259" s="64">
        <f t="shared" ref="J1259:J1263" ca="1" si="2553">+TODAY()-I1259</f>
        <v>7</v>
      </c>
      <c r="K1259" s="97" t="str">
        <f t="shared" ref="K1259:K1263" si="2554">+U1259</f>
        <v>Pending</v>
      </c>
      <c r="L1259" s="64" t="s">
        <v>1954</v>
      </c>
      <c r="M1259" s="64">
        <v>18500</v>
      </c>
      <c r="N1259" s="64">
        <v>16500</v>
      </c>
      <c r="O1259" s="104">
        <v>46178</v>
      </c>
      <c r="P1259" s="64">
        <f t="shared" ref="P1259:P1263" si="2555">+M1259-N1259</f>
        <v>2000</v>
      </c>
      <c r="Q1259" s="97" t="s">
        <v>33</v>
      </c>
      <c r="R1259" s="97" t="s">
        <v>37</v>
      </c>
      <c r="S1259" s="64">
        <v>21500</v>
      </c>
      <c r="T1259" s="64" t="s">
        <v>33</v>
      </c>
      <c r="U1259" s="65" t="s">
        <v>33</v>
      </c>
      <c r="V1259" s="64" t="s">
        <v>28</v>
      </c>
      <c r="W1259" s="64">
        <f t="shared" ref="W1259:W1263" si="2556">+S1259-M1259</f>
        <v>3000</v>
      </c>
      <c r="X1259" s="64" t="s">
        <v>36</v>
      </c>
      <c r="Y1259" s="64" t="s">
        <v>29</v>
      </c>
      <c r="Z1259" s="71">
        <f t="shared" ref="Z1259:Z1263" si="2557">+W1259*100/M1259</f>
        <v>16.216216216216218</v>
      </c>
      <c r="AA1259" s="93"/>
    </row>
    <row r="1260" spans="1:27" ht="16" hidden="1">
      <c r="A1260" s="64">
        <f>SUBTOTAL(3,C$2:C1260)</f>
        <v>469</v>
      </c>
      <c r="B1260" s="64" t="s">
        <v>2469</v>
      </c>
      <c r="C1260" s="64" t="s">
        <v>216</v>
      </c>
      <c r="D1260" s="64" t="s">
        <v>32</v>
      </c>
      <c r="E1260" s="64" t="s">
        <v>33</v>
      </c>
      <c r="F1260" s="40" t="s">
        <v>215</v>
      </c>
      <c r="G1260" s="91" t="s">
        <v>1942</v>
      </c>
      <c r="H1260" s="111" t="s">
        <v>2708</v>
      </c>
      <c r="I1260" s="104">
        <v>46175</v>
      </c>
      <c r="J1260" s="64">
        <f t="shared" ca="1" si="2553"/>
        <v>9</v>
      </c>
      <c r="K1260" s="97" t="str">
        <f t="shared" si="2554"/>
        <v>Pending</v>
      </c>
      <c r="L1260" s="64" t="s">
        <v>217</v>
      </c>
      <c r="M1260" s="64">
        <v>23000</v>
      </c>
      <c r="N1260" s="64">
        <v>23000</v>
      </c>
      <c r="O1260" s="104">
        <v>46178</v>
      </c>
      <c r="P1260" s="64">
        <f t="shared" si="2555"/>
        <v>0</v>
      </c>
      <c r="Q1260" s="97" t="s">
        <v>33</v>
      </c>
      <c r="R1260" s="97" t="s">
        <v>78</v>
      </c>
      <c r="S1260" s="64">
        <v>26648</v>
      </c>
      <c r="T1260" s="64" t="s">
        <v>33</v>
      </c>
      <c r="U1260" s="65" t="s">
        <v>33</v>
      </c>
      <c r="V1260" s="64" t="s">
        <v>28</v>
      </c>
      <c r="W1260" s="64">
        <f t="shared" si="2556"/>
        <v>3648</v>
      </c>
      <c r="X1260" s="64" t="s">
        <v>36</v>
      </c>
      <c r="Y1260" s="64" t="s">
        <v>29</v>
      </c>
      <c r="Z1260" s="71">
        <f t="shared" si="2557"/>
        <v>15.860869565217392</v>
      </c>
      <c r="AA1260" s="93"/>
    </row>
    <row r="1261" spans="1:27" ht="16" hidden="1">
      <c r="A1261" s="64">
        <f>SUBTOTAL(3,C$2:C1261)</f>
        <v>469</v>
      </c>
      <c r="B1261" s="64" t="s">
        <v>2469</v>
      </c>
      <c r="C1261" s="64" t="s">
        <v>44</v>
      </c>
      <c r="D1261" s="64" t="s">
        <v>32</v>
      </c>
      <c r="E1261" s="64" t="s">
        <v>33</v>
      </c>
      <c r="F1261" s="40" t="s">
        <v>2709</v>
      </c>
      <c r="G1261" s="91" t="s">
        <v>994</v>
      </c>
      <c r="H1261" s="111" t="s">
        <v>2710</v>
      </c>
      <c r="I1261" s="104">
        <v>46176</v>
      </c>
      <c r="J1261" s="64">
        <f t="shared" ca="1" si="2553"/>
        <v>8</v>
      </c>
      <c r="K1261" s="97" t="str">
        <f t="shared" si="2554"/>
        <v>Pending</v>
      </c>
      <c r="L1261" s="64" t="s">
        <v>995</v>
      </c>
      <c r="M1261" s="64">
        <v>40000</v>
      </c>
      <c r="N1261" s="64">
        <v>37000</v>
      </c>
      <c r="O1261" s="104">
        <v>46178</v>
      </c>
      <c r="P1261" s="64">
        <f t="shared" si="2555"/>
        <v>3000</v>
      </c>
      <c r="Q1261" s="97" t="s">
        <v>33</v>
      </c>
      <c r="R1261" s="97" t="s">
        <v>174</v>
      </c>
      <c r="S1261" s="64">
        <v>44000</v>
      </c>
      <c r="T1261" s="64" t="s">
        <v>33</v>
      </c>
      <c r="U1261" s="65" t="s">
        <v>33</v>
      </c>
      <c r="V1261" s="64" t="s">
        <v>28</v>
      </c>
      <c r="W1261" s="64">
        <f t="shared" si="2556"/>
        <v>4000</v>
      </c>
      <c r="X1261" s="64" t="s">
        <v>36</v>
      </c>
      <c r="Y1261" s="64" t="s">
        <v>29</v>
      </c>
      <c r="Z1261" s="71">
        <f t="shared" si="2557"/>
        <v>10</v>
      </c>
      <c r="AA1261" s="93"/>
    </row>
    <row r="1262" spans="1:27" ht="16" hidden="1">
      <c r="A1262" s="64">
        <f>SUBTOTAL(3,C$2:C1262)</f>
        <v>469</v>
      </c>
      <c r="B1262" s="64" t="s">
        <v>2469</v>
      </c>
      <c r="C1262" s="64" t="s">
        <v>80</v>
      </c>
      <c r="D1262" s="64" t="s">
        <v>32</v>
      </c>
      <c r="E1262" s="64" t="s">
        <v>33</v>
      </c>
      <c r="F1262" s="40" t="s">
        <v>1216</v>
      </c>
      <c r="G1262" s="91" t="s">
        <v>1215</v>
      </c>
      <c r="H1262" s="111" t="s">
        <v>2711</v>
      </c>
      <c r="I1262" s="104">
        <v>46177</v>
      </c>
      <c r="J1262" s="64">
        <f t="shared" ca="1" si="2553"/>
        <v>7</v>
      </c>
      <c r="K1262" s="97" t="str">
        <f t="shared" si="2554"/>
        <v>Pending</v>
      </c>
      <c r="L1262" s="64" t="s">
        <v>1858</v>
      </c>
      <c r="M1262" s="64">
        <v>28500</v>
      </c>
      <c r="N1262" s="64">
        <v>26500</v>
      </c>
      <c r="O1262" s="104">
        <v>46178</v>
      </c>
      <c r="P1262" s="64">
        <f t="shared" si="2555"/>
        <v>2000</v>
      </c>
      <c r="Q1262" s="97" t="s">
        <v>33</v>
      </c>
      <c r="R1262" s="97" t="s">
        <v>174</v>
      </c>
      <c r="S1262" s="64">
        <v>31500</v>
      </c>
      <c r="T1262" s="64" t="s">
        <v>33</v>
      </c>
      <c r="U1262" s="65" t="s">
        <v>33</v>
      </c>
      <c r="V1262" s="64" t="s">
        <v>28</v>
      </c>
      <c r="W1262" s="64">
        <f t="shared" si="2556"/>
        <v>3000</v>
      </c>
      <c r="X1262" s="64" t="s">
        <v>36</v>
      </c>
      <c r="Y1262" s="64" t="s">
        <v>29</v>
      </c>
      <c r="Z1262" s="71">
        <f t="shared" si="2557"/>
        <v>10.526315789473685</v>
      </c>
      <c r="AA1262" s="93"/>
    </row>
    <row r="1263" spans="1:27" ht="16" hidden="1">
      <c r="A1263" s="64">
        <f>SUBTOTAL(3,C$2:C1263)</f>
        <v>469</v>
      </c>
      <c r="B1263" s="64" t="s">
        <v>2469</v>
      </c>
      <c r="C1263" s="64" t="s">
        <v>1031</v>
      </c>
      <c r="D1263" s="64" t="s">
        <v>32</v>
      </c>
      <c r="E1263" s="64" t="s">
        <v>33</v>
      </c>
      <c r="F1263" s="40" t="s">
        <v>2712</v>
      </c>
      <c r="G1263" s="91" t="s">
        <v>34</v>
      </c>
      <c r="H1263" s="111" t="s">
        <v>2713</v>
      </c>
      <c r="I1263" s="104">
        <v>46177</v>
      </c>
      <c r="J1263" s="64">
        <f t="shared" ca="1" si="2553"/>
        <v>7</v>
      </c>
      <c r="K1263" s="97" t="str">
        <f t="shared" si="2554"/>
        <v>Pending</v>
      </c>
      <c r="L1263" s="64" t="s">
        <v>783</v>
      </c>
      <c r="M1263" s="64">
        <v>18000</v>
      </c>
      <c r="N1263" s="64">
        <v>16000</v>
      </c>
      <c r="O1263" s="104">
        <v>46178</v>
      </c>
      <c r="P1263" s="64">
        <f t="shared" si="2555"/>
        <v>2000</v>
      </c>
      <c r="Q1263" s="97" t="s">
        <v>33</v>
      </c>
      <c r="R1263" s="97" t="s">
        <v>56</v>
      </c>
      <c r="S1263" s="64">
        <v>20500</v>
      </c>
      <c r="T1263" s="64" t="s">
        <v>33</v>
      </c>
      <c r="U1263" s="65" t="s">
        <v>33</v>
      </c>
      <c r="V1263" s="64" t="s">
        <v>28</v>
      </c>
      <c r="W1263" s="64">
        <f t="shared" si="2556"/>
        <v>2500</v>
      </c>
      <c r="X1263" s="64" t="s">
        <v>963</v>
      </c>
      <c r="Y1263" s="64" t="s">
        <v>29</v>
      </c>
      <c r="Z1263" s="71">
        <f t="shared" si="2557"/>
        <v>13.888888888888889</v>
      </c>
      <c r="AA1263" s="93"/>
    </row>
    <row r="1264" spans="1:27" ht="16" hidden="1">
      <c r="A1264" s="64">
        <f>SUBTOTAL(3,C$2:C1264)</f>
        <v>469</v>
      </c>
      <c r="B1264" s="64" t="s">
        <v>2469</v>
      </c>
      <c r="C1264" s="64" t="s">
        <v>44</v>
      </c>
      <c r="D1264" s="64" t="s">
        <v>32</v>
      </c>
      <c r="E1264" s="64" t="s">
        <v>33</v>
      </c>
      <c r="F1264" s="40" t="s">
        <v>150</v>
      </c>
      <c r="G1264" s="91">
        <v>407</v>
      </c>
      <c r="H1264" s="111" t="s">
        <v>2714</v>
      </c>
      <c r="I1264" s="104">
        <v>46177</v>
      </c>
      <c r="J1264" s="64">
        <f t="shared" ref="J1264:J1266" ca="1" si="2558">+TODAY()-I1264</f>
        <v>7</v>
      </c>
      <c r="K1264" s="97" t="str">
        <f t="shared" ref="K1264:K1266" si="2559">+U1264</f>
        <v>Pending</v>
      </c>
      <c r="L1264" s="64" t="s">
        <v>84</v>
      </c>
      <c r="M1264" s="64">
        <v>28000</v>
      </c>
      <c r="N1264" s="64">
        <v>26000</v>
      </c>
      <c r="O1264" s="104">
        <v>46178</v>
      </c>
      <c r="P1264" s="64">
        <f t="shared" ref="P1264:P1266" si="2560">+M1264-N1264</f>
        <v>2000</v>
      </c>
      <c r="Q1264" s="97" t="s">
        <v>33</v>
      </c>
      <c r="R1264" s="97" t="s">
        <v>78</v>
      </c>
      <c r="S1264" s="64">
        <v>31141</v>
      </c>
      <c r="T1264" s="64" t="s">
        <v>33</v>
      </c>
      <c r="U1264" s="65" t="s">
        <v>33</v>
      </c>
      <c r="V1264" s="64" t="s">
        <v>28</v>
      </c>
      <c r="W1264" s="64">
        <f t="shared" ref="W1264:W1266" si="2561">+S1264-M1264</f>
        <v>3141</v>
      </c>
      <c r="X1264" s="64" t="s">
        <v>36</v>
      </c>
      <c r="Y1264" s="64" t="s">
        <v>29</v>
      </c>
      <c r="Z1264" s="71">
        <f t="shared" ref="Z1264:Z1266" si="2562">+W1264*100/M1264</f>
        <v>11.217857142857143</v>
      </c>
      <c r="AA1264" s="93"/>
    </row>
    <row r="1265" spans="1:27" ht="16" hidden="1">
      <c r="A1265" s="64">
        <f>SUBTOTAL(3,C$2:C1265)</f>
        <v>469</v>
      </c>
      <c r="B1265" s="64" t="s">
        <v>2469</v>
      </c>
      <c r="C1265" s="64" t="s">
        <v>1031</v>
      </c>
      <c r="D1265" s="64" t="s">
        <v>32</v>
      </c>
      <c r="E1265" s="64" t="s">
        <v>33</v>
      </c>
      <c r="F1265" s="40" t="s">
        <v>306</v>
      </c>
      <c r="G1265" s="91" t="s">
        <v>34</v>
      </c>
      <c r="H1265" s="111" t="s">
        <v>2715</v>
      </c>
      <c r="I1265" s="104">
        <v>46177</v>
      </c>
      <c r="J1265" s="64">
        <f t="shared" ca="1" si="2558"/>
        <v>7</v>
      </c>
      <c r="K1265" s="97" t="str">
        <f t="shared" si="2559"/>
        <v>Pending</v>
      </c>
      <c r="L1265" s="64" t="s">
        <v>783</v>
      </c>
      <c r="M1265" s="64">
        <v>24000</v>
      </c>
      <c r="N1265" s="64">
        <v>22000</v>
      </c>
      <c r="O1265" s="104">
        <v>46178</v>
      </c>
      <c r="P1265" s="64">
        <f t="shared" si="2560"/>
        <v>2000</v>
      </c>
      <c r="Q1265" s="97" t="s">
        <v>33</v>
      </c>
      <c r="R1265" s="97" t="s">
        <v>37</v>
      </c>
      <c r="S1265" s="64">
        <v>26000</v>
      </c>
      <c r="T1265" s="64" t="s">
        <v>33</v>
      </c>
      <c r="U1265" s="65" t="s">
        <v>33</v>
      </c>
      <c r="V1265" s="64" t="s">
        <v>28</v>
      </c>
      <c r="W1265" s="64">
        <f t="shared" si="2561"/>
        <v>2000</v>
      </c>
      <c r="X1265" s="64" t="s">
        <v>963</v>
      </c>
      <c r="Y1265" s="64" t="s">
        <v>29</v>
      </c>
      <c r="Z1265" s="71">
        <f t="shared" si="2562"/>
        <v>8.3333333333333339</v>
      </c>
      <c r="AA1265" s="93"/>
    </row>
    <row r="1266" spans="1:27" ht="16" hidden="1">
      <c r="A1266" s="64">
        <f>SUBTOTAL(3,C$2:C1266)</f>
        <v>469</v>
      </c>
      <c r="B1266" s="64" t="s">
        <v>2469</v>
      </c>
      <c r="C1266" s="64" t="s">
        <v>31</v>
      </c>
      <c r="D1266" s="64" t="s">
        <v>32</v>
      </c>
      <c r="E1266" s="64" t="s">
        <v>33</v>
      </c>
      <c r="F1266" s="40" t="s">
        <v>200</v>
      </c>
      <c r="G1266" s="91" t="s">
        <v>34</v>
      </c>
      <c r="H1266" s="111" t="s">
        <v>2716</v>
      </c>
      <c r="I1266" s="104">
        <v>46178</v>
      </c>
      <c r="J1266" s="64">
        <f t="shared" ca="1" si="2558"/>
        <v>6</v>
      </c>
      <c r="K1266" s="97" t="str">
        <f t="shared" si="2559"/>
        <v>Pending</v>
      </c>
      <c r="L1266" s="64" t="s">
        <v>1954</v>
      </c>
      <c r="M1266" s="64">
        <v>18300</v>
      </c>
      <c r="N1266" s="64">
        <v>16500</v>
      </c>
      <c r="O1266" s="104">
        <v>46178</v>
      </c>
      <c r="P1266" s="64">
        <f t="shared" si="2560"/>
        <v>1800</v>
      </c>
      <c r="Q1266" s="97" t="s">
        <v>33</v>
      </c>
      <c r="R1266" s="97" t="s">
        <v>37</v>
      </c>
      <c r="S1266" s="64">
        <v>21500</v>
      </c>
      <c r="T1266" s="64" t="s">
        <v>33</v>
      </c>
      <c r="U1266" s="65" t="s">
        <v>33</v>
      </c>
      <c r="V1266" s="64" t="s">
        <v>28</v>
      </c>
      <c r="W1266" s="64">
        <f t="shared" si="2561"/>
        <v>3200</v>
      </c>
      <c r="X1266" s="64" t="s">
        <v>36</v>
      </c>
      <c r="Y1266" s="64" t="s">
        <v>29</v>
      </c>
      <c r="Z1266" s="71">
        <f t="shared" si="2562"/>
        <v>17.486338797814209</v>
      </c>
      <c r="AA1266" s="93"/>
    </row>
    <row r="1267" spans="1:27" ht="16" hidden="1">
      <c r="A1267" s="64">
        <f>SUBTOTAL(3,C$2:C1267)</f>
        <v>469</v>
      </c>
      <c r="B1267" s="64" t="s">
        <v>2469</v>
      </c>
      <c r="C1267" s="64" t="s">
        <v>44</v>
      </c>
      <c r="D1267" s="64" t="s">
        <v>32</v>
      </c>
      <c r="E1267" s="64" t="s">
        <v>33</v>
      </c>
      <c r="F1267" s="40" t="s">
        <v>2717</v>
      </c>
      <c r="G1267" s="91" t="s">
        <v>143</v>
      </c>
      <c r="H1267" s="111" t="s">
        <v>2718</v>
      </c>
      <c r="I1267" s="104">
        <v>46177</v>
      </c>
      <c r="J1267" s="64">
        <f t="shared" ref="J1267:J1269" ca="1" si="2563">+TODAY()-I1267</f>
        <v>7</v>
      </c>
      <c r="K1267" s="97" t="str">
        <f t="shared" ref="K1267:K1269" si="2564">+U1267</f>
        <v>Pending</v>
      </c>
      <c r="L1267" s="64" t="s">
        <v>1411</v>
      </c>
      <c r="M1267" s="64">
        <v>31500</v>
      </c>
      <c r="N1267" s="64">
        <v>28500</v>
      </c>
      <c r="O1267" s="104">
        <v>46178</v>
      </c>
      <c r="P1267" s="64">
        <f t="shared" ref="P1267:P1269" si="2565">+M1267-N1267</f>
        <v>3000</v>
      </c>
      <c r="Q1267" s="97" t="s">
        <v>33</v>
      </c>
      <c r="R1267" s="97" t="s">
        <v>39</v>
      </c>
      <c r="S1267" s="64">
        <v>35000</v>
      </c>
      <c r="T1267" s="64" t="s">
        <v>33</v>
      </c>
      <c r="U1267" s="65" t="s">
        <v>33</v>
      </c>
      <c r="V1267" s="64" t="s">
        <v>28</v>
      </c>
      <c r="W1267" s="64">
        <f t="shared" ref="W1267:W1269" si="2566">+S1267-M1267</f>
        <v>3500</v>
      </c>
      <c r="X1267" s="64" t="s">
        <v>36</v>
      </c>
      <c r="Y1267" s="64" t="s">
        <v>29</v>
      </c>
      <c r="Z1267" s="71">
        <f t="shared" ref="Z1267:Z1269" si="2567">+W1267*100/M1267</f>
        <v>11.111111111111111</v>
      </c>
      <c r="AA1267" s="93"/>
    </row>
    <row r="1268" spans="1:27" ht="16" hidden="1">
      <c r="A1268" s="64">
        <f>SUBTOTAL(3,C$2:C1268)</f>
        <v>469</v>
      </c>
      <c r="B1268" s="64" t="s">
        <v>2469</v>
      </c>
      <c r="C1268" s="64" t="s">
        <v>31</v>
      </c>
      <c r="D1268" s="64" t="s">
        <v>32</v>
      </c>
      <c r="E1268" s="64" t="s">
        <v>33</v>
      </c>
      <c r="F1268" s="40" t="s">
        <v>2719</v>
      </c>
      <c r="G1268" s="91" t="s">
        <v>34</v>
      </c>
      <c r="H1268" s="111" t="s">
        <v>2720</v>
      </c>
      <c r="I1268" s="104">
        <v>46178</v>
      </c>
      <c r="J1268" s="64">
        <f t="shared" ca="1" si="2563"/>
        <v>6</v>
      </c>
      <c r="K1268" s="97" t="str">
        <f t="shared" si="2564"/>
        <v>Pending</v>
      </c>
      <c r="L1268" s="64" t="s">
        <v>1954</v>
      </c>
      <c r="M1268" s="64">
        <v>18500</v>
      </c>
      <c r="N1268" s="64">
        <v>16500</v>
      </c>
      <c r="O1268" s="104">
        <v>46178</v>
      </c>
      <c r="P1268" s="64">
        <f t="shared" si="2565"/>
        <v>2000</v>
      </c>
      <c r="Q1268" s="97" t="s">
        <v>33</v>
      </c>
      <c r="R1268" s="97" t="s">
        <v>37</v>
      </c>
      <c r="S1268" s="64">
        <v>21500</v>
      </c>
      <c r="T1268" s="64" t="s">
        <v>33</v>
      </c>
      <c r="U1268" s="65" t="s">
        <v>33</v>
      </c>
      <c r="V1268" s="64" t="s">
        <v>28</v>
      </c>
      <c r="W1268" s="64">
        <f t="shared" si="2566"/>
        <v>3000</v>
      </c>
      <c r="X1268" s="64" t="s">
        <v>36</v>
      </c>
      <c r="Y1268" s="64" t="s">
        <v>29</v>
      </c>
      <c r="Z1268" s="71">
        <f t="shared" si="2567"/>
        <v>16.216216216216218</v>
      </c>
      <c r="AA1268" s="93"/>
    </row>
    <row r="1269" spans="1:27" ht="16" hidden="1">
      <c r="A1269" s="64">
        <f>SUBTOTAL(3,C$2:C1269)</f>
        <v>469</v>
      </c>
      <c r="B1269" s="64" t="s">
        <v>2469</v>
      </c>
      <c r="C1269" s="64" t="s">
        <v>1031</v>
      </c>
      <c r="D1269" s="64" t="s">
        <v>32</v>
      </c>
      <c r="E1269" s="64" t="s">
        <v>33</v>
      </c>
      <c r="F1269" s="40" t="s">
        <v>568</v>
      </c>
      <c r="G1269" s="91" t="s">
        <v>34</v>
      </c>
      <c r="H1269" s="111" t="s">
        <v>2721</v>
      </c>
      <c r="I1269" s="104">
        <v>46178</v>
      </c>
      <c r="J1269" s="64">
        <f t="shared" ca="1" si="2563"/>
        <v>6</v>
      </c>
      <c r="K1269" s="97" t="str">
        <f t="shared" si="2564"/>
        <v>Pending</v>
      </c>
      <c r="L1269" s="64" t="s">
        <v>783</v>
      </c>
      <c r="M1269" s="64">
        <v>18000</v>
      </c>
      <c r="N1269" s="64">
        <v>16000</v>
      </c>
      <c r="O1269" s="104">
        <v>46178</v>
      </c>
      <c r="P1269" s="64">
        <f t="shared" si="2565"/>
        <v>2000</v>
      </c>
      <c r="Q1269" s="97" t="s">
        <v>33</v>
      </c>
      <c r="R1269" s="97" t="s">
        <v>56</v>
      </c>
      <c r="S1269" s="64">
        <v>20500</v>
      </c>
      <c r="T1269" s="64" t="s">
        <v>33</v>
      </c>
      <c r="U1269" s="65" t="s">
        <v>33</v>
      </c>
      <c r="V1269" s="64" t="s">
        <v>28</v>
      </c>
      <c r="W1269" s="64">
        <f t="shared" si="2566"/>
        <v>2500</v>
      </c>
      <c r="X1269" s="64" t="s">
        <v>963</v>
      </c>
      <c r="Y1269" s="64" t="s">
        <v>29</v>
      </c>
      <c r="Z1269" s="71">
        <f t="shared" si="2567"/>
        <v>13.888888888888889</v>
      </c>
      <c r="AA1269" s="93"/>
    </row>
    <row r="1270" spans="1:27" ht="16" hidden="1">
      <c r="A1270" s="64">
        <f>SUBTOTAL(3,C$2:C1270)</f>
        <v>469</v>
      </c>
      <c r="B1270" s="64" t="s">
        <v>2469</v>
      </c>
      <c r="C1270" s="64" t="s">
        <v>31</v>
      </c>
      <c r="D1270" s="64" t="s">
        <v>32</v>
      </c>
      <c r="E1270" s="64" t="s">
        <v>33</v>
      </c>
      <c r="F1270" s="40" t="s">
        <v>671</v>
      </c>
      <c r="G1270" s="91" t="s">
        <v>34</v>
      </c>
      <c r="H1270" s="111" t="s">
        <v>2722</v>
      </c>
      <c r="I1270" s="104">
        <v>46177</v>
      </c>
      <c r="J1270" s="64">
        <f t="shared" ref="J1270" ca="1" si="2568">+TODAY()-I1270</f>
        <v>7</v>
      </c>
      <c r="K1270" s="97" t="str">
        <f t="shared" ref="K1270" si="2569">+U1270</f>
        <v>Pending</v>
      </c>
      <c r="L1270" s="64" t="s">
        <v>400</v>
      </c>
      <c r="M1270" s="64">
        <v>24000</v>
      </c>
      <c r="N1270" s="64">
        <v>22000</v>
      </c>
      <c r="O1270" s="104">
        <v>46178</v>
      </c>
      <c r="P1270" s="64">
        <f t="shared" ref="P1270" si="2570">+M1270-N1270</f>
        <v>2000</v>
      </c>
      <c r="Q1270" s="97" t="s">
        <v>33</v>
      </c>
      <c r="R1270" s="97" t="s">
        <v>37</v>
      </c>
      <c r="S1270" s="64">
        <v>26000</v>
      </c>
      <c r="T1270" s="64" t="s">
        <v>33</v>
      </c>
      <c r="U1270" s="65" t="s">
        <v>33</v>
      </c>
      <c r="V1270" s="64" t="s">
        <v>28</v>
      </c>
      <c r="W1270" s="64">
        <f t="shared" ref="W1270" si="2571">+S1270-M1270</f>
        <v>2000</v>
      </c>
      <c r="X1270" s="64" t="s">
        <v>36</v>
      </c>
      <c r="Y1270" s="64" t="s">
        <v>29</v>
      </c>
      <c r="Z1270" s="71">
        <f t="shared" ref="Z1270" si="2572">+W1270*100/M1270</f>
        <v>8.3333333333333339</v>
      </c>
      <c r="AA1270" s="93"/>
    </row>
    <row r="1271" spans="1:27" ht="16" hidden="1">
      <c r="A1271" s="64">
        <f>SUBTOTAL(3,C$2:C1271)</f>
        <v>469</v>
      </c>
      <c r="B1271" s="64" t="s">
        <v>2469</v>
      </c>
      <c r="C1271" s="64" t="s">
        <v>31</v>
      </c>
      <c r="D1271" s="64" t="s">
        <v>32</v>
      </c>
      <c r="E1271" s="64" t="s">
        <v>33</v>
      </c>
      <c r="F1271" s="40" t="s">
        <v>785</v>
      </c>
      <c r="G1271" s="91" t="s">
        <v>34</v>
      </c>
      <c r="H1271" s="111" t="s">
        <v>2723</v>
      </c>
      <c r="I1271" s="104">
        <v>46177</v>
      </c>
      <c r="J1271" s="64">
        <f t="shared" ref="J1271" ca="1" si="2573">+TODAY()-I1271</f>
        <v>7</v>
      </c>
      <c r="K1271" s="97" t="str">
        <f t="shared" ref="K1271" si="2574">+U1271</f>
        <v>Pending</v>
      </c>
      <c r="L1271" s="64" t="s">
        <v>400</v>
      </c>
      <c r="M1271" s="64">
        <v>24000</v>
      </c>
      <c r="N1271" s="64">
        <v>22000</v>
      </c>
      <c r="O1271" s="104">
        <v>46178</v>
      </c>
      <c r="P1271" s="64">
        <f t="shared" ref="P1271" si="2575">+M1271-N1271</f>
        <v>2000</v>
      </c>
      <c r="Q1271" s="97" t="s">
        <v>33</v>
      </c>
      <c r="R1271" s="97" t="s">
        <v>37</v>
      </c>
      <c r="S1271" s="64">
        <v>26000</v>
      </c>
      <c r="T1271" s="64" t="s">
        <v>33</v>
      </c>
      <c r="U1271" s="65" t="s">
        <v>33</v>
      </c>
      <c r="V1271" s="64" t="s">
        <v>28</v>
      </c>
      <c r="W1271" s="64">
        <f t="shared" ref="W1271" si="2576">+S1271-M1271</f>
        <v>2000</v>
      </c>
      <c r="X1271" s="64" t="s">
        <v>36</v>
      </c>
      <c r="Y1271" s="64" t="s">
        <v>29</v>
      </c>
      <c r="Z1271" s="71">
        <f t="shared" ref="Z1271" si="2577">+W1271*100/M1271</f>
        <v>8.3333333333333339</v>
      </c>
      <c r="AA1271" s="93"/>
    </row>
    <row r="1272" spans="1:27" ht="16" hidden="1">
      <c r="A1272" s="64">
        <f>SUBTOTAL(3,C$2:C1272)</f>
        <v>469</v>
      </c>
      <c r="B1272" s="64" t="s">
        <v>2469</v>
      </c>
      <c r="C1272" s="64" t="s">
        <v>31</v>
      </c>
      <c r="D1272" s="64" t="s">
        <v>32</v>
      </c>
      <c r="E1272" s="64" t="s">
        <v>33</v>
      </c>
      <c r="F1272" s="40" t="s">
        <v>356</v>
      </c>
      <c r="G1272" s="91" t="s">
        <v>34</v>
      </c>
      <c r="H1272" s="111" t="s">
        <v>2724</v>
      </c>
      <c r="I1272" s="104">
        <v>46178</v>
      </c>
      <c r="J1272" s="64">
        <f t="shared" ref="J1272" ca="1" si="2578">+TODAY()-I1272</f>
        <v>6</v>
      </c>
      <c r="K1272" s="97" t="str">
        <f t="shared" ref="K1272" si="2579">+U1272</f>
        <v>Pending</v>
      </c>
      <c r="L1272" s="64" t="s">
        <v>400</v>
      </c>
      <c r="M1272" s="64">
        <v>24000</v>
      </c>
      <c r="N1272" s="64">
        <v>22000</v>
      </c>
      <c r="O1272" s="104">
        <v>46178</v>
      </c>
      <c r="P1272" s="64">
        <f t="shared" ref="P1272" si="2580">+M1272-N1272</f>
        <v>2000</v>
      </c>
      <c r="Q1272" s="97" t="s">
        <v>33</v>
      </c>
      <c r="R1272" s="97" t="s">
        <v>37</v>
      </c>
      <c r="S1272" s="64">
        <v>26000</v>
      </c>
      <c r="T1272" s="64" t="s">
        <v>33</v>
      </c>
      <c r="U1272" s="65" t="s">
        <v>33</v>
      </c>
      <c r="V1272" s="64" t="s">
        <v>28</v>
      </c>
      <c r="W1272" s="64">
        <f t="shared" ref="W1272" si="2581">+S1272-M1272</f>
        <v>2000</v>
      </c>
      <c r="X1272" s="64" t="s">
        <v>36</v>
      </c>
      <c r="Y1272" s="64" t="s">
        <v>29</v>
      </c>
      <c r="Z1272" s="71">
        <f t="shared" ref="Z1272" si="2582">+W1272*100/M1272</f>
        <v>8.3333333333333339</v>
      </c>
      <c r="AA1272" s="93"/>
    </row>
    <row r="1273" spans="1:27" ht="16" hidden="1">
      <c r="A1273" s="64">
        <f>SUBTOTAL(3,C$2:C1273)</f>
        <v>469</v>
      </c>
      <c r="B1273" s="64" t="s">
        <v>2469</v>
      </c>
      <c r="C1273" s="64" t="s">
        <v>31</v>
      </c>
      <c r="D1273" s="64" t="s">
        <v>32</v>
      </c>
      <c r="E1273" s="64" t="s">
        <v>33</v>
      </c>
      <c r="F1273" s="40" t="s">
        <v>2528</v>
      </c>
      <c r="G1273" s="91" t="s">
        <v>34</v>
      </c>
      <c r="H1273" s="111" t="s">
        <v>2725</v>
      </c>
      <c r="I1273" s="104">
        <v>46178</v>
      </c>
      <c r="J1273" s="64">
        <f t="shared" ref="J1273:J1276" ca="1" si="2583">+TODAY()-I1273</f>
        <v>6</v>
      </c>
      <c r="K1273" s="97" t="str">
        <f t="shared" ref="K1273:K1276" si="2584">+U1273</f>
        <v>Pending</v>
      </c>
      <c r="L1273" s="64" t="s">
        <v>400</v>
      </c>
      <c r="M1273" s="64">
        <v>24000</v>
      </c>
      <c r="N1273" s="64">
        <v>22000</v>
      </c>
      <c r="O1273" s="104">
        <v>46178</v>
      </c>
      <c r="P1273" s="64">
        <f t="shared" ref="P1273:P1276" si="2585">+M1273-N1273</f>
        <v>2000</v>
      </c>
      <c r="Q1273" s="97" t="s">
        <v>33</v>
      </c>
      <c r="R1273" s="97" t="s">
        <v>37</v>
      </c>
      <c r="S1273" s="64">
        <v>26000</v>
      </c>
      <c r="T1273" s="64" t="s">
        <v>33</v>
      </c>
      <c r="U1273" s="65" t="s">
        <v>33</v>
      </c>
      <c r="V1273" s="64" t="s">
        <v>28</v>
      </c>
      <c r="W1273" s="64">
        <f t="shared" ref="W1273:W1276" si="2586">+S1273-M1273</f>
        <v>2000</v>
      </c>
      <c r="X1273" s="64" t="s">
        <v>36</v>
      </c>
      <c r="Y1273" s="64" t="s">
        <v>29</v>
      </c>
      <c r="Z1273" s="71">
        <f t="shared" ref="Z1273:Z1276" si="2587">+W1273*100/M1273</f>
        <v>8.3333333333333339</v>
      </c>
      <c r="AA1273" s="93"/>
    </row>
    <row r="1274" spans="1:27" ht="16" hidden="1">
      <c r="A1274" s="64">
        <f>SUBTOTAL(3,C$2:C1274)</f>
        <v>469</v>
      </c>
      <c r="B1274" s="64" t="s">
        <v>2469</v>
      </c>
      <c r="C1274" s="64" t="s">
        <v>216</v>
      </c>
      <c r="D1274" s="64" t="s">
        <v>32</v>
      </c>
      <c r="E1274" s="64" t="s">
        <v>33</v>
      </c>
      <c r="F1274" s="40" t="s">
        <v>1280</v>
      </c>
      <c r="G1274" s="91" t="s">
        <v>50</v>
      </c>
      <c r="H1274" s="111" t="s">
        <v>2726</v>
      </c>
      <c r="I1274" s="104">
        <v>46178</v>
      </c>
      <c r="J1274" s="64">
        <f t="shared" ca="1" si="2583"/>
        <v>6</v>
      </c>
      <c r="K1274" s="97" t="str">
        <f t="shared" si="2584"/>
        <v>Pending</v>
      </c>
      <c r="L1274" s="64" t="s">
        <v>586</v>
      </c>
      <c r="M1274" s="64">
        <f>3000+44000</f>
        <v>47000</v>
      </c>
      <c r="N1274" s="64">
        <v>40000</v>
      </c>
      <c r="O1274" s="104">
        <v>46178</v>
      </c>
      <c r="P1274" s="64">
        <f t="shared" si="2585"/>
        <v>7000</v>
      </c>
      <c r="Q1274" s="97" t="s">
        <v>33</v>
      </c>
      <c r="R1274" s="97" t="s">
        <v>52</v>
      </c>
      <c r="S1274" s="64">
        <f>5000+48000</f>
        <v>53000</v>
      </c>
      <c r="T1274" s="64" t="s">
        <v>33</v>
      </c>
      <c r="U1274" s="65" t="s">
        <v>33</v>
      </c>
      <c r="V1274" s="64" t="s">
        <v>28</v>
      </c>
      <c r="W1274" s="64">
        <f t="shared" si="2586"/>
        <v>6000</v>
      </c>
      <c r="X1274" s="64" t="s">
        <v>36</v>
      </c>
      <c r="Y1274" s="64" t="s">
        <v>29</v>
      </c>
      <c r="Z1274" s="71">
        <f t="shared" si="2587"/>
        <v>12.76595744680851</v>
      </c>
      <c r="AA1274" s="93"/>
    </row>
    <row r="1275" spans="1:27" ht="16" hidden="1">
      <c r="A1275" s="64">
        <f>SUBTOTAL(3,C$2:C1275)</f>
        <v>469</v>
      </c>
      <c r="B1275" s="64" t="s">
        <v>2469</v>
      </c>
      <c r="C1275" s="64" t="s">
        <v>1031</v>
      </c>
      <c r="D1275" s="64" t="s">
        <v>32</v>
      </c>
      <c r="E1275" s="64" t="s">
        <v>33</v>
      </c>
      <c r="F1275" s="40" t="s">
        <v>2019</v>
      </c>
      <c r="G1275" s="91" t="s">
        <v>34</v>
      </c>
      <c r="H1275" s="111" t="s">
        <v>2727</v>
      </c>
      <c r="I1275" s="104">
        <v>46178</v>
      </c>
      <c r="J1275" s="64">
        <f t="shared" ca="1" si="2583"/>
        <v>6</v>
      </c>
      <c r="K1275" s="97" t="str">
        <f t="shared" si="2584"/>
        <v>Pending</v>
      </c>
      <c r="L1275" s="64" t="s">
        <v>783</v>
      </c>
      <c r="M1275" s="64">
        <v>18000</v>
      </c>
      <c r="N1275" s="64">
        <v>16000</v>
      </c>
      <c r="O1275" s="104">
        <v>46178</v>
      </c>
      <c r="P1275" s="64">
        <f t="shared" si="2585"/>
        <v>2000</v>
      </c>
      <c r="Q1275" s="97" t="s">
        <v>33</v>
      </c>
      <c r="R1275" s="97" t="s">
        <v>56</v>
      </c>
      <c r="S1275" s="64">
        <v>20500</v>
      </c>
      <c r="T1275" s="64" t="s">
        <v>33</v>
      </c>
      <c r="U1275" s="65" t="s">
        <v>33</v>
      </c>
      <c r="V1275" s="64" t="s">
        <v>28</v>
      </c>
      <c r="W1275" s="64">
        <f t="shared" si="2586"/>
        <v>2500</v>
      </c>
      <c r="X1275" s="64" t="s">
        <v>963</v>
      </c>
      <c r="Y1275" s="64" t="s">
        <v>29</v>
      </c>
      <c r="Z1275" s="71">
        <f t="shared" si="2587"/>
        <v>13.888888888888889</v>
      </c>
      <c r="AA1275" s="93"/>
    </row>
    <row r="1276" spans="1:27" ht="16" hidden="1">
      <c r="A1276" s="64">
        <f>SUBTOTAL(3,C$2:C1276)</f>
        <v>469</v>
      </c>
      <c r="B1276" s="64" t="s">
        <v>2469</v>
      </c>
      <c r="C1276" s="64" t="s">
        <v>44</v>
      </c>
      <c r="D1276" s="64" t="s">
        <v>32</v>
      </c>
      <c r="E1276" s="64" t="s">
        <v>33</v>
      </c>
      <c r="F1276" s="40" t="s">
        <v>175</v>
      </c>
      <c r="G1276" s="91" t="s">
        <v>143</v>
      </c>
      <c r="H1276" s="111" t="s">
        <v>2728</v>
      </c>
      <c r="I1276" s="104">
        <v>46178</v>
      </c>
      <c r="J1276" s="64">
        <f t="shared" ca="1" si="2583"/>
        <v>6</v>
      </c>
      <c r="K1276" s="97" t="str">
        <f t="shared" si="2584"/>
        <v>Pending</v>
      </c>
      <c r="L1276" s="64" t="s">
        <v>1411</v>
      </c>
      <c r="M1276" s="64">
        <v>31500</v>
      </c>
      <c r="N1276" s="64">
        <v>28500</v>
      </c>
      <c r="O1276" s="104">
        <v>46178</v>
      </c>
      <c r="P1276" s="64">
        <f t="shared" si="2585"/>
        <v>3000</v>
      </c>
      <c r="Q1276" s="97" t="s">
        <v>33</v>
      </c>
      <c r="R1276" s="97" t="s">
        <v>39</v>
      </c>
      <c r="S1276" s="64">
        <v>35000</v>
      </c>
      <c r="T1276" s="64" t="s">
        <v>33</v>
      </c>
      <c r="U1276" s="65" t="s">
        <v>33</v>
      </c>
      <c r="V1276" s="64" t="s">
        <v>28</v>
      </c>
      <c r="W1276" s="64">
        <f t="shared" si="2586"/>
        <v>3500</v>
      </c>
      <c r="X1276" s="64" t="s">
        <v>36</v>
      </c>
      <c r="Y1276" s="64" t="s">
        <v>29</v>
      </c>
      <c r="Z1276" s="71">
        <f t="shared" si="2587"/>
        <v>11.111111111111111</v>
      </c>
      <c r="AA1276" s="93"/>
    </row>
    <row r="1277" spans="1:27" ht="16" hidden="1">
      <c r="A1277" s="64">
        <f>SUBTOTAL(3,C$2:C1277)</f>
        <v>469</v>
      </c>
      <c r="B1277" s="64" t="s">
        <v>2469</v>
      </c>
      <c r="C1277" s="64" t="s">
        <v>31</v>
      </c>
      <c r="D1277" s="64" t="s">
        <v>32</v>
      </c>
      <c r="E1277" s="64" t="s">
        <v>33</v>
      </c>
      <c r="F1277" s="40" t="s">
        <v>2729</v>
      </c>
      <c r="G1277" s="91" t="s">
        <v>34</v>
      </c>
      <c r="H1277" s="111" t="s">
        <v>2730</v>
      </c>
      <c r="I1277" s="104">
        <v>46178</v>
      </c>
      <c r="J1277" s="64">
        <f t="shared" ref="J1277" ca="1" si="2588">+TODAY()-I1277</f>
        <v>6</v>
      </c>
      <c r="K1277" s="97" t="str">
        <f t="shared" ref="K1277" si="2589">+U1277</f>
        <v>Pending</v>
      </c>
      <c r="L1277" s="64" t="s">
        <v>2092</v>
      </c>
      <c r="M1277" s="64">
        <v>18500</v>
      </c>
      <c r="N1277" s="64">
        <v>16500</v>
      </c>
      <c r="O1277" s="104">
        <v>46178</v>
      </c>
      <c r="P1277" s="64">
        <f t="shared" ref="P1277" si="2590">+M1277-N1277</f>
        <v>2000</v>
      </c>
      <c r="Q1277" s="97" t="s">
        <v>33</v>
      </c>
      <c r="R1277" s="97" t="s">
        <v>37</v>
      </c>
      <c r="S1277" s="64">
        <v>21500</v>
      </c>
      <c r="T1277" s="64" t="s">
        <v>33</v>
      </c>
      <c r="U1277" s="65" t="s">
        <v>33</v>
      </c>
      <c r="V1277" s="64" t="s">
        <v>28</v>
      </c>
      <c r="W1277" s="64">
        <f t="shared" ref="W1277" si="2591">+S1277-M1277</f>
        <v>3000</v>
      </c>
      <c r="X1277" s="64" t="s">
        <v>36</v>
      </c>
      <c r="Y1277" s="64" t="s">
        <v>29</v>
      </c>
      <c r="Z1277" s="71">
        <f t="shared" ref="Z1277" si="2592">+W1277*100/M1277</f>
        <v>16.216216216216218</v>
      </c>
      <c r="AA1277" s="93"/>
    </row>
    <row r="1278" spans="1:27" ht="16" hidden="1">
      <c r="A1278" s="64">
        <f>SUBTOTAL(3,C$2:C1278)</f>
        <v>469</v>
      </c>
      <c r="B1278" s="64" t="s">
        <v>2469</v>
      </c>
      <c r="C1278" s="64" t="s">
        <v>31</v>
      </c>
      <c r="D1278" s="64" t="s">
        <v>32</v>
      </c>
      <c r="E1278" s="64" t="s">
        <v>33</v>
      </c>
      <c r="F1278" s="40" t="s">
        <v>2731</v>
      </c>
      <c r="G1278" s="91" t="s">
        <v>34</v>
      </c>
      <c r="H1278" s="111" t="s">
        <v>2732</v>
      </c>
      <c r="I1278" s="104">
        <v>46178</v>
      </c>
      <c r="J1278" s="64">
        <f t="shared" ref="J1278:J1279" ca="1" si="2593">+TODAY()-I1278</f>
        <v>6</v>
      </c>
      <c r="K1278" s="97" t="str">
        <f t="shared" ref="K1278:K1279" si="2594">+U1278</f>
        <v>Pending</v>
      </c>
      <c r="L1278" s="64" t="s">
        <v>1954</v>
      </c>
      <c r="M1278" s="64">
        <v>18500</v>
      </c>
      <c r="N1278" s="64">
        <v>16500</v>
      </c>
      <c r="O1278" s="104">
        <v>46178</v>
      </c>
      <c r="P1278" s="64">
        <f t="shared" ref="P1278:P1279" si="2595">+M1278-N1278</f>
        <v>2000</v>
      </c>
      <c r="Q1278" s="97" t="s">
        <v>33</v>
      </c>
      <c r="R1278" s="97" t="s">
        <v>37</v>
      </c>
      <c r="S1278" s="64">
        <v>21500</v>
      </c>
      <c r="T1278" s="64" t="s">
        <v>33</v>
      </c>
      <c r="U1278" s="65" t="s">
        <v>33</v>
      </c>
      <c r="V1278" s="64" t="s">
        <v>28</v>
      </c>
      <c r="W1278" s="64">
        <f t="shared" ref="W1278:W1279" si="2596">+S1278-M1278</f>
        <v>3000</v>
      </c>
      <c r="X1278" s="64" t="s">
        <v>36</v>
      </c>
      <c r="Y1278" s="64" t="s">
        <v>29</v>
      </c>
      <c r="Z1278" s="71">
        <f t="shared" ref="Z1278:Z1279" si="2597">+W1278*100/M1278</f>
        <v>16.216216216216218</v>
      </c>
      <c r="AA1278" s="93"/>
    </row>
    <row r="1279" spans="1:27" ht="16" hidden="1">
      <c r="A1279" s="64">
        <f>SUBTOTAL(3,C$2:C1279)</f>
        <v>469</v>
      </c>
      <c r="B1279" s="64" t="s">
        <v>2469</v>
      </c>
      <c r="C1279" s="64" t="s">
        <v>44</v>
      </c>
      <c r="D1279" s="64" t="s">
        <v>32</v>
      </c>
      <c r="E1279" s="64" t="s">
        <v>33</v>
      </c>
      <c r="F1279" s="40" t="s">
        <v>1626</v>
      </c>
      <c r="G1279" s="91" t="s">
        <v>1215</v>
      </c>
      <c r="H1279" s="111" t="s">
        <v>2733</v>
      </c>
      <c r="I1279" s="104">
        <v>46178</v>
      </c>
      <c r="J1279" s="64">
        <f t="shared" ca="1" si="2593"/>
        <v>6</v>
      </c>
      <c r="K1279" s="97" t="str">
        <f t="shared" si="2594"/>
        <v>Pending</v>
      </c>
      <c r="L1279" s="64" t="s">
        <v>995</v>
      </c>
      <c r="M1279" s="64">
        <v>29000</v>
      </c>
      <c r="N1279" s="64">
        <v>26500</v>
      </c>
      <c r="O1279" s="104">
        <v>46178</v>
      </c>
      <c r="P1279" s="64">
        <f t="shared" si="2595"/>
        <v>2500</v>
      </c>
      <c r="Q1279" s="97" t="s">
        <v>33</v>
      </c>
      <c r="R1279" s="97" t="s">
        <v>174</v>
      </c>
      <c r="S1279" s="64">
        <v>31500</v>
      </c>
      <c r="T1279" s="64" t="s">
        <v>33</v>
      </c>
      <c r="U1279" s="65" t="s">
        <v>33</v>
      </c>
      <c r="V1279" s="64" t="s">
        <v>28</v>
      </c>
      <c r="W1279" s="64">
        <f t="shared" si="2596"/>
        <v>2500</v>
      </c>
      <c r="X1279" s="64" t="s">
        <v>36</v>
      </c>
      <c r="Y1279" s="64" t="s">
        <v>29</v>
      </c>
      <c r="Z1279" s="71">
        <f t="shared" si="2597"/>
        <v>8.6206896551724146</v>
      </c>
      <c r="AA1279" s="93"/>
    </row>
    <row r="1280" spans="1:27" ht="16" hidden="1">
      <c r="A1280" s="64">
        <f>SUBTOTAL(3,C$2:C1280)</f>
        <v>469</v>
      </c>
      <c r="B1280" s="64" t="s">
        <v>2469</v>
      </c>
      <c r="C1280" s="64" t="s">
        <v>44</v>
      </c>
      <c r="D1280" s="64" t="s">
        <v>32</v>
      </c>
      <c r="E1280" s="64" t="s">
        <v>33</v>
      </c>
      <c r="F1280" s="40" t="s">
        <v>2734</v>
      </c>
      <c r="G1280" s="91" t="s">
        <v>1215</v>
      </c>
      <c r="H1280" s="111" t="s">
        <v>2735</v>
      </c>
      <c r="I1280" s="104">
        <v>46178</v>
      </c>
      <c r="J1280" s="64">
        <f t="shared" ref="J1280:J1282" ca="1" si="2598">+TODAY()-I1280</f>
        <v>6</v>
      </c>
      <c r="K1280" s="97" t="str">
        <f t="shared" ref="K1280:K1282" si="2599">+U1280</f>
        <v>Pending</v>
      </c>
      <c r="L1280" s="64" t="s">
        <v>995</v>
      </c>
      <c r="M1280" s="64">
        <v>29000</v>
      </c>
      <c r="N1280" s="64">
        <v>26500</v>
      </c>
      <c r="O1280" s="104">
        <v>46178</v>
      </c>
      <c r="P1280" s="64">
        <f t="shared" ref="P1280:P1282" si="2600">+M1280-N1280</f>
        <v>2500</v>
      </c>
      <c r="Q1280" s="97" t="s">
        <v>33</v>
      </c>
      <c r="R1280" s="97" t="s">
        <v>174</v>
      </c>
      <c r="S1280" s="64">
        <v>31500</v>
      </c>
      <c r="T1280" s="64" t="s">
        <v>33</v>
      </c>
      <c r="U1280" s="65" t="s">
        <v>33</v>
      </c>
      <c r="V1280" s="64" t="s">
        <v>28</v>
      </c>
      <c r="W1280" s="64">
        <f t="shared" ref="W1280:W1282" si="2601">+S1280-M1280</f>
        <v>2500</v>
      </c>
      <c r="X1280" s="64" t="s">
        <v>36</v>
      </c>
      <c r="Y1280" s="64" t="s">
        <v>29</v>
      </c>
      <c r="Z1280" s="71">
        <f t="shared" ref="Z1280:Z1282" si="2602">+W1280*100/M1280</f>
        <v>8.6206896551724146</v>
      </c>
      <c r="AA1280" s="93"/>
    </row>
    <row r="1281" spans="1:27" ht="16" hidden="1">
      <c r="A1281" s="64">
        <f>SUBTOTAL(3,C$2:C1281)</f>
        <v>469</v>
      </c>
      <c r="B1281" s="64" t="s">
        <v>2469</v>
      </c>
      <c r="C1281" s="64" t="s">
        <v>80</v>
      </c>
      <c r="D1281" s="64" t="s">
        <v>32</v>
      </c>
      <c r="E1281" s="64" t="s">
        <v>33</v>
      </c>
      <c r="F1281" s="40" t="s">
        <v>1693</v>
      </c>
      <c r="G1281" s="91">
        <v>407</v>
      </c>
      <c r="H1281" s="111" t="s">
        <v>2736</v>
      </c>
      <c r="I1281" s="104">
        <v>46178</v>
      </c>
      <c r="J1281" s="64">
        <f t="shared" ca="1" si="2598"/>
        <v>6</v>
      </c>
      <c r="K1281" s="97" t="str">
        <f t="shared" si="2599"/>
        <v>Pending</v>
      </c>
      <c r="L1281" s="64" t="s">
        <v>54</v>
      </c>
      <c r="M1281" s="64">
        <v>30000</v>
      </c>
      <c r="N1281" s="64">
        <v>27000</v>
      </c>
      <c r="O1281" s="104">
        <v>46178</v>
      </c>
      <c r="P1281" s="64">
        <f t="shared" si="2600"/>
        <v>3000</v>
      </c>
      <c r="Q1281" s="97" t="s">
        <v>33</v>
      </c>
      <c r="R1281" s="97" t="s">
        <v>52</v>
      </c>
      <c r="S1281" s="64">
        <v>32500</v>
      </c>
      <c r="T1281" s="64" t="s">
        <v>33</v>
      </c>
      <c r="U1281" s="65" t="s">
        <v>33</v>
      </c>
      <c r="V1281" s="64" t="s">
        <v>28</v>
      </c>
      <c r="W1281" s="64">
        <f t="shared" si="2601"/>
        <v>2500</v>
      </c>
      <c r="X1281" s="64" t="s">
        <v>36</v>
      </c>
      <c r="Y1281" s="64" t="s">
        <v>29</v>
      </c>
      <c r="Z1281" s="71">
        <f t="shared" si="2602"/>
        <v>8.3333333333333339</v>
      </c>
      <c r="AA1281" s="93"/>
    </row>
    <row r="1282" spans="1:27" ht="16" hidden="1">
      <c r="A1282" s="64">
        <f>SUBTOTAL(3,C$2:C1282)</f>
        <v>469</v>
      </c>
      <c r="B1282" s="64" t="s">
        <v>2469</v>
      </c>
      <c r="C1282" s="64" t="s">
        <v>31</v>
      </c>
      <c r="D1282" s="64" t="s">
        <v>32</v>
      </c>
      <c r="E1282" s="64" t="s">
        <v>33</v>
      </c>
      <c r="F1282" s="40" t="s">
        <v>2737</v>
      </c>
      <c r="G1282" s="91" t="s">
        <v>34</v>
      </c>
      <c r="H1282" s="111" t="s">
        <v>2738</v>
      </c>
      <c r="I1282" s="104">
        <v>46178</v>
      </c>
      <c r="J1282" s="64">
        <f t="shared" ca="1" si="2598"/>
        <v>6</v>
      </c>
      <c r="K1282" s="97" t="str">
        <f t="shared" si="2599"/>
        <v>Pending</v>
      </c>
      <c r="L1282" s="64" t="s">
        <v>995</v>
      </c>
      <c r="M1282" s="64">
        <v>28500</v>
      </c>
      <c r="N1282" s="64">
        <v>26500</v>
      </c>
      <c r="O1282" s="104">
        <v>46178</v>
      </c>
      <c r="P1282" s="64">
        <f t="shared" si="2600"/>
        <v>2000</v>
      </c>
      <c r="Q1282" s="97" t="s">
        <v>33</v>
      </c>
      <c r="R1282" s="97" t="s">
        <v>39</v>
      </c>
      <c r="S1282" s="64">
        <v>31500</v>
      </c>
      <c r="T1282" s="64" t="s">
        <v>33</v>
      </c>
      <c r="U1282" s="65" t="s">
        <v>33</v>
      </c>
      <c r="V1282" s="64" t="s">
        <v>28</v>
      </c>
      <c r="W1282" s="64">
        <f t="shared" si="2601"/>
        <v>3000</v>
      </c>
      <c r="X1282" s="64" t="s">
        <v>36</v>
      </c>
      <c r="Y1282" s="64" t="s">
        <v>29</v>
      </c>
      <c r="Z1282" s="71">
        <f t="shared" si="2602"/>
        <v>10.526315789473685</v>
      </c>
      <c r="AA1282" s="93"/>
    </row>
    <row r="1283" spans="1:27" ht="16" hidden="1">
      <c r="A1283" s="64">
        <f>SUBTOTAL(3,C$2:C1283)</f>
        <v>469</v>
      </c>
      <c r="B1283" s="64" t="s">
        <v>2469</v>
      </c>
      <c r="C1283" s="64" t="s">
        <v>31</v>
      </c>
      <c r="D1283" s="64" t="s">
        <v>32</v>
      </c>
      <c r="E1283" s="64" t="s">
        <v>33</v>
      </c>
      <c r="F1283" s="40" t="s">
        <v>2739</v>
      </c>
      <c r="G1283" s="91">
        <v>407</v>
      </c>
      <c r="H1283" s="111" t="s">
        <v>2746</v>
      </c>
      <c r="I1283" s="104">
        <v>46178</v>
      </c>
      <c r="J1283" s="64">
        <f t="shared" ref="J1283" ca="1" si="2603">+TODAY()-I1283</f>
        <v>6</v>
      </c>
      <c r="K1283" s="97" t="str">
        <f t="shared" ref="K1283" si="2604">+U1283</f>
        <v>Pending</v>
      </c>
      <c r="L1283" s="64" t="s">
        <v>687</v>
      </c>
      <c r="M1283" s="64">
        <v>28000</v>
      </c>
      <c r="N1283" s="64">
        <v>26000</v>
      </c>
      <c r="O1283" s="104">
        <v>46178</v>
      </c>
      <c r="P1283" s="64">
        <f t="shared" ref="P1283" si="2605">+M1283-N1283</f>
        <v>2000</v>
      </c>
      <c r="Q1283" s="97" t="s">
        <v>33</v>
      </c>
      <c r="R1283" s="97" t="s">
        <v>37</v>
      </c>
      <c r="S1283" s="64">
        <v>33000</v>
      </c>
      <c r="T1283" s="64" t="s">
        <v>33</v>
      </c>
      <c r="U1283" s="65" t="s">
        <v>33</v>
      </c>
      <c r="V1283" s="64" t="s">
        <v>28</v>
      </c>
      <c r="W1283" s="64">
        <f t="shared" ref="W1283" si="2606">+S1283-M1283</f>
        <v>5000</v>
      </c>
      <c r="X1283" s="64" t="s">
        <v>36</v>
      </c>
      <c r="Y1283" s="64" t="s">
        <v>29</v>
      </c>
      <c r="Z1283" s="71">
        <f t="shared" ref="Z1283" si="2607">+W1283*100/M1283</f>
        <v>17.857142857142858</v>
      </c>
      <c r="AA1283" s="93"/>
    </row>
    <row r="1284" spans="1:27" s="85" customFormat="1" ht="16" hidden="1">
      <c r="A1284" s="86">
        <f>SUBTOTAL(3,C$2:C1284)</f>
        <v>469</v>
      </c>
      <c r="B1284" s="86" t="s">
        <v>2469</v>
      </c>
      <c r="C1284" s="86" t="s">
        <v>31</v>
      </c>
      <c r="D1284" s="86" t="s">
        <v>32</v>
      </c>
      <c r="E1284" s="86" t="s">
        <v>33</v>
      </c>
      <c r="F1284" s="115" t="s">
        <v>250</v>
      </c>
      <c r="G1284" s="116" t="s">
        <v>34</v>
      </c>
      <c r="H1284" s="117" t="s">
        <v>2750</v>
      </c>
      <c r="I1284" s="118">
        <v>46178</v>
      </c>
      <c r="J1284" s="86">
        <f t="shared" ref="J1284:J1285" ca="1" si="2608">+TODAY()-I1284</f>
        <v>6</v>
      </c>
      <c r="K1284" s="119" t="str">
        <f t="shared" ref="K1284:K1285" si="2609">+U1284</f>
        <v>Pending</v>
      </c>
      <c r="L1284" s="115" t="s">
        <v>400</v>
      </c>
      <c r="M1284" s="86">
        <v>24000</v>
      </c>
      <c r="N1284" s="86">
        <v>22000</v>
      </c>
      <c r="O1284" s="118">
        <v>46179</v>
      </c>
      <c r="P1284" s="86">
        <f t="shared" ref="P1284:P1285" si="2610">+M1284-N1284</f>
        <v>2000</v>
      </c>
      <c r="Q1284" s="119" t="s">
        <v>33</v>
      </c>
      <c r="R1284" s="119" t="s">
        <v>37</v>
      </c>
      <c r="S1284" s="86">
        <v>26000</v>
      </c>
      <c r="T1284" s="86" t="s">
        <v>33</v>
      </c>
      <c r="U1284" s="76" t="s">
        <v>33</v>
      </c>
      <c r="V1284" s="86" t="s">
        <v>28</v>
      </c>
      <c r="W1284" s="86">
        <f t="shared" ref="W1284:W1285" si="2611">+S1284-M1284</f>
        <v>2000</v>
      </c>
      <c r="X1284" s="86" t="s">
        <v>36</v>
      </c>
      <c r="Y1284" s="86" t="s">
        <v>29</v>
      </c>
      <c r="Z1284" s="90">
        <f t="shared" ref="Z1284:Z1285" si="2612">+W1284*100/M1284</f>
        <v>8.3333333333333339</v>
      </c>
      <c r="AA1284" s="120"/>
    </row>
    <row r="1285" spans="1:27" s="85" customFormat="1" ht="16" hidden="1">
      <c r="A1285" s="86">
        <f>SUBTOTAL(3,C$2:C1285)</f>
        <v>469</v>
      </c>
      <c r="B1285" s="86" t="s">
        <v>2469</v>
      </c>
      <c r="C1285" s="86" t="s">
        <v>44</v>
      </c>
      <c r="D1285" s="86" t="s">
        <v>32</v>
      </c>
      <c r="E1285" s="86" t="s">
        <v>33</v>
      </c>
      <c r="F1285" s="115" t="s">
        <v>83</v>
      </c>
      <c r="G1285" s="116" t="s">
        <v>994</v>
      </c>
      <c r="H1285" s="117" t="s">
        <v>2751</v>
      </c>
      <c r="I1285" s="118">
        <v>46178</v>
      </c>
      <c r="J1285" s="86">
        <f t="shared" ca="1" si="2608"/>
        <v>6</v>
      </c>
      <c r="K1285" s="119" t="str">
        <f t="shared" si="2609"/>
        <v>Pending</v>
      </c>
      <c r="L1285" s="115" t="s">
        <v>1571</v>
      </c>
      <c r="M1285" s="86">
        <v>30000</v>
      </c>
      <c r="N1285" s="86">
        <v>27000</v>
      </c>
      <c r="O1285" s="118">
        <v>46179</v>
      </c>
      <c r="P1285" s="86">
        <f t="shared" si="2610"/>
        <v>3000</v>
      </c>
      <c r="Q1285" s="119" t="s">
        <v>33</v>
      </c>
      <c r="R1285" s="119" t="s">
        <v>52</v>
      </c>
      <c r="S1285" s="86">
        <v>32500</v>
      </c>
      <c r="T1285" s="86" t="s">
        <v>33</v>
      </c>
      <c r="U1285" s="76" t="s">
        <v>33</v>
      </c>
      <c r="V1285" s="86" t="s">
        <v>28</v>
      </c>
      <c r="W1285" s="86">
        <f t="shared" si="2611"/>
        <v>2500</v>
      </c>
      <c r="X1285" s="86" t="s">
        <v>36</v>
      </c>
      <c r="Y1285" s="86" t="s">
        <v>29</v>
      </c>
      <c r="Z1285" s="90">
        <f t="shared" si="2612"/>
        <v>8.3333333333333339</v>
      </c>
      <c r="AA1285" s="120"/>
    </row>
    <row r="1286" spans="1:27" s="85" customFormat="1" ht="16" hidden="1">
      <c r="A1286" s="86">
        <f>SUBTOTAL(3,C$2:C1286)</f>
        <v>469</v>
      </c>
      <c r="B1286" s="86" t="s">
        <v>2469</v>
      </c>
      <c r="C1286" s="86" t="s">
        <v>31</v>
      </c>
      <c r="D1286" s="86" t="s">
        <v>32</v>
      </c>
      <c r="E1286" s="86" t="s">
        <v>33</v>
      </c>
      <c r="F1286" s="115" t="s">
        <v>310</v>
      </c>
      <c r="G1286" s="116" t="s">
        <v>34</v>
      </c>
      <c r="H1286" s="117" t="s">
        <v>2752</v>
      </c>
      <c r="I1286" s="118">
        <v>46178</v>
      </c>
      <c r="J1286" s="86">
        <f t="shared" ref="J1286" ca="1" si="2613">+TODAY()-I1286</f>
        <v>6</v>
      </c>
      <c r="K1286" s="119" t="str">
        <f t="shared" ref="K1286" si="2614">+U1286</f>
        <v>Pending</v>
      </c>
      <c r="L1286" s="115" t="s">
        <v>400</v>
      </c>
      <c r="M1286" s="86">
        <v>24000</v>
      </c>
      <c r="N1286" s="86">
        <v>22000</v>
      </c>
      <c r="O1286" s="118">
        <v>46179</v>
      </c>
      <c r="P1286" s="86">
        <f t="shared" ref="P1286" si="2615">+M1286-N1286</f>
        <v>2000</v>
      </c>
      <c r="Q1286" s="119" t="s">
        <v>33</v>
      </c>
      <c r="R1286" s="119" t="s">
        <v>37</v>
      </c>
      <c r="S1286" s="86">
        <v>26000</v>
      </c>
      <c r="T1286" s="86" t="s">
        <v>33</v>
      </c>
      <c r="U1286" s="76" t="s">
        <v>33</v>
      </c>
      <c r="V1286" s="86" t="s">
        <v>28</v>
      </c>
      <c r="W1286" s="86">
        <f t="shared" ref="W1286" si="2616">+S1286-M1286</f>
        <v>2000</v>
      </c>
      <c r="X1286" s="86" t="s">
        <v>36</v>
      </c>
      <c r="Y1286" s="86" t="s">
        <v>29</v>
      </c>
      <c r="Z1286" s="90">
        <f t="shared" ref="Z1286" si="2617">+W1286*100/M1286</f>
        <v>8.3333333333333339</v>
      </c>
      <c r="AA1286" s="120"/>
    </row>
    <row r="1287" spans="1:27" s="85" customFormat="1" ht="16" hidden="1">
      <c r="A1287" s="86">
        <f>SUBTOTAL(3,C$2:C1287)</f>
        <v>469</v>
      </c>
      <c r="B1287" s="86" t="s">
        <v>2469</v>
      </c>
      <c r="C1287" s="86" t="s">
        <v>31</v>
      </c>
      <c r="D1287" s="86" t="s">
        <v>32</v>
      </c>
      <c r="E1287" s="86" t="s">
        <v>33</v>
      </c>
      <c r="F1287" s="115" t="s">
        <v>2527</v>
      </c>
      <c r="G1287" s="116" t="s">
        <v>34</v>
      </c>
      <c r="H1287" s="117" t="s">
        <v>2753</v>
      </c>
      <c r="I1287" s="118">
        <v>46178</v>
      </c>
      <c r="J1287" s="86">
        <f t="shared" ref="J1287:J1293" ca="1" si="2618">+TODAY()-I1287</f>
        <v>6</v>
      </c>
      <c r="K1287" s="119" t="str">
        <f t="shared" ref="K1287:K1293" si="2619">+U1287</f>
        <v>Pending</v>
      </c>
      <c r="L1287" s="86" t="s">
        <v>1954</v>
      </c>
      <c r="M1287" s="86">
        <v>18300</v>
      </c>
      <c r="N1287" s="86">
        <v>16500</v>
      </c>
      <c r="O1287" s="118">
        <v>46179</v>
      </c>
      <c r="P1287" s="86">
        <f t="shared" ref="P1287:P1293" si="2620">+M1287-N1287</f>
        <v>1800</v>
      </c>
      <c r="Q1287" s="119" t="s">
        <v>33</v>
      </c>
      <c r="R1287" s="119" t="s">
        <v>37</v>
      </c>
      <c r="S1287" s="86">
        <v>21500</v>
      </c>
      <c r="T1287" s="86" t="s">
        <v>33</v>
      </c>
      <c r="U1287" s="76" t="s">
        <v>33</v>
      </c>
      <c r="V1287" s="86" t="s">
        <v>28</v>
      </c>
      <c r="W1287" s="86">
        <f t="shared" ref="W1287:W1293" si="2621">+S1287-M1287</f>
        <v>3200</v>
      </c>
      <c r="X1287" s="86" t="s">
        <v>36</v>
      </c>
      <c r="Y1287" s="86" t="s">
        <v>29</v>
      </c>
      <c r="Z1287" s="90">
        <f t="shared" ref="Z1287:Z1293" si="2622">+W1287*100/M1287</f>
        <v>17.486338797814209</v>
      </c>
      <c r="AA1287" s="120"/>
    </row>
    <row r="1288" spans="1:27" s="85" customFormat="1" ht="16" hidden="1">
      <c r="A1288" s="86">
        <f>SUBTOTAL(3,C$2:C1288)</f>
        <v>469</v>
      </c>
      <c r="B1288" s="86" t="s">
        <v>2469</v>
      </c>
      <c r="C1288" s="86" t="s">
        <v>1031</v>
      </c>
      <c r="D1288" s="86" t="s">
        <v>32</v>
      </c>
      <c r="E1288" s="86" t="s">
        <v>33</v>
      </c>
      <c r="F1288" s="115" t="s">
        <v>2754</v>
      </c>
      <c r="G1288" s="116" t="s">
        <v>34</v>
      </c>
      <c r="H1288" s="117" t="s">
        <v>2755</v>
      </c>
      <c r="I1288" s="118">
        <v>46178</v>
      </c>
      <c r="J1288" s="86">
        <f t="shared" ca="1" si="2618"/>
        <v>6</v>
      </c>
      <c r="K1288" s="119" t="str">
        <f t="shared" si="2619"/>
        <v>Pending</v>
      </c>
      <c r="L1288" s="86" t="s">
        <v>783</v>
      </c>
      <c r="M1288" s="86">
        <v>18000</v>
      </c>
      <c r="N1288" s="86">
        <v>16000</v>
      </c>
      <c r="O1288" s="118">
        <v>46179</v>
      </c>
      <c r="P1288" s="86">
        <f t="shared" si="2620"/>
        <v>2000</v>
      </c>
      <c r="Q1288" s="119" t="s">
        <v>33</v>
      </c>
      <c r="R1288" s="119" t="s">
        <v>56</v>
      </c>
      <c r="S1288" s="86">
        <v>20500</v>
      </c>
      <c r="T1288" s="86" t="s">
        <v>33</v>
      </c>
      <c r="U1288" s="76" t="s">
        <v>33</v>
      </c>
      <c r="V1288" s="86" t="s">
        <v>28</v>
      </c>
      <c r="W1288" s="86">
        <f t="shared" si="2621"/>
        <v>2500</v>
      </c>
      <c r="X1288" s="86" t="s">
        <v>963</v>
      </c>
      <c r="Y1288" s="86" t="s">
        <v>29</v>
      </c>
      <c r="Z1288" s="90">
        <f t="shared" si="2622"/>
        <v>13.888888888888889</v>
      </c>
      <c r="AA1288" s="120"/>
    </row>
    <row r="1289" spans="1:27" s="85" customFormat="1" ht="16" hidden="1">
      <c r="A1289" s="86">
        <f>SUBTOTAL(3,C$2:C1289)</f>
        <v>469</v>
      </c>
      <c r="B1289" s="86" t="s">
        <v>2469</v>
      </c>
      <c r="C1289" s="86" t="s">
        <v>31</v>
      </c>
      <c r="D1289" s="86" t="s">
        <v>32</v>
      </c>
      <c r="E1289" s="86" t="s">
        <v>33</v>
      </c>
      <c r="F1289" s="115" t="s">
        <v>280</v>
      </c>
      <c r="G1289" s="116" t="s">
        <v>34</v>
      </c>
      <c r="H1289" s="117" t="s">
        <v>2758</v>
      </c>
      <c r="I1289" s="118">
        <v>46178</v>
      </c>
      <c r="J1289" s="86">
        <f t="shared" ca="1" si="2618"/>
        <v>6</v>
      </c>
      <c r="K1289" s="119" t="str">
        <f t="shared" si="2619"/>
        <v>Pending</v>
      </c>
      <c r="L1289" s="86" t="s">
        <v>995</v>
      </c>
      <c r="M1289" s="86">
        <v>28500</v>
      </c>
      <c r="N1289" s="86">
        <v>26500</v>
      </c>
      <c r="O1289" s="118">
        <v>46179</v>
      </c>
      <c r="P1289" s="86">
        <f t="shared" si="2620"/>
        <v>2000</v>
      </c>
      <c r="Q1289" s="119" t="s">
        <v>33</v>
      </c>
      <c r="R1289" s="119" t="s">
        <v>37</v>
      </c>
      <c r="S1289" s="86">
        <v>31500</v>
      </c>
      <c r="T1289" s="86" t="s">
        <v>33</v>
      </c>
      <c r="U1289" s="76" t="s">
        <v>33</v>
      </c>
      <c r="V1289" s="86" t="s">
        <v>28</v>
      </c>
      <c r="W1289" s="86">
        <f t="shared" si="2621"/>
        <v>3000</v>
      </c>
      <c r="X1289" s="86" t="s">
        <v>36</v>
      </c>
      <c r="Y1289" s="86" t="s">
        <v>29</v>
      </c>
      <c r="Z1289" s="90">
        <f t="shared" si="2622"/>
        <v>10.526315789473685</v>
      </c>
      <c r="AA1289" s="120"/>
    </row>
    <row r="1290" spans="1:27" s="85" customFormat="1" ht="16" hidden="1">
      <c r="A1290" s="86">
        <f>SUBTOTAL(3,C$2:C1290)</f>
        <v>469</v>
      </c>
      <c r="B1290" s="86" t="s">
        <v>2469</v>
      </c>
      <c r="C1290" s="86" t="s">
        <v>31</v>
      </c>
      <c r="D1290" s="86" t="s">
        <v>32</v>
      </c>
      <c r="E1290" s="86" t="s">
        <v>33</v>
      </c>
      <c r="F1290" s="115" t="s">
        <v>2760</v>
      </c>
      <c r="G1290" s="116" t="s">
        <v>34</v>
      </c>
      <c r="H1290" s="117" t="s">
        <v>2761</v>
      </c>
      <c r="I1290" s="118">
        <v>46179</v>
      </c>
      <c r="J1290" s="86">
        <f t="shared" ca="1" si="2618"/>
        <v>5</v>
      </c>
      <c r="K1290" s="119" t="str">
        <f t="shared" si="2619"/>
        <v>Pending</v>
      </c>
      <c r="L1290" s="115" t="s">
        <v>400</v>
      </c>
      <c r="M1290" s="86">
        <v>24000</v>
      </c>
      <c r="N1290" s="86">
        <v>22000</v>
      </c>
      <c r="O1290" s="118">
        <v>46179</v>
      </c>
      <c r="P1290" s="86">
        <f t="shared" si="2620"/>
        <v>2000</v>
      </c>
      <c r="Q1290" s="119" t="s">
        <v>33</v>
      </c>
      <c r="R1290" s="119" t="s">
        <v>37</v>
      </c>
      <c r="S1290" s="86">
        <v>26000</v>
      </c>
      <c r="T1290" s="86" t="s">
        <v>33</v>
      </c>
      <c r="U1290" s="76" t="s">
        <v>33</v>
      </c>
      <c r="V1290" s="86" t="s">
        <v>28</v>
      </c>
      <c r="W1290" s="86">
        <f t="shared" si="2621"/>
        <v>2000</v>
      </c>
      <c r="X1290" s="86" t="s">
        <v>36</v>
      </c>
      <c r="Y1290" s="86" t="s">
        <v>29</v>
      </c>
      <c r="Z1290" s="90">
        <f t="shared" si="2622"/>
        <v>8.3333333333333339</v>
      </c>
      <c r="AA1290" s="120"/>
    </row>
    <row r="1291" spans="1:27" s="85" customFormat="1" ht="16" hidden="1">
      <c r="A1291" s="86">
        <f>SUBTOTAL(3,C$2:C1291)</f>
        <v>469</v>
      </c>
      <c r="B1291" s="86" t="s">
        <v>2469</v>
      </c>
      <c r="C1291" s="86" t="s">
        <v>31</v>
      </c>
      <c r="D1291" s="86" t="s">
        <v>32</v>
      </c>
      <c r="E1291" s="86" t="s">
        <v>33</v>
      </c>
      <c r="F1291" s="115" t="s">
        <v>146</v>
      </c>
      <c r="G1291" s="116" t="s">
        <v>34</v>
      </c>
      <c r="H1291" s="117" t="s">
        <v>2762</v>
      </c>
      <c r="I1291" s="118">
        <v>46179</v>
      </c>
      <c r="J1291" s="86">
        <f t="shared" ca="1" si="2618"/>
        <v>5</v>
      </c>
      <c r="K1291" s="119" t="str">
        <f t="shared" si="2619"/>
        <v>Pending</v>
      </c>
      <c r="L1291" s="86" t="s">
        <v>1954</v>
      </c>
      <c r="M1291" s="86">
        <v>18300</v>
      </c>
      <c r="N1291" s="86">
        <v>16500</v>
      </c>
      <c r="O1291" s="118">
        <v>46179</v>
      </c>
      <c r="P1291" s="86">
        <f t="shared" si="2620"/>
        <v>1800</v>
      </c>
      <c r="Q1291" s="119" t="s">
        <v>33</v>
      </c>
      <c r="R1291" s="119" t="s">
        <v>37</v>
      </c>
      <c r="S1291" s="86">
        <v>21500</v>
      </c>
      <c r="T1291" s="86" t="s">
        <v>33</v>
      </c>
      <c r="U1291" s="76" t="s">
        <v>33</v>
      </c>
      <c r="V1291" s="86" t="s">
        <v>28</v>
      </c>
      <c r="W1291" s="86">
        <f t="shared" si="2621"/>
        <v>3200</v>
      </c>
      <c r="X1291" s="86" t="s">
        <v>36</v>
      </c>
      <c r="Y1291" s="86" t="s">
        <v>29</v>
      </c>
      <c r="Z1291" s="90">
        <f t="shared" si="2622"/>
        <v>17.486338797814209</v>
      </c>
      <c r="AA1291" s="120"/>
    </row>
    <row r="1292" spans="1:27" s="85" customFormat="1" ht="16" hidden="1">
      <c r="A1292" s="86">
        <f>SUBTOTAL(3,C$2:C1292)</f>
        <v>469</v>
      </c>
      <c r="B1292" s="86" t="s">
        <v>2469</v>
      </c>
      <c r="C1292" s="86" t="s">
        <v>44</v>
      </c>
      <c r="D1292" s="86" t="s">
        <v>32</v>
      </c>
      <c r="E1292" s="86" t="s">
        <v>33</v>
      </c>
      <c r="F1292" s="115" t="s">
        <v>429</v>
      </c>
      <c r="G1292" s="121" t="s">
        <v>2450</v>
      </c>
      <c r="H1292" s="117" t="s">
        <v>2763</v>
      </c>
      <c r="I1292" s="118">
        <v>46179</v>
      </c>
      <c r="J1292" s="86">
        <f t="shared" ca="1" si="2618"/>
        <v>5</v>
      </c>
      <c r="K1292" s="119" t="str">
        <f t="shared" si="2619"/>
        <v>Pending</v>
      </c>
      <c r="L1292" s="86" t="s">
        <v>1411</v>
      </c>
      <c r="M1292" s="86">
        <v>35000</v>
      </c>
      <c r="N1292" s="86">
        <v>32000</v>
      </c>
      <c r="O1292" s="118">
        <v>46179</v>
      </c>
      <c r="P1292" s="86">
        <f t="shared" si="2620"/>
        <v>3000</v>
      </c>
      <c r="Q1292" s="119" t="s">
        <v>33</v>
      </c>
      <c r="R1292" s="119" t="s">
        <v>39</v>
      </c>
      <c r="S1292" s="86">
        <v>38500</v>
      </c>
      <c r="T1292" s="86" t="s">
        <v>33</v>
      </c>
      <c r="U1292" s="76" t="s">
        <v>33</v>
      </c>
      <c r="V1292" s="86" t="s">
        <v>28</v>
      </c>
      <c r="W1292" s="86">
        <f t="shared" si="2621"/>
        <v>3500</v>
      </c>
      <c r="X1292" s="86" t="s">
        <v>36</v>
      </c>
      <c r="Y1292" s="86" t="s">
        <v>29</v>
      </c>
      <c r="Z1292" s="90">
        <f t="shared" si="2622"/>
        <v>10</v>
      </c>
      <c r="AA1292" s="120"/>
    </row>
    <row r="1293" spans="1:27" s="122" customFormat="1" ht="16" hidden="1">
      <c r="A1293" s="119">
        <f>SUBTOTAL(3,C$2:C1293)</f>
        <v>469</v>
      </c>
      <c r="B1293" s="86" t="s">
        <v>2469</v>
      </c>
      <c r="C1293" s="119" t="s">
        <v>284</v>
      </c>
      <c r="D1293" s="119" t="s">
        <v>32</v>
      </c>
      <c r="E1293" s="119" t="s">
        <v>33</v>
      </c>
      <c r="F1293" s="115" t="s">
        <v>285</v>
      </c>
      <c r="G1293" s="121" t="s">
        <v>50</v>
      </c>
      <c r="H1293" s="117" t="s">
        <v>2764</v>
      </c>
      <c r="I1293" s="118">
        <v>46179</v>
      </c>
      <c r="J1293" s="119">
        <f t="shared" ca="1" si="2618"/>
        <v>5</v>
      </c>
      <c r="K1293" s="119" t="str">
        <f t="shared" si="2619"/>
        <v>Pending</v>
      </c>
      <c r="L1293" s="122" t="s">
        <v>1851</v>
      </c>
      <c r="M1293" s="119">
        <f>3000+44000</f>
        <v>47000</v>
      </c>
      <c r="N1293" s="119">
        <v>40000</v>
      </c>
      <c r="O1293" s="118">
        <v>46179</v>
      </c>
      <c r="P1293" s="119">
        <f t="shared" si="2620"/>
        <v>7000</v>
      </c>
      <c r="Q1293" s="119" t="s">
        <v>33</v>
      </c>
      <c r="R1293" s="119" t="s">
        <v>52</v>
      </c>
      <c r="S1293" s="119">
        <f>5000+48000</f>
        <v>53000</v>
      </c>
      <c r="T1293" s="86" t="s">
        <v>33</v>
      </c>
      <c r="U1293" s="76" t="s">
        <v>33</v>
      </c>
      <c r="V1293" s="119" t="s">
        <v>28</v>
      </c>
      <c r="W1293" s="119">
        <f t="shared" si="2621"/>
        <v>6000</v>
      </c>
      <c r="X1293" s="119" t="s">
        <v>36</v>
      </c>
      <c r="Y1293" s="119" t="s">
        <v>29</v>
      </c>
      <c r="Z1293" s="123">
        <f t="shared" si="2622"/>
        <v>12.76595744680851</v>
      </c>
      <c r="AA1293" s="120"/>
    </row>
    <row r="1294" spans="1:27" s="85" customFormat="1" ht="16" hidden="1">
      <c r="A1294" s="86">
        <f>SUBTOTAL(3,C$2:C1294)</f>
        <v>469</v>
      </c>
      <c r="B1294" s="86" t="s">
        <v>2469</v>
      </c>
      <c r="C1294" s="86" t="s">
        <v>1031</v>
      </c>
      <c r="D1294" s="86" t="s">
        <v>32</v>
      </c>
      <c r="E1294" s="86" t="s">
        <v>33</v>
      </c>
      <c r="F1294" s="115" t="s">
        <v>2756</v>
      </c>
      <c r="G1294" s="116" t="s">
        <v>34</v>
      </c>
      <c r="H1294" s="117" t="s">
        <v>2757</v>
      </c>
      <c r="I1294" s="118">
        <v>46178</v>
      </c>
      <c r="J1294" s="86">
        <f t="shared" ref="J1294" ca="1" si="2623">+TODAY()-I1294</f>
        <v>6</v>
      </c>
      <c r="K1294" s="119" t="str">
        <f t="shared" ref="K1294" si="2624">+U1294</f>
        <v>Pending</v>
      </c>
      <c r="L1294" s="86" t="s">
        <v>783</v>
      </c>
      <c r="M1294" s="86">
        <v>18000</v>
      </c>
      <c r="N1294" s="86">
        <v>16000</v>
      </c>
      <c r="O1294" s="118">
        <v>46179</v>
      </c>
      <c r="P1294" s="86">
        <f t="shared" ref="P1294" si="2625">+M1294-N1294</f>
        <v>2000</v>
      </c>
      <c r="Q1294" s="119" t="s">
        <v>33</v>
      </c>
      <c r="R1294" s="119" t="s">
        <v>56</v>
      </c>
      <c r="S1294" s="86">
        <v>20500</v>
      </c>
      <c r="T1294" s="86" t="s">
        <v>33</v>
      </c>
      <c r="U1294" s="76" t="s">
        <v>33</v>
      </c>
      <c r="V1294" s="86" t="s">
        <v>28</v>
      </c>
      <c r="W1294" s="86">
        <f t="shared" ref="W1294" si="2626">+S1294-M1294</f>
        <v>2500</v>
      </c>
      <c r="X1294" s="86" t="s">
        <v>963</v>
      </c>
      <c r="Y1294" s="86" t="s">
        <v>29</v>
      </c>
      <c r="Z1294" s="90">
        <f t="shared" ref="Z1294" si="2627">+W1294*100/M1294</f>
        <v>13.888888888888889</v>
      </c>
      <c r="AA1294" s="120"/>
    </row>
    <row r="1295" spans="1:27" s="85" customFormat="1" ht="16" hidden="1">
      <c r="A1295" s="86">
        <f>SUBTOTAL(3,C$2:C1295)</f>
        <v>469</v>
      </c>
      <c r="B1295" s="86" t="s">
        <v>2469</v>
      </c>
      <c r="C1295" s="86" t="s">
        <v>31</v>
      </c>
      <c r="D1295" s="86" t="s">
        <v>32</v>
      </c>
      <c r="E1295" s="86" t="s">
        <v>33</v>
      </c>
      <c r="F1295" s="115" t="s">
        <v>280</v>
      </c>
      <c r="G1295" s="116" t="s">
        <v>34</v>
      </c>
      <c r="H1295" s="117" t="s">
        <v>2759</v>
      </c>
      <c r="I1295" s="118">
        <v>46179</v>
      </c>
      <c r="J1295" s="86">
        <f t="shared" ref="J1295" ca="1" si="2628">+TODAY()-I1295</f>
        <v>5</v>
      </c>
      <c r="K1295" s="119" t="str">
        <f t="shared" ref="K1295" si="2629">+U1295</f>
        <v>Pending</v>
      </c>
      <c r="L1295" s="86" t="s">
        <v>995</v>
      </c>
      <c r="M1295" s="86">
        <v>28500</v>
      </c>
      <c r="N1295" s="86">
        <v>26500</v>
      </c>
      <c r="O1295" s="118">
        <v>46179</v>
      </c>
      <c r="P1295" s="86">
        <f t="shared" ref="P1295" si="2630">+M1295-N1295</f>
        <v>2000</v>
      </c>
      <c r="Q1295" s="119" t="s">
        <v>33</v>
      </c>
      <c r="R1295" s="119" t="s">
        <v>37</v>
      </c>
      <c r="S1295" s="86">
        <v>31500</v>
      </c>
      <c r="T1295" s="86" t="s">
        <v>33</v>
      </c>
      <c r="U1295" s="76" t="s">
        <v>33</v>
      </c>
      <c r="V1295" s="86" t="s">
        <v>28</v>
      </c>
      <c r="W1295" s="86">
        <f t="shared" ref="W1295" si="2631">+S1295-M1295</f>
        <v>3000</v>
      </c>
      <c r="X1295" s="86" t="s">
        <v>36</v>
      </c>
      <c r="Y1295" s="86" t="s">
        <v>29</v>
      </c>
      <c r="Z1295" s="90">
        <f t="shared" ref="Z1295" si="2632">+W1295*100/M1295</f>
        <v>10.526315789473685</v>
      </c>
      <c r="AA1295" s="120"/>
    </row>
    <row r="1296" spans="1:27" s="85" customFormat="1" ht="16">
      <c r="A1296" s="86">
        <f>SUBTOTAL(3,C$2:C1296)</f>
        <v>470</v>
      </c>
      <c r="B1296" s="86" t="s">
        <v>2469</v>
      </c>
      <c r="C1296" s="86" t="s">
        <v>44</v>
      </c>
      <c r="D1296" s="86" t="s">
        <v>32</v>
      </c>
      <c r="E1296" s="86" t="s">
        <v>33</v>
      </c>
      <c r="F1296" s="115" t="s">
        <v>296</v>
      </c>
      <c r="G1296" s="121" t="s">
        <v>2450</v>
      </c>
      <c r="H1296" s="117" t="s">
        <v>2765</v>
      </c>
      <c r="I1296" s="118">
        <v>46179</v>
      </c>
      <c r="J1296" s="86">
        <f t="shared" ref="J1296" ca="1" si="2633">+TODAY()-I1296</f>
        <v>5</v>
      </c>
      <c r="K1296" s="119" t="str">
        <f t="shared" ref="K1296" si="2634">+U1296</f>
        <v>Pending</v>
      </c>
      <c r="L1296" s="64" t="s">
        <v>97</v>
      </c>
      <c r="M1296" s="86">
        <v>35000</v>
      </c>
      <c r="N1296" s="86">
        <v>32000</v>
      </c>
      <c r="O1296" s="118">
        <v>46179</v>
      </c>
      <c r="P1296" s="86">
        <f t="shared" ref="P1296" si="2635">+M1296-N1296</f>
        <v>3000</v>
      </c>
      <c r="Q1296" s="119" t="s">
        <v>33</v>
      </c>
      <c r="R1296" s="119" t="s">
        <v>37</v>
      </c>
      <c r="S1296" s="86">
        <v>38000</v>
      </c>
      <c r="T1296" s="86" t="s">
        <v>33</v>
      </c>
      <c r="U1296" s="76" t="s">
        <v>33</v>
      </c>
      <c r="V1296" s="86" t="s">
        <v>28</v>
      </c>
      <c r="W1296" s="86">
        <f t="shared" ref="W1296" si="2636">+S1296-M1296</f>
        <v>3000</v>
      </c>
      <c r="X1296" s="86" t="s">
        <v>36</v>
      </c>
      <c r="Y1296" s="86" t="s">
        <v>29</v>
      </c>
      <c r="Z1296" s="90">
        <f t="shared" ref="Z1296" si="2637">+W1296*100/M1296</f>
        <v>8.5714285714285712</v>
      </c>
      <c r="AA1296" s="120"/>
    </row>
  </sheetData>
  <autoFilter ref="A1:AA1295" xr:uid="{00000000-0009-0000-0000-000000000000}">
    <filterColumn colId="1">
      <filters>
        <filter val="1) Apr-26"/>
      </filters>
    </filterColumn>
  </autoFilter>
  <conditionalFormatting sqref="E2:E1209">
    <cfRule type="containsText" dxfId="2940" priority="12246" operator="containsText" text="Received ">
      <formula>NOT(ISERROR(SEARCH("Received ",E2)))</formula>
    </cfRule>
    <cfRule type="containsText" dxfId="2939" priority="12262" operator="containsText" text="Received">
      <formula>NOT(ISERROR(SEARCH("Received",E2)))</formula>
    </cfRule>
    <cfRule type="containsText" dxfId="2938" priority="12245" operator="containsText" text="Received">
      <formula>NOT(ISERROR(SEARCH("Received",E2)))</formula>
    </cfRule>
    <cfRule type="containsText" dxfId="2937" priority="12263" operator="containsText" text="Received ">
      <formula>NOT(ISERROR(SEARCH("Received ",E2)))</formula>
    </cfRule>
    <cfRule type="containsText" dxfId="2936" priority="12264" operator="containsText" text="Pending">
      <formula>NOT(ISERROR(SEARCH("Pending",E2)))</formula>
    </cfRule>
    <cfRule type="containsText" dxfId="2935" priority="12248" operator="containsText" text="Received">
      <formula>NOT(ISERROR(SEARCH("Received",E2)))</formula>
    </cfRule>
    <cfRule type="containsText" dxfId="2934" priority="12257" operator="containsText" text="Received ">
      <formula>NOT(ISERROR(SEARCH("Received ",E2)))</formula>
    </cfRule>
    <cfRule type="containsText" dxfId="2933" priority="12247" operator="containsText" text="Pending">
      <formula>NOT(ISERROR(SEARCH("Pending",E2)))</formula>
    </cfRule>
    <cfRule type="containsText" dxfId="2932" priority="12249" operator="containsText" text="Received ">
      <formula>NOT(ISERROR(SEARCH("Received ",E2)))</formula>
    </cfRule>
    <cfRule type="containsText" dxfId="2931" priority="12250" operator="containsText" text="Pending">
      <formula>NOT(ISERROR(SEARCH("Pending",E2)))</formula>
    </cfRule>
    <cfRule type="containsText" dxfId="2930" priority="12251" operator="containsText" text="Received">
      <formula>NOT(ISERROR(SEARCH("Received",E2)))</formula>
    </cfRule>
    <cfRule type="containsText" dxfId="2929" priority="12252" operator="containsText" text="Received ">
      <formula>NOT(ISERROR(SEARCH("Received ",E2)))</formula>
    </cfRule>
    <cfRule type="containsText" dxfId="2928" priority="12253" operator="containsText" text="Pending">
      <formula>NOT(ISERROR(SEARCH("Pending",E2)))</formula>
    </cfRule>
    <cfRule type="containsText" dxfId="2927" priority="12256" operator="containsText" text="Received">
      <formula>NOT(ISERROR(SEARCH("Received",E2)))</formula>
    </cfRule>
    <cfRule type="containsText" dxfId="2926" priority="12258" operator="containsText" text="Pending">
      <formula>NOT(ISERROR(SEARCH("Pending",E2)))</formula>
    </cfRule>
    <cfRule type="containsText" dxfId="2925" priority="12259" operator="containsText" text="Received">
      <formula>NOT(ISERROR(SEARCH("Received",E2)))</formula>
    </cfRule>
    <cfRule type="containsText" dxfId="2924" priority="12260" operator="containsText" text="Received ">
      <formula>NOT(ISERROR(SEARCH("Received ",E2)))</formula>
    </cfRule>
    <cfRule type="containsText" dxfId="2923" priority="12261" operator="containsText" text="Pending">
      <formula>NOT(ISERROR(SEARCH("Pending",E2)))</formula>
    </cfRule>
  </conditionalFormatting>
  <conditionalFormatting sqref="E2:E1210">
    <cfRule type="containsText" dxfId="2922" priority="6242" operator="containsText" text="Pending">
      <formula>NOT(ISERROR(SEARCH("Pending",E2)))</formula>
    </cfRule>
  </conditionalFormatting>
  <conditionalFormatting sqref="E2:E1296">
    <cfRule type="containsText" dxfId="2921" priority="3" operator="containsText" text="Pending">
      <formula>NOT(ISERROR(SEARCH("Pending",E2)))</formula>
    </cfRule>
  </conditionalFormatting>
  <conditionalFormatting sqref="E1210">
    <cfRule type="containsText" dxfId="2920" priority="6227" operator="containsText" text="Pending">
      <formula>NOT(ISERROR(SEARCH("Pending",E1210)))</formula>
    </cfRule>
    <cfRule type="containsText" dxfId="2919" priority="6228" operator="containsText" text="Received">
      <formula>NOT(ISERROR(SEARCH("Received",E1210)))</formula>
    </cfRule>
    <cfRule type="containsText" dxfId="2918" priority="6229" operator="containsText" text="Received ">
      <formula>NOT(ISERROR(SEARCH("Received ",E1210)))</formula>
    </cfRule>
    <cfRule type="containsText" dxfId="2917" priority="6230" operator="containsText" text="Pending">
      <formula>NOT(ISERROR(SEARCH("Pending",E1210)))</formula>
    </cfRule>
    <cfRule type="containsText" dxfId="2916" priority="6231" operator="containsText" text="Received">
      <formula>NOT(ISERROR(SEARCH("Received",E1210)))</formula>
    </cfRule>
    <cfRule type="containsText" dxfId="2915" priority="6225" operator="containsText" text="Received">
      <formula>NOT(ISERROR(SEARCH("Received",E1210)))</formula>
    </cfRule>
    <cfRule type="containsText" dxfId="2914" priority="6241" operator="containsText" text="Received ">
      <formula>NOT(ISERROR(SEARCH("Received ",E1210)))</formula>
    </cfRule>
    <cfRule type="containsText" dxfId="2913" priority="6240" operator="containsText" text="Received">
      <formula>NOT(ISERROR(SEARCH("Received",E1210)))</formula>
    </cfRule>
    <cfRule type="containsText" dxfId="2912" priority="6239" operator="containsText" text="Pending">
      <formula>NOT(ISERROR(SEARCH("Pending",E1210)))</formula>
    </cfRule>
    <cfRule type="containsText" dxfId="2911" priority="6226" operator="containsText" text="Received ">
      <formula>NOT(ISERROR(SEARCH("Received ",E1210)))</formula>
    </cfRule>
    <cfRule type="containsText" dxfId="2910" priority="6238" operator="containsText" text="Received ">
      <formula>NOT(ISERROR(SEARCH("Received ",E1210)))</formula>
    </cfRule>
    <cfRule type="containsText" dxfId="2909" priority="6237" operator="containsText" text="Received">
      <formula>NOT(ISERROR(SEARCH("Received",E1210)))</formula>
    </cfRule>
    <cfRule type="containsText" dxfId="2908" priority="6236" operator="containsText" text="Pending">
      <formula>NOT(ISERROR(SEARCH("Pending",E1210)))</formula>
    </cfRule>
    <cfRule type="containsText" dxfId="2907" priority="6235" operator="containsText" text="Received ">
      <formula>NOT(ISERROR(SEARCH("Received ",E1210)))</formula>
    </cfRule>
    <cfRule type="containsText" dxfId="2906" priority="6234" operator="containsText" text="Received">
      <formula>NOT(ISERROR(SEARCH("Received",E1210)))</formula>
    </cfRule>
    <cfRule type="containsText" dxfId="2905" priority="6233" operator="containsText" text="Pending">
      <formula>NOT(ISERROR(SEARCH("Pending",E1210)))</formula>
    </cfRule>
    <cfRule type="containsText" dxfId="2904" priority="6232" operator="containsText" text="Received ">
      <formula>NOT(ISERROR(SEARCH("Received ",E1210)))</formula>
    </cfRule>
  </conditionalFormatting>
  <conditionalFormatting sqref="E1210:E1211">
    <cfRule type="containsText" dxfId="2903" priority="6184" operator="containsText" text="Pending">
      <formula>NOT(ISERROR(SEARCH("Pending",E1210)))</formula>
    </cfRule>
  </conditionalFormatting>
  <conditionalFormatting sqref="E1211">
    <cfRule type="containsText" dxfId="2902" priority="6177" operator="containsText" text="Received ">
      <formula>NOT(ISERROR(SEARCH("Received ",E1211)))</formula>
    </cfRule>
    <cfRule type="containsText" dxfId="2901" priority="6176" operator="containsText" text="Received">
      <formula>NOT(ISERROR(SEARCH("Received",E1211)))</formula>
    </cfRule>
    <cfRule type="containsText" dxfId="2900" priority="6175" operator="containsText" text="Pending">
      <formula>NOT(ISERROR(SEARCH("Pending",E1211)))</formula>
    </cfRule>
    <cfRule type="containsText" dxfId="2899" priority="6174" operator="containsText" text="Received ">
      <formula>NOT(ISERROR(SEARCH("Received ",E1211)))</formula>
    </cfRule>
    <cfRule type="containsText" dxfId="2898" priority="6173" operator="containsText" text="Received">
      <formula>NOT(ISERROR(SEARCH("Received",E1211)))</formula>
    </cfRule>
    <cfRule type="containsText" dxfId="2897" priority="6172" operator="containsText" text="Pending">
      <formula>NOT(ISERROR(SEARCH("Pending",E1211)))</formula>
    </cfRule>
    <cfRule type="containsText" dxfId="2896" priority="6170" operator="containsText" text="Received">
      <formula>NOT(ISERROR(SEARCH("Received",E1211)))</formula>
    </cfRule>
    <cfRule type="containsText" dxfId="2895" priority="6169" operator="containsText" text="Pending">
      <formula>NOT(ISERROR(SEARCH("Pending",E1211)))</formula>
    </cfRule>
    <cfRule type="containsText" dxfId="2894" priority="6168" operator="containsText" text="Received ">
      <formula>NOT(ISERROR(SEARCH("Received ",E1211)))</formula>
    </cfRule>
    <cfRule type="containsText" dxfId="2893" priority="6167" operator="containsText" text="Received">
      <formula>NOT(ISERROR(SEARCH("Received",E1211)))</formula>
    </cfRule>
    <cfRule type="containsText" dxfId="2892" priority="6183" operator="containsText" text="Received ">
      <formula>NOT(ISERROR(SEARCH("Received ",E1211)))</formula>
    </cfRule>
    <cfRule type="containsText" dxfId="2891" priority="6171" operator="containsText" text="Received ">
      <formula>NOT(ISERROR(SEARCH("Received ",E1211)))</formula>
    </cfRule>
    <cfRule type="containsText" dxfId="2890" priority="6182" operator="containsText" text="Received">
      <formula>NOT(ISERROR(SEARCH("Received",E1211)))</formula>
    </cfRule>
    <cfRule type="containsText" dxfId="2889" priority="6181" operator="containsText" text="Pending">
      <formula>NOT(ISERROR(SEARCH("Pending",E1211)))</formula>
    </cfRule>
    <cfRule type="containsText" dxfId="2888" priority="6180" operator="containsText" text="Received ">
      <formula>NOT(ISERROR(SEARCH("Received ",E1211)))</formula>
    </cfRule>
    <cfRule type="containsText" dxfId="2887" priority="6179" operator="containsText" text="Received">
      <formula>NOT(ISERROR(SEARCH("Received",E1211)))</formula>
    </cfRule>
    <cfRule type="containsText" dxfId="2886" priority="6178" operator="containsText" text="Pending">
      <formula>NOT(ISERROR(SEARCH("Pending",E1211)))</formula>
    </cfRule>
  </conditionalFormatting>
  <conditionalFormatting sqref="E1211:E1212">
    <cfRule type="containsText" dxfId="2885" priority="6126" operator="containsText" text="Pending">
      <formula>NOT(ISERROR(SEARCH("Pending",E1211)))</formula>
    </cfRule>
  </conditionalFormatting>
  <conditionalFormatting sqref="E1212">
    <cfRule type="containsText" dxfId="2884" priority="6119" operator="containsText" text="Received ">
      <formula>NOT(ISERROR(SEARCH("Received ",E1212)))</formula>
    </cfRule>
    <cfRule type="containsText" dxfId="2883" priority="6120" operator="containsText" text="Pending">
      <formula>NOT(ISERROR(SEARCH("Pending",E1212)))</formula>
    </cfRule>
    <cfRule type="containsText" dxfId="2882" priority="6122" operator="containsText" text="Received ">
      <formula>NOT(ISERROR(SEARCH("Received ",E1212)))</formula>
    </cfRule>
    <cfRule type="containsText" dxfId="2881" priority="6117" operator="containsText" text="Pending">
      <formula>NOT(ISERROR(SEARCH("Pending",E1212)))</formula>
    </cfRule>
    <cfRule type="containsText" dxfId="2880" priority="6116" operator="containsText" text="Received ">
      <formula>NOT(ISERROR(SEARCH("Received ",E1212)))</formula>
    </cfRule>
    <cfRule type="containsText" dxfId="2879" priority="6114" operator="containsText" text="Pending">
      <formula>NOT(ISERROR(SEARCH("Pending",E1212)))</formula>
    </cfRule>
    <cfRule type="containsText" dxfId="2878" priority="6113" operator="containsText" text="Received ">
      <formula>NOT(ISERROR(SEARCH("Received ",E1212)))</formula>
    </cfRule>
    <cfRule type="containsText" dxfId="2877" priority="6112" operator="containsText" text="Received">
      <formula>NOT(ISERROR(SEARCH("Received",E1212)))</formula>
    </cfRule>
    <cfRule type="containsText" dxfId="2876" priority="6111" operator="containsText" text="Pending">
      <formula>NOT(ISERROR(SEARCH("Pending",E1212)))</formula>
    </cfRule>
    <cfRule type="containsText" dxfId="2875" priority="6110" operator="containsText" text="Received ">
      <formula>NOT(ISERROR(SEARCH("Received ",E1212)))</formula>
    </cfRule>
    <cfRule type="containsText" dxfId="2874" priority="6109" operator="containsText" text="Received">
      <formula>NOT(ISERROR(SEARCH("Received",E1212)))</formula>
    </cfRule>
    <cfRule type="containsText" dxfId="2873" priority="6121" operator="containsText" text="Received">
      <formula>NOT(ISERROR(SEARCH("Received",E1212)))</formula>
    </cfRule>
    <cfRule type="containsText" dxfId="2872" priority="6124" operator="containsText" text="Received">
      <formula>NOT(ISERROR(SEARCH("Received",E1212)))</formula>
    </cfRule>
    <cfRule type="containsText" dxfId="2871" priority="6115" operator="containsText" text="Received">
      <formula>NOT(ISERROR(SEARCH("Received",E1212)))</formula>
    </cfRule>
    <cfRule type="containsText" dxfId="2870" priority="6125" operator="containsText" text="Received ">
      <formula>NOT(ISERROR(SEARCH("Received ",E1212)))</formula>
    </cfRule>
    <cfRule type="containsText" dxfId="2869" priority="6123" operator="containsText" text="Pending">
      <formula>NOT(ISERROR(SEARCH("Pending",E1212)))</formula>
    </cfRule>
    <cfRule type="containsText" dxfId="2868" priority="6118" operator="containsText" text="Received">
      <formula>NOT(ISERROR(SEARCH("Received",E1212)))</formula>
    </cfRule>
  </conditionalFormatting>
  <conditionalFormatting sqref="E1212:E1213">
    <cfRule type="containsText" dxfId="2867" priority="6068" operator="containsText" text="Pending">
      <formula>NOT(ISERROR(SEARCH("Pending",E1212)))</formula>
    </cfRule>
  </conditionalFormatting>
  <conditionalFormatting sqref="E1213">
    <cfRule type="containsText" dxfId="2866" priority="6052" operator="containsText" text="Received ">
      <formula>NOT(ISERROR(SEARCH("Received ",E1213)))</formula>
    </cfRule>
    <cfRule type="containsText" dxfId="2865" priority="6067" operator="containsText" text="Received ">
      <formula>NOT(ISERROR(SEARCH("Received ",E1213)))</formula>
    </cfRule>
    <cfRule type="containsText" dxfId="2864" priority="6066" operator="containsText" text="Received">
      <formula>NOT(ISERROR(SEARCH("Received",E1213)))</formula>
    </cfRule>
    <cfRule type="containsText" dxfId="2863" priority="6065" operator="containsText" text="Pending">
      <formula>NOT(ISERROR(SEARCH("Pending",E1213)))</formula>
    </cfRule>
    <cfRule type="containsText" dxfId="2862" priority="6064" operator="containsText" text="Received ">
      <formula>NOT(ISERROR(SEARCH("Received ",E1213)))</formula>
    </cfRule>
    <cfRule type="containsText" dxfId="2861" priority="6063" operator="containsText" text="Received">
      <formula>NOT(ISERROR(SEARCH("Received",E1213)))</formula>
    </cfRule>
    <cfRule type="containsText" dxfId="2860" priority="6062" operator="containsText" text="Pending">
      <formula>NOT(ISERROR(SEARCH("Pending",E1213)))</formula>
    </cfRule>
    <cfRule type="containsText" dxfId="2859" priority="6061" operator="containsText" text="Received ">
      <formula>NOT(ISERROR(SEARCH("Received ",E1213)))</formula>
    </cfRule>
    <cfRule type="containsText" dxfId="2858" priority="6060" operator="containsText" text="Received">
      <formula>NOT(ISERROR(SEARCH("Received",E1213)))</formula>
    </cfRule>
    <cfRule type="containsText" dxfId="2857" priority="6059" operator="containsText" text="Pending">
      <formula>NOT(ISERROR(SEARCH("Pending",E1213)))</formula>
    </cfRule>
    <cfRule type="containsText" dxfId="2856" priority="6058" operator="containsText" text="Received ">
      <formula>NOT(ISERROR(SEARCH("Received ",E1213)))</formula>
    </cfRule>
    <cfRule type="containsText" dxfId="2855" priority="6057" operator="containsText" text="Received">
      <formula>NOT(ISERROR(SEARCH("Received",E1213)))</formula>
    </cfRule>
    <cfRule type="containsText" dxfId="2854" priority="6056" operator="containsText" text="Pending">
      <formula>NOT(ISERROR(SEARCH("Pending",E1213)))</formula>
    </cfRule>
    <cfRule type="containsText" dxfId="2853" priority="6055" operator="containsText" text="Received ">
      <formula>NOT(ISERROR(SEARCH("Received ",E1213)))</formula>
    </cfRule>
    <cfRule type="containsText" dxfId="2852" priority="6054" operator="containsText" text="Received">
      <formula>NOT(ISERROR(SEARCH("Received",E1213)))</formula>
    </cfRule>
    <cfRule type="containsText" dxfId="2851" priority="6053" operator="containsText" text="Pending">
      <formula>NOT(ISERROR(SEARCH("Pending",E1213)))</formula>
    </cfRule>
    <cfRule type="containsText" dxfId="2850" priority="6051" operator="containsText" text="Received">
      <formula>NOT(ISERROR(SEARCH("Received",E1213)))</formula>
    </cfRule>
  </conditionalFormatting>
  <conditionalFormatting sqref="E1213:E1214">
    <cfRule type="containsText" dxfId="2849" priority="6010" operator="containsText" text="Pending">
      <formula>NOT(ISERROR(SEARCH("Pending",E1213)))</formula>
    </cfRule>
  </conditionalFormatting>
  <conditionalFormatting sqref="E1214">
    <cfRule type="containsText" dxfId="2848" priority="6001" operator="containsText" text="Pending">
      <formula>NOT(ISERROR(SEARCH("Pending",E1214)))</formula>
    </cfRule>
    <cfRule type="containsText" dxfId="2847" priority="6005" operator="containsText" text="Received">
      <formula>NOT(ISERROR(SEARCH("Received",E1214)))</formula>
    </cfRule>
    <cfRule type="containsText" dxfId="2846" priority="6008" operator="containsText" text="Received">
      <formula>NOT(ISERROR(SEARCH("Received",E1214)))</formula>
    </cfRule>
    <cfRule type="containsText" dxfId="2845" priority="5994" operator="containsText" text="Received ">
      <formula>NOT(ISERROR(SEARCH("Received ",E1214)))</formula>
    </cfRule>
    <cfRule type="containsText" dxfId="2844" priority="5995" operator="containsText" text="Pending">
      <formula>NOT(ISERROR(SEARCH("Pending",E1214)))</formula>
    </cfRule>
    <cfRule type="containsText" dxfId="2843" priority="5996" operator="containsText" text="Received">
      <formula>NOT(ISERROR(SEARCH("Received",E1214)))</formula>
    </cfRule>
    <cfRule type="containsText" dxfId="2842" priority="5997" operator="containsText" text="Received ">
      <formula>NOT(ISERROR(SEARCH("Received ",E1214)))</formula>
    </cfRule>
    <cfRule type="containsText" dxfId="2841" priority="5998" operator="containsText" text="Pending">
      <formula>NOT(ISERROR(SEARCH("Pending",E1214)))</formula>
    </cfRule>
    <cfRule type="containsText" dxfId="2840" priority="5999" operator="containsText" text="Received">
      <formula>NOT(ISERROR(SEARCH("Received",E1214)))</formula>
    </cfRule>
    <cfRule type="containsText" dxfId="2839" priority="6007" operator="containsText" text="Pending">
      <formula>NOT(ISERROR(SEARCH("Pending",E1214)))</formula>
    </cfRule>
    <cfRule type="containsText" dxfId="2838" priority="6006" operator="containsText" text="Received ">
      <formula>NOT(ISERROR(SEARCH("Received ",E1214)))</formula>
    </cfRule>
    <cfRule type="containsText" dxfId="2837" priority="6009" operator="containsText" text="Received ">
      <formula>NOT(ISERROR(SEARCH("Received ",E1214)))</formula>
    </cfRule>
    <cfRule type="containsText" dxfId="2836" priority="6004" operator="containsText" text="Pending">
      <formula>NOT(ISERROR(SEARCH("Pending",E1214)))</formula>
    </cfRule>
    <cfRule type="containsText" dxfId="2835" priority="6003" operator="containsText" text="Received ">
      <formula>NOT(ISERROR(SEARCH("Received ",E1214)))</formula>
    </cfRule>
    <cfRule type="containsText" dxfId="2834" priority="5993" operator="containsText" text="Received">
      <formula>NOT(ISERROR(SEARCH("Received",E1214)))</formula>
    </cfRule>
    <cfRule type="containsText" dxfId="2833" priority="6002" operator="containsText" text="Received">
      <formula>NOT(ISERROR(SEARCH("Received",E1214)))</formula>
    </cfRule>
    <cfRule type="containsText" dxfId="2832" priority="6000" operator="containsText" text="Received ">
      <formula>NOT(ISERROR(SEARCH("Received ",E1214)))</formula>
    </cfRule>
  </conditionalFormatting>
  <conditionalFormatting sqref="E1214:E1215">
    <cfRule type="containsText" dxfId="2831" priority="5952" operator="containsText" text="Pending">
      <formula>NOT(ISERROR(SEARCH("Pending",E1214)))</formula>
    </cfRule>
  </conditionalFormatting>
  <conditionalFormatting sqref="E1215">
    <cfRule type="containsText" dxfId="2830" priority="5948" operator="containsText" text="Received ">
      <formula>NOT(ISERROR(SEARCH("Received ",E1215)))</formula>
    </cfRule>
    <cfRule type="containsText" dxfId="2829" priority="5947" operator="containsText" text="Received">
      <formula>NOT(ISERROR(SEARCH("Received",E1215)))</formula>
    </cfRule>
    <cfRule type="containsText" dxfId="2828" priority="5946" operator="containsText" text="Pending">
      <formula>NOT(ISERROR(SEARCH("Pending",E1215)))</formula>
    </cfRule>
    <cfRule type="containsText" dxfId="2827" priority="5949" operator="containsText" text="Pending">
      <formula>NOT(ISERROR(SEARCH("Pending",E1215)))</formula>
    </cfRule>
    <cfRule type="containsText" dxfId="2826" priority="5951" operator="containsText" text="Received ">
      <formula>NOT(ISERROR(SEARCH("Received ",E1215)))</formula>
    </cfRule>
    <cfRule type="containsText" dxfId="2825" priority="5943" operator="containsText" text="Pending">
      <formula>NOT(ISERROR(SEARCH("Pending",E1215)))</formula>
    </cfRule>
    <cfRule type="containsText" dxfId="2824" priority="5939" operator="containsText" text="Received ">
      <formula>NOT(ISERROR(SEARCH("Received ",E1215)))</formula>
    </cfRule>
    <cfRule type="containsText" dxfId="2823" priority="5950" operator="containsText" text="Received">
      <formula>NOT(ISERROR(SEARCH("Received",E1215)))</formula>
    </cfRule>
    <cfRule type="containsText" dxfId="2822" priority="5935" operator="containsText" text="Received">
      <formula>NOT(ISERROR(SEARCH("Received",E1215)))</formula>
    </cfRule>
    <cfRule type="containsText" dxfId="2821" priority="5936" operator="containsText" text="Received ">
      <formula>NOT(ISERROR(SEARCH("Received ",E1215)))</formula>
    </cfRule>
    <cfRule type="containsText" dxfId="2820" priority="5937" operator="containsText" text="Pending">
      <formula>NOT(ISERROR(SEARCH("Pending",E1215)))</formula>
    </cfRule>
    <cfRule type="containsText" dxfId="2819" priority="5938" operator="containsText" text="Received">
      <formula>NOT(ISERROR(SEARCH("Received",E1215)))</formula>
    </cfRule>
    <cfRule type="containsText" dxfId="2818" priority="5940" operator="containsText" text="Pending">
      <formula>NOT(ISERROR(SEARCH("Pending",E1215)))</formula>
    </cfRule>
    <cfRule type="containsText" dxfId="2817" priority="5941" operator="containsText" text="Received">
      <formula>NOT(ISERROR(SEARCH("Received",E1215)))</formula>
    </cfRule>
    <cfRule type="containsText" dxfId="2816" priority="5944" operator="containsText" text="Received">
      <formula>NOT(ISERROR(SEARCH("Received",E1215)))</formula>
    </cfRule>
    <cfRule type="containsText" dxfId="2815" priority="5942" operator="containsText" text="Received ">
      <formula>NOT(ISERROR(SEARCH("Received ",E1215)))</formula>
    </cfRule>
    <cfRule type="containsText" dxfId="2814" priority="5945" operator="containsText" text="Received ">
      <formula>NOT(ISERROR(SEARCH("Received ",E1215)))</formula>
    </cfRule>
  </conditionalFormatting>
  <conditionalFormatting sqref="E1215:E1216">
    <cfRule type="containsText" dxfId="2813" priority="5893" operator="containsText" text="Pending">
      <formula>NOT(ISERROR(SEARCH("Pending",E1215)))</formula>
    </cfRule>
  </conditionalFormatting>
  <conditionalFormatting sqref="E1216">
    <cfRule type="containsText" dxfId="2812" priority="5892" operator="containsText" text="Received ">
      <formula>NOT(ISERROR(SEARCH("Received ",E1216)))</formula>
    </cfRule>
    <cfRule type="containsText" dxfId="2811" priority="5876" operator="containsText" text="Received">
      <formula>NOT(ISERROR(SEARCH("Received",E1216)))</formula>
    </cfRule>
    <cfRule type="containsText" dxfId="2810" priority="5877" operator="containsText" text="Received ">
      <formula>NOT(ISERROR(SEARCH("Received ",E1216)))</formula>
    </cfRule>
    <cfRule type="containsText" dxfId="2809" priority="5878" operator="containsText" text="Pending">
      <formula>NOT(ISERROR(SEARCH("Pending",E1216)))</formula>
    </cfRule>
    <cfRule type="containsText" dxfId="2808" priority="5879" operator="containsText" text="Received">
      <formula>NOT(ISERROR(SEARCH("Received",E1216)))</formula>
    </cfRule>
    <cfRule type="containsText" dxfId="2807" priority="5880" operator="containsText" text="Received ">
      <formula>NOT(ISERROR(SEARCH("Received ",E1216)))</formula>
    </cfRule>
    <cfRule type="containsText" dxfId="2806" priority="5881" operator="containsText" text="Pending">
      <formula>NOT(ISERROR(SEARCH("Pending",E1216)))</formula>
    </cfRule>
    <cfRule type="containsText" dxfId="2805" priority="5882" operator="containsText" text="Received">
      <formula>NOT(ISERROR(SEARCH("Received",E1216)))</formula>
    </cfRule>
    <cfRule type="containsText" dxfId="2804" priority="5883" operator="containsText" text="Received ">
      <formula>NOT(ISERROR(SEARCH("Received ",E1216)))</formula>
    </cfRule>
    <cfRule type="containsText" dxfId="2803" priority="5885" operator="containsText" text="Received">
      <formula>NOT(ISERROR(SEARCH("Received",E1216)))</formula>
    </cfRule>
    <cfRule type="containsText" dxfId="2802" priority="5886" operator="containsText" text="Received ">
      <formula>NOT(ISERROR(SEARCH("Received ",E1216)))</formula>
    </cfRule>
    <cfRule type="containsText" dxfId="2801" priority="5887" operator="containsText" text="Pending">
      <formula>NOT(ISERROR(SEARCH("Pending",E1216)))</formula>
    </cfRule>
    <cfRule type="containsText" dxfId="2800" priority="5888" operator="containsText" text="Received">
      <formula>NOT(ISERROR(SEARCH("Received",E1216)))</formula>
    </cfRule>
    <cfRule type="containsText" dxfId="2799" priority="5889" operator="containsText" text="Received ">
      <formula>NOT(ISERROR(SEARCH("Received ",E1216)))</formula>
    </cfRule>
    <cfRule type="containsText" dxfId="2798" priority="5884" operator="containsText" text="Pending">
      <formula>NOT(ISERROR(SEARCH("Pending",E1216)))</formula>
    </cfRule>
    <cfRule type="containsText" dxfId="2797" priority="5890" operator="containsText" text="Pending">
      <formula>NOT(ISERROR(SEARCH("Pending",E1216)))</formula>
    </cfRule>
    <cfRule type="containsText" dxfId="2796" priority="5891" operator="containsText" text="Received">
      <formula>NOT(ISERROR(SEARCH("Received",E1216)))</formula>
    </cfRule>
  </conditionalFormatting>
  <conditionalFormatting sqref="E1216:E1217">
    <cfRule type="containsText" dxfId="2795" priority="5833" operator="containsText" text="Pending">
      <formula>NOT(ISERROR(SEARCH("Pending",E1216)))</formula>
    </cfRule>
  </conditionalFormatting>
  <conditionalFormatting sqref="E1217">
    <cfRule type="containsText" dxfId="2794" priority="5831" operator="containsText" text="Received">
      <formula>NOT(ISERROR(SEARCH("Received",E1217)))</formula>
    </cfRule>
    <cfRule type="containsText" dxfId="2793" priority="5816" operator="containsText" text="Received">
      <formula>NOT(ISERROR(SEARCH("Received",E1217)))</formula>
    </cfRule>
    <cfRule type="containsText" dxfId="2792" priority="5819" operator="containsText" text="Received">
      <formula>NOT(ISERROR(SEARCH("Received",E1217)))</formula>
    </cfRule>
    <cfRule type="containsText" dxfId="2791" priority="5823" operator="containsText" text="Received ">
      <formula>NOT(ISERROR(SEARCH("Received ",E1217)))</formula>
    </cfRule>
    <cfRule type="containsText" dxfId="2790" priority="5818" operator="containsText" text="Pending">
      <formula>NOT(ISERROR(SEARCH("Pending",E1217)))</formula>
    </cfRule>
    <cfRule type="containsText" dxfId="2789" priority="5820" operator="containsText" text="Received ">
      <formula>NOT(ISERROR(SEARCH("Received ",E1217)))</formula>
    </cfRule>
    <cfRule type="containsText" dxfId="2788" priority="5821" operator="containsText" text="Pending">
      <formula>NOT(ISERROR(SEARCH("Pending",E1217)))</formula>
    </cfRule>
    <cfRule type="containsText" dxfId="2787" priority="5822" operator="containsText" text="Received">
      <formula>NOT(ISERROR(SEARCH("Received",E1217)))</formula>
    </cfRule>
    <cfRule type="containsText" dxfId="2786" priority="5825" operator="containsText" text="Received">
      <formula>NOT(ISERROR(SEARCH("Received",E1217)))</formula>
    </cfRule>
    <cfRule type="containsText" dxfId="2785" priority="5826" operator="containsText" text="Received ">
      <formula>NOT(ISERROR(SEARCH("Received ",E1217)))</formula>
    </cfRule>
    <cfRule type="containsText" dxfId="2784" priority="5827" operator="containsText" text="Pending">
      <formula>NOT(ISERROR(SEARCH("Pending",E1217)))</formula>
    </cfRule>
    <cfRule type="containsText" dxfId="2783" priority="5828" operator="containsText" text="Received">
      <formula>NOT(ISERROR(SEARCH("Received",E1217)))</formula>
    </cfRule>
    <cfRule type="containsText" dxfId="2782" priority="5829" operator="containsText" text="Received ">
      <formula>NOT(ISERROR(SEARCH("Received ",E1217)))</formula>
    </cfRule>
    <cfRule type="containsText" dxfId="2781" priority="5830" operator="containsText" text="Pending">
      <formula>NOT(ISERROR(SEARCH("Pending",E1217)))</formula>
    </cfRule>
    <cfRule type="containsText" dxfId="2780" priority="5832" operator="containsText" text="Received ">
      <formula>NOT(ISERROR(SEARCH("Received ",E1217)))</formula>
    </cfRule>
    <cfRule type="containsText" dxfId="2779" priority="5817" operator="containsText" text="Received ">
      <formula>NOT(ISERROR(SEARCH("Received ",E1217)))</formula>
    </cfRule>
    <cfRule type="containsText" dxfId="2778" priority="5824" operator="containsText" text="Pending">
      <formula>NOT(ISERROR(SEARCH("Pending",E1217)))</formula>
    </cfRule>
  </conditionalFormatting>
  <conditionalFormatting sqref="E1217:E1218">
    <cfRule type="containsText" dxfId="2777" priority="5773" operator="containsText" text="Pending">
      <formula>NOT(ISERROR(SEARCH("Pending",E1217)))</formula>
    </cfRule>
  </conditionalFormatting>
  <conditionalFormatting sqref="E1218">
    <cfRule type="containsText" dxfId="2776" priority="5757" operator="containsText" text="Received ">
      <formula>NOT(ISERROR(SEARCH("Received ",E1218)))</formula>
    </cfRule>
    <cfRule type="containsText" dxfId="2775" priority="5758" operator="containsText" text="Pending">
      <formula>NOT(ISERROR(SEARCH("Pending",E1218)))</formula>
    </cfRule>
    <cfRule type="containsText" dxfId="2774" priority="5759" operator="containsText" text="Received">
      <formula>NOT(ISERROR(SEARCH("Received",E1218)))</formula>
    </cfRule>
    <cfRule type="containsText" dxfId="2773" priority="5760" operator="containsText" text="Received ">
      <formula>NOT(ISERROR(SEARCH("Received ",E1218)))</formula>
    </cfRule>
    <cfRule type="containsText" dxfId="2772" priority="5761" operator="containsText" text="Pending">
      <formula>NOT(ISERROR(SEARCH("Pending",E1218)))</formula>
    </cfRule>
    <cfRule type="containsText" dxfId="2771" priority="5762" operator="containsText" text="Received">
      <formula>NOT(ISERROR(SEARCH("Received",E1218)))</formula>
    </cfRule>
    <cfRule type="containsText" dxfId="2770" priority="5763" operator="containsText" text="Received ">
      <formula>NOT(ISERROR(SEARCH("Received ",E1218)))</formula>
    </cfRule>
    <cfRule type="containsText" dxfId="2769" priority="5764" operator="containsText" text="Pending">
      <formula>NOT(ISERROR(SEARCH("Pending",E1218)))</formula>
    </cfRule>
    <cfRule type="containsText" dxfId="2768" priority="5765" operator="containsText" text="Received">
      <formula>NOT(ISERROR(SEARCH("Received",E1218)))</formula>
    </cfRule>
    <cfRule type="containsText" dxfId="2767" priority="5768" operator="containsText" text="Received">
      <formula>NOT(ISERROR(SEARCH("Received",E1218)))</formula>
    </cfRule>
    <cfRule type="containsText" dxfId="2766" priority="5769" operator="containsText" text="Received ">
      <formula>NOT(ISERROR(SEARCH("Received ",E1218)))</formula>
    </cfRule>
    <cfRule type="containsText" dxfId="2765" priority="5766" operator="containsText" text="Received ">
      <formula>NOT(ISERROR(SEARCH("Received ",E1218)))</formula>
    </cfRule>
    <cfRule type="containsText" dxfId="2764" priority="5767" operator="containsText" text="Pending">
      <formula>NOT(ISERROR(SEARCH("Pending",E1218)))</formula>
    </cfRule>
    <cfRule type="containsText" dxfId="2763" priority="5770" operator="containsText" text="Pending">
      <formula>NOT(ISERROR(SEARCH("Pending",E1218)))</formula>
    </cfRule>
    <cfRule type="containsText" dxfId="2762" priority="5756" operator="containsText" text="Received">
      <formula>NOT(ISERROR(SEARCH("Received",E1218)))</formula>
    </cfRule>
    <cfRule type="containsText" dxfId="2761" priority="5771" operator="containsText" text="Received">
      <formula>NOT(ISERROR(SEARCH("Received",E1218)))</formula>
    </cfRule>
    <cfRule type="containsText" dxfId="2760" priority="5772" operator="containsText" text="Received ">
      <formula>NOT(ISERROR(SEARCH("Received ",E1218)))</formula>
    </cfRule>
  </conditionalFormatting>
  <conditionalFormatting sqref="E1218:E1219">
    <cfRule type="containsText" dxfId="2759" priority="5713" operator="containsText" text="Pending">
      <formula>NOT(ISERROR(SEARCH("Pending",E1218)))</formula>
    </cfRule>
  </conditionalFormatting>
  <conditionalFormatting sqref="E1219">
    <cfRule type="containsText" dxfId="2758" priority="5701" operator="containsText" text="Pending">
      <formula>NOT(ISERROR(SEARCH("Pending",E1219)))</formula>
    </cfRule>
    <cfRule type="containsText" dxfId="2757" priority="5700" operator="containsText" text="Received ">
      <formula>NOT(ISERROR(SEARCH("Received ",E1219)))</formula>
    </cfRule>
    <cfRule type="containsText" dxfId="2756" priority="5699" operator="containsText" text="Received">
      <formula>NOT(ISERROR(SEARCH("Received",E1219)))</formula>
    </cfRule>
    <cfRule type="containsText" dxfId="2755" priority="5698" operator="containsText" text="Pending">
      <formula>NOT(ISERROR(SEARCH("Pending",E1219)))</formula>
    </cfRule>
    <cfRule type="containsText" dxfId="2754" priority="5697" operator="containsText" text="Received ">
      <formula>NOT(ISERROR(SEARCH("Received ",E1219)))</formula>
    </cfRule>
    <cfRule type="containsText" dxfId="2753" priority="5696" operator="containsText" text="Received">
      <formula>NOT(ISERROR(SEARCH("Received",E1219)))</formula>
    </cfRule>
    <cfRule type="containsText" dxfId="2752" priority="5708" operator="containsText" text="Received">
      <formula>NOT(ISERROR(SEARCH("Received",E1219)))</formula>
    </cfRule>
    <cfRule type="containsText" dxfId="2751" priority="5712" operator="containsText" text="Received ">
      <formula>NOT(ISERROR(SEARCH("Received ",E1219)))</formula>
    </cfRule>
    <cfRule type="containsText" dxfId="2750" priority="5711" operator="containsText" text="Received">
      <formula>NOT(ISERROR(SEARCH("Received",E1219)))</formula>
    </cfRule>
    <cfRule type="containsText" dxfId="2749" priority="5710" operator="containsText" text="Pending">
      <formula>NOT(ISERROR(SEARCH("Pending",E1219)))</formula>
    </cfRule>
    <cfRule type="containsText" dxfId="2748" priority="5709" operator="containsText" text="Received ">
      <formula>NOT(ISERROR(SEARCH("Received ",E1219)))</formula>
    </cfRule>
    <cfRule type="containsText" dxfId="2747" priority="5707" operator="containsText" text="Pending">
      <formula>NOT(ISERROR(SEARCH("Pending",E1219)))</formula>
    </cfRule>
    <cfRule type="containsText" dxfId="2746" priority="5706" operator="containsText" text="Received ">
      <formula>NOT(ISERROR(SEARCH("Received ",E1219)))</formula>
    </cfRule>
    <cfRule type="containsText" dxfId="2745" priority="5705" operator="containsText" text="Received">
      <formula>NOT(ISERROR(SEARCH("Received",E1219)))</formula>
    </cfRule>
    <cfRule type="containsText" dxfId="2744" priority="5704" operator="containsText" text="Pending">
      <formula>NOT(ISERROR(SEARCH("Pending",E1219)))</formula>
    </cfRule>
    <cfRule type="containsText" dxfId="2743" priority="5703" operator="containsText" text="Received ">
      <formula>NOT(ISERROR(SEARCH("Received ",E1219)))</formula>
    </cfRule>
    <cfRule type="containsText" dxfId="2742" priority="5702" operator="containsText" text="Received">
      <formula>NOT(ISERROR(SEARCH("Received",E1219)))</formula>
    </cfRule>
  </conditionalFormatting>
  <conditionalFormatting sqref="E1219:E1220">
    <cfRule type="containsText" dxfId="2741" priority="5653" operator="containsText" text="Pending">
      <formula>NOT(ISERROR(SEARCH("Pending",E1219)))</formula>
    </cfRule>
  </conditionalFormatting>
  <conditionalFormatting sqref="E1220">
    <cfRule type="containsText" dxfId="2740" priority="5648" operator="containsText" text="Received">
      <formula>NOT(ISERROR(SEARCH("Received",E1220)))</formula>
    </cfRule>
    <cfRule type="containsText" dxfId="2739" priority="5647" operator="containsText" text="Pending">
      <formula>NOT(ISERROR(SEARCH("Pending",E1220)))</formula>
    </cfRule>
    <cfRule type="containsText" dxfId="2738" priority="5646" operator="containsText" text="Received ">
      <formula>NOT(ISERROR(SEARCH("Received ",E1220)))</formula>
    </cfRule>
    <cfRule type="containsText" dxfId="2737" priority="5645" operator="containsText" text="Received">
      <formula>NOT(ISERROR(SEARCH("Received",E1220)))</formula>
    </cfRule>
    <cfRule type="containsText" dxfId="2736" priority="5643" operator="containsText" text="Received ">
      <formula>NOT(ISERROR(SEARCH("Received ",E1220)))</formula>
    </cfRule>
    <cfRule type="containsText" dxfId="2735" priority="5642" operator="containsText" text="Received">
      <formula>NOT(ISERROR(SEARCH("Received",E1220)))</formula>
    </cfRule>
    <cfRule type="containsText" dxfId="2734" priority="5637" operator="containsText" text="Received ">
      <formula>NOT(ISERROR(SEARCH("Received ",E1220)))</formula>
    </cfRule>
    <cfRule type="containsText" dxfId="2733" priority="5641" operator="containsText" text="Pending">
      <formula>NOT(ISERROR(SEARCH("Pending",E1220)))</formula>
    </cfRule>
    <cfRule type="containsText" dxfId="2732" priority="5640" operator="containsText" text="Received ">
      <formula>NOT(ISERROR(SEARCH("Received ",E1220)))</formula>
    </cfRule>
    <cfRule type="containsText" dxfId="2731" priority="5639" operator="containsText" text="Received">
      <formula>NOT(ISERROR(SEARCH("Received",E1220)))</formula>
    </cfRule>
    <cfRule type="containsText" dxfId="2730" priority="5638" operator="containsText" text="Pending">
      <formula>NOT(ISERROR(SEARCH("Pending",E1220)))</formula>
    </cfRule>
    <cfRule type="containsText" dxfId="2729" priority="5644" operator="containsText" text="Pending">
      <formula>NOT(ISERROR(SEARCH("Pending",E1220)))</formula>
    </cfRule>
    <cfRule type="containsText" dxfId="2728" priority="5651" operator="containsText" text="Received">
      <formula>NOT(ISERROR(SEARCH("Received",E1220)))</formula>
    </cfRule>
    <cfRule type="containsText" dxfId="2727" priority="5650" operator="containsText" text="Pending">
      <formula>NOT(ISERROR(SEARCH("Pending",E1220)))</formula>
    </cfRule>
    <cfRule type="containsText" dxfId="2726" priority="5649" operator="containsText" text="Received ">
      <formula>NOT(ISERROR(SEARCH("Received ",E1220)))</formula>
    </cfRule>
    <cfRule type="containsText" dxfId="2725" priority="5652" operator="containsText" text="Received ">
      <formula>NOT(ISERROR(SEARCH("Received ",E1220)))</formula>
    </cfRule>
    <cfRule type="containsText" dxfId="2724" priority="5636" operator="containsText" text="Received">
      <formula>NOT(ISERROR(SEARCH("Received",E1220)))</formula>
    </cfRule>
  </conditionalFormatting>
  <conditionalFormatting sqref="E1220:E1221">
    <cfRule type="containsText" dxfId="2723" priority="5593" operator="containsText" text="Pending">
      <formula>NOT(ISERROR(SEARCH("Pending",E1220)))</formula>
    </cfRule>
  </conditionalFormatting>
  <conditionalFormatting sqref="E1221">
    <cfRule type="containsText" dxfId="2722" priority="5591" operator="containsText" text="Received">
      <formula>NOT(ISERROR(SEARCH("Received",E1221)))</formula>
    </cfRule>
    <cfRule type="containsText" dxfId="2721" priority="5592" operator="containsText" text="Received ">
      <formula>NOT(ISERROR(SEARCH("Received ",E1221)))</formula>
    </cfRule>
    <cfRule type="containsText" dxfId="2720" priority="5581" operator="containsText" text="Pending">
      <formula>NOT(ISERROR(SEARCH("Pending",E1221)))</formula>
    </cfRule>
    <cfRule type="containsText" dxfId="2719" priority="5576" operator="containsText" text="Received">
      <formula>NOT(ISERROR(SEARCH("Received",E1221)))</formula>
    </cfRule>
    <cfRule type="containsText" dxfId="2718" priority="5577" operator="containsText" text="Received ">
      <formula>NOT(ISERROR(SEARCH("Received ",E1221)))</formula>
    </cfRule>
    <cfRule type="containsText" dxfId="2717" priority="5578" operator="containsText" text="Pending">
      <formula>NOT(ISERROR(SEARCH("Pending",E1221)))</formula>
    </cfRule>
    <cfRule type="containsText" dxfId="2716" priority="5579" operator="containsText" text="Received">
      <formula>NOT(ISERROR(SEARCH("Received",E1221)))</formula>
    </cfRule>
    <cfRule type="containsText" dxfId="2715" priority="5580" operator="containsText" text="Received ">
      <formula>NOT(ISERROR(SEARCH("Received ",E1221)))</formula>
    </cfRule>
    <cfRule type="containsText" dxfId="2714" priority="5582" operator="containsText" text="Received">
      <formula>NOT(ISERROR(SEARCH("Received",E1221)))</formula>
    </cfRule>
    <cfRule type="containsText" dxfId="2713" priority="5583" operator="containsText" text="Received ">
      <formula>NOT(ISERROR(SEARCH("Received ",E1221)))</formula>
    </cfRule>
    <cfRule type="containsText" dxfId="2712" priority="5584" operator="containsText" text="Pending">
      <formula>NOT(ISERROR(SEARCH("Pending",E1221)))</formula>
    </cfRule>
    <cfRule type="containsText" dxfId="2711" priority="5585" operator="containsText" text="Received">
      <formula>NOT(ISERROR(SEARCH("Received",E1221)))</formula>
    </cfRule>
    <cfRule type="containsText" dxfId="2710" priority="5586" operator="containsText" text="Received ">
      <formula>NOT(ISERROR(SEARCH("Received ",E1221)))</formula>
    </cfRule>
    <cfRule type="containsText" dxfId="2709" priority="5587" operator="containsText" text="Pending">
      <formula>NOT(ISERROR(SEARCH("Pending",E1221)))</formula>
    </cfRule>
    <cfRule type="containsText" dxfId="2708" priority="5588" operator="containsText" text="Received">
      <formula>NOT(ISERROR(SEARCH("Received",E1221)))</formula>
    </cfRule>
    <cfRule type="containsText" dxfId="2707" priority="5589" operator="containsText" text="Received ">
      <formula>NOT(ISERROR(SEARCH("Received ",E1221)))</formula>
    </cfRule>
    <cfRule type="containsText" dxfId="2706" priority="5590" operator="containsText" text="Pending">
      <formula>NOT(ISERROR(SEARCH("Pending",E1221)))</formula>
    </cfRule>
  </conditionalFormatting>
  <conditionalFormatting sqref="E1221:E1222">
    <cfRule type="containsText" dxfId="2705" priority="5533" operator="containsText" text="Pending">
      <formula>NOT(ISERROR(SEARCH("Pending",E1221)))</formula>
    </cfRule>
  </conditionalFormatting>
  <conditionalFormatting sqref="E1222">
    <cfRule type="containsText" dxfId="2704" priority="5519" operator="containsText" text="Received">
      <formula>NOT(ISERROR(SEARCH("Received",E1222)))</formula>
    </cfRule>
    <cfRule type="containsText" dxfId="2703" priority="5516" operator="containsText" text="Received">
      <formula>NOT(ISERROR(SEARCH("Received",E1222)))</formula>
    </cfRule>
    <cfRule type="containsText" dxfId="2702" priority="5520" operator="containsText" text="Received ">
      <formula>NOT(ISERROR(SEARCH("Received ",E1222)))</formula>
    </cfRule>
    <cfRule type="containsText" dxfId="2701" priority="5522" operator="containsText" text="Received">
      <formula>NOT(ISERROR(SEARCH("Received",E1222)))</formula>
    </cfRule>
    <cfRule type="containsText" dxfId="2700" priority="5523" operator="containsText" text="Received ">
      <formula>NOT(ISERROR(SEARCH("Received ",E1222)))</formula>
    </cfRule>
    <cfRule type="containsText" dxfId="2699" priority="5524" operator="containsText" text="Pending">
      <formula>NOT(ISERROR(SEARCH("Pending",E1222)))</formula>
    </cfRule>
    <cfRule type="containsText" dxfId="2698" priority="5525" operator="containsText" text="Received">
      <formula>NOT(ISERROR(SEARCH("Received",E1222)))</formula>
    </cfRule>
    <cfRule type="containsText" dxfId="2697" priority="5526" operator="containsText" text="Received ">
      <formula>NOT(ISERROR(SEARCH("Received ",E1222)))</formula>
    </cfRule>
    <cfRule type="containsText" dxfId="2696" priority="5529" operator="containsText" text="Received ">
      <formula>NOT(ISERROR(SEARCH("Received ",E1222)))</formula>
    </cfRule>
    <cfRule type="containsText" dxfId="2695" priority="5521" operator="containsText" text="Pending">
      <formula>NOT(ISERROR(SEARCH("Pending",E1222)))</formula>
    </cfRule>
    <cfRule type="containsText" dxfId="2694" priority="5527" operator="containsText" text="Pending">
      <formula>NOT(ISERROR(SEARCH("Pending",E1222)))</formula>
    </cfRule>
    <cfRule type="containsText" dxfId="2693" priority="5528" operator="containsText" text="Received">
      <formula>NOT(ISERROR(SEARCH("Received",E1222)))</formula>
    </cfRule>
    <cfRule type="containsText" dxfId="2692" priority="5517" operator="containsText" text="Received ">
      <formula>NOT(ISERROR(SEARCH("Received ",E1222)))</formula>
    </cfRule>
    <cfRule type="containsText" dxfId="2691" priority="5518" operator="containsText" text="Pending">
      <formula>NOT(ISERROR(SEARCH("Pending",E1222)))</formula>
    </cfRule>
    <cfRule type="containsText" dxfId="2690" priority="5532" operator="containsText" text="Received ">
      <formula>NOT(ISERROR(SEARCH("Received ",E1222)))</formula>
    </cfRule>
    <cfRule type="containsText" dxfId="2689" priority="5531" operator="containsText" text="Received">
      <formula>NOT(ISERROR(SEARCH("Received",E1222)))</formula>
    </cfRule>
    <cfRule type="containsText" dxfId="2688" priority="5530" operator="containsText" text="Pending">
      <formula>NOT(ISERROR(SEARCH("Pending",E1222)))</formula>
    </cfRule>
  </conditionalFormatting>
  <conditionalFormatting sqref="E1222:E1223">
    <cfRule type="containsText" dxfId="2687" priority="5413" operator="containsText" text="Pending">
      <formula>NOT(ISERROR(SEARCH("Pending",E1222)))</formula>
    </cfRule>
  </conditionalFormatting>
  <conditionalFormatting sqref="E1223">
    <cfRule type="containsText" dxfId="2686" priority="5396" operator="containsText" text="Received">
      <formula>NOT(ISERROR(SEARCH("Received",E1223)))</formula>
    </cfRule>
    <cfRule type="containsText" dxfId="2685" priority="5403" operator="containsText" text="Received ">
      <formula>NOT(ISERROR(SEARCH("Received ",E1223)))</formula>
    </cfRule>
    <cfRule type="containsText" dxfId="2684" priority="5397" operator="containsText" text="Received ">
      <formula>NOT(ISERROR(SEARCH("Received ",E1223)))</formula>
    </cfRule>
    <cfRule type="containsText" dxfId="2683" priority="5398" operator="containsText" text="Pending">
      <formula>NOT(ISERROR(SEARCH("Pending",E1223)))</formula>
    </cfRule>
    <cfRule type="containsText" dxfId="2682" priority="5399" operator="containsText" text="Received">
      <formula>NOT(ISERROR(SEARCH("Received",E1223)))</formula>
    </cfRule>
    <cfRule type="containsText" dxfId="2681" priority="5400" operator="containsText" text="Received ">
      <formula>NOT(ISERROR(SEARCH("Received ",E1223)))</formula>
    </cfRule>
    <cfRule type="containsText" dxfId="2680" priority="5401" operator="containsText" text="Pending">
      <formula>NOT(ISERROR(SEARCH("Pending",E1223)))</formula>
    </cfRule>
    <cfRule type="containsText" dxfId="2679" priority="5402" operator="containsText" text="Received">
      <formula>NOT(ISERROR(SEARCH("Received",E1223)))</formula>
    </cfRule>
    <cfRule type="containsText" dxfId="2678" priority="5404" operator="containsText" text="Pending">
      <formula>NOT(ISERROR(SEARCH("Pending",E1223)))</formula>
    </cfRule>
    <cfRule type="containsText" dxfId="2677" priority="5405" operator="containsText" text="Received">
      <formula>NOT(ISERROR(SEARCH("Received",E1223)))</formula>
    </cfRule>
    <cfRule type="containsText" dxfId="2676" priority="5407" operator="containsText" text="Pending">
      <formula>NOT(ISERROR(SEARCH("Pending",E1223)))</formula>
    </cfRule>
    <cfRule type="containsText" dxfId="2675" priority="5408" operator="containsText" text="Received">
      <formula>NOT(ISERROR(SEARCH("Received",E1223)))</formula>
    </cfRule>
    <cfRule type="containsText" dxfId="2674" priority="5409" operator="containsText" text="Received ">
      <formula>NOT(ISERROR(SEARCH("Received ",E1223)))</formula>
    </cfRule>
    <cfRule type="containsText" dxfId="2673" priority="5410" operator="containsText" text="Pending">
      <formula>NOT(ISERROR(SEARCH("Pending",E1223)))</formula>
    </cfRule>
    <cfRule type="containsText" dxfId="2672" priority="5411" operator="containsText" text="Received">
      <formula>NOT(ISERROR(SEARCH("Received",E1223)))</formula>
    </cfRule>
    <cfRule type="containsText" dxfId="2671" priority="5412" operator="containsText" text="Received ">
      <formula>NOT(ISERROR(SEARCH("Received ",E1223)))</formula>
    </cfRule>
    <cfRule type="containsText" dxfId="2670" priority="5406" operator="containsText" text="Received ">
      <formula>NOT(ISERROR(SEARCH("Received ",E1223)))</formula>
    </cfRule>
  </conditionalFormatting>
  <conditionalFormatting sqref="E1223:E1224">
    <cfRule type="containsText" dxfId="2669" priority="5353" operator="containsText" text="Pending">
      <formula>NOT(ISERROR(SEARCH("Pending",E1223)))</formula>
    </cfRule>
  </conditionalFormatting>
  <conditionalFormatting sqref="E1224">
    <cfRule type="containsText" dxfId="2668" priority="5336" operator="containsText" text="Received">
      <formula>NOT(ISERROR(SEARCH("Received",E1224)))</formula>
    </cfRule>
    <cfRule type="containsText" dxfId="2667" priority="5337" operator="containsText" text="Received ">
      <formula>NOT(ISERROR(SEARCH("Received ",E1224)))</formula>
    </cfRule>
    <cfRule type="containsText" dxfId="2666" priority="5338" operator="containsText" text="Pending">
      <formula>NOT(ISERROR(SEARCH("Pending",E1224)))</formula>
    </cfRule>
    <cfRule type="containsText" dxfId="2665" priority="5339" operator="containsText" text="Received">
      <formula>NOT(ISERROR(SEARCH("Received",E1224)))</formula>
    </cfRule>
    <cfRule type="containsText" dxfId="2664" priority="5340" operator="containsText" text="Received ">
      <formula>NOT(ISERROR(SEARCH("Received ",E1224)))</formula>
    </cfRule>
    <cfRule type="containsText" dxfId="2663" priority="5341" operator="containsText" text="Pending">
      <formula>NOT(ISERROR(SEARCH("Pending",E1224)))</formula>
    </cfRule>
    <cfRule type="containsText" dxfId="2662" priority="5342" operator="containsText" text="Received">
      <formula>NOT(ISERROR(SEARCH("Received",E1224)))</formula>
    </cfRule>
    <cfRule type="containsText" dxfId="2661" priority="5343" operator="containsText" text="Received ">
      <formula>NOT(ISERROR(SEARCH("Received ",E1224)))</formula>
    </cfRule>
    <cfRule type="containsText" dxfId="2660" priority="5345" operator="containsText" text="Received">
      <formula>NOT(ISERROR(SEARCH("Received",E1224)))</formula>
    </cfRule>
    <cfRule type="containsText" dxfId="2659" priority="5347" operator="containsText" text="Pending">
      <formula>NOT(ISERROR(SEARCH("Pending",E1224)))</formula>
    </cfRule>
    <cfRule type="containsText" dxfId="2658" priority="5344" operator="containsText" text="Pending">
      <formula>NOT(ISERROR(SEARCH("Pending",E1224)))</formula>
    </cfRule>
    <cfRule type="containsText" dxfId="2657" priority="5346" operator="containsText" text="Received ">
      <formula>NOT(ISERROR(SEARCH("Received ",E1224)))</formula>
    </cfRule>
    <cfRule type="containsText" dxfId="2656" priority="5348" operator="containsText" text="Received">
      <formula>NOT(ISERROR(SEARCH("Received",E1224)))</formula>
    </cfRule>
    <cfRule type="containsText" dxfId="2655" priority="5349" operator="containsText" text="Received ">
      <formula>NOT(ISERROR(SEARCH("Received ",E1224)))</formula>
    </cfRule>
    <cfRule type="containsText" dxfId="2654" priority="5350" operator="containsText" text="Pending">
      <formula>NOT(ISERROR(SEARCH("Pending",E1224)))</formula>
    </cfRule>
    <cfRule type="containsText" dxfId="2653" priority="5351" operator="containsText" text="Received">
      <formula>NOT(ISERROR(SEARCH("Received",E1224)))</formula>
    </cfRule>
    <cfRule type="containsText" dxfId="2652" priority="5352" operator="containsText" text="Received ">
      <formula>NOT(ISERROR(SEARCH("Received ",E1224)))</formula>
    </cfRule>
  </conditionalFormatting>
  <conditionalFormatting sqref="E1224:E1225">
    <cfRule type="containsText" dxfId="2651" priority="5293" operator="containsText" text="Pending">
      <formula>NOT(ISERROR(SEARCH("Pending",E1224)))</formula>
    </cfRule>
  </conditionalFormatting>
  <conditionalFormatting sqref="E1225">
    <cfRule type="containsText" dxfId="2650" priority="5292" operator="containsText" text="Received ">
      <formula>NOT(ISERROR(SEARCH("Received ",E1225)))</formula>
    </cfRule>
    <cfRule type="containsText" dxfId="2649" priority="5291" operator="containsText" text="Received">
      <formula>NOT(ISERROR(SEARCH("Received",E1225)))</formula>
    </cfRule>
    <cfRule type="containsText" dxfId="2648" priority="5290" operator="containsText" text="Pending">
      <formula>NOT(ISERROR(SEARCH("Pending",E1225)))</formula>
    </cfRule>
    <cfRule type="containsText" dxfId="2647" priority="5289" operator="containsText" text="Received ">
      <formula>NOT(ISERROR(SEARCH("Received ",E1225)))</formula>
    </cfRule>
    <cfRule type="containsText" dxfId="2646" priority="5288" operator="containsText" text="Received">
      <formula>NOT(ISERROR(SEARCH("Received",E1225)))</formula>
    </cfRule>
    <cfRule type="containsText" dxfId="2645" priority="5287" operator="containsText" text="Pending">
      <formula>NOT(ISERROR(SEARCH("Pending",E1225)))</formula>
    </cfRule>
    <cfRule type="containsText" dxfId="2644" priority="5283" operator="containsText" text="Received ">
      <formula>NOT(ISERROR(SEARCH("Received ",E1225)))</formula>
    </cfRule>
    <cfRule type="containsText" dxfId="2643" priority="5277" operator="containsText" text="Received ">
      <formula>NOT(ISERROR(SEARCH("Received ",E1225)))</formula>
    </cfRule>
    <cfRule type="containsText" dxfId="2642" priority="5276" operator="containsText" text="Received">
      <formula>NOT(ISERROR(SEARCH("Received",E1225)))</formula>
    </cfRule>
    <cfRule type="containsText" dxfId="2641" priority="5278" operator="containsText" text="Pending">
      <formula>NOT(ISERROR(SEARCH("Pending",E1225)))</formula>
    </cfRule>
    <cfRule type="containsText" dxfId="2640" priority="5279" operator="containsText" text="Received">
      <formula>NOT(ISERROR(SEARCH("Received",E1225)))</formula>
    </cfRule>
    <cfRule type="containsText" dxfId="2639" priority="5280" operator="containsText" text="Received ">
      <formula>NOT(ISERROR(SEARCH("Received ",E1225)))</formula>
    </cfRule>
    <cfRule type="containsText" dxfId="2638" priority="5285" operator="containsText" text="Received">
      <formula>NOT(ISERROR(SEARCH("Received",E1225)))</formula>
    </cfRule>
    <cfRule type="containsText" dxfId="2637" priority="5281" operator="containsText" text="Pending">
      <formula>NOT(ISERROR(SEARCH("Pending",E1225)))</formula>
    </cfRule>
    <cfRule type="containsText" dxfId="2636" priority="5282" operator="containsText" text="Received">
      <formula>NOT(ISERROR(SEARCH("Received",E1225)))</formula>
    </cfRule>
    <cfRule type="containsText" dxfId="2635" priority="5286" operator="containsText" text="Received ">
      <formula>NOT(ISERROR(SEARCH("Received ",E1225)))</formula>
    </cfRule>
    <cfRule type="containsText" dxfId="2634" priority="5284" operator="containsText" text="Pending">
      <formula>NOT(ISERROR(SEARCH("Pending",E1225)))</formula>
    </cfRule>
  </conditionalFormatting>
  <conditionalFormatting sqref="E1225:E1226">
    <cfRule type="containsText" dxfId="2633" priority="5233" operator="containsText" text="Pending">
      <formula>NOT(ISERROR(SEARCH("Pending",E1225)))</formula>
    </cfRule>
  </conditionalFormatting>
  <conditionalFormatting sqref="E1226">
    <cfRule type="containsText" dxfId="2632" priority="5232" operator="containsText" text="Received ">
      <formula>NOT(ISERROR(SEARCH("Received ",E1226)))</formula>
    </cfRule>
    <cfRule type="containsText" dxfId="2631" priority="5231" operator="containsText" text="Received">
      <formula>NOT(ISERROR(SEARCH("Received",E1226)))</formula>
    </cfRule>
    <cfRule type="containsText" dxfId="2630" priority="5230" operator="containsText" text="Pending">
      <formula>NOT(ISERROR(SEARCH("Pending",E1226)))</formula>
    </cfRule>
    <cfRule type="containsText" dxfId="2629" priority="5228" operator="containsText" text="Received">
      <formula>NOT(ISERROR(SEARCH("Received",E1226)))</formula>
    </cfRule>
    <cfRule type="containsText" dxfId="2628" priority="5227" operator="containsText" text="Pending">
      <formula>NOT(ISERROR(SEARCH("Pending",E1226)))</formula>
    </cfRule>
    <cfRule type="containsText" dxfId="2627" priority="5226" operator="containsText" text="Received ">
      <formula>NOT(ISERROR(SEARCH("Received ",E1226)))</formula>
    </cfRule>
    <cfRule type="containsText" dxfId="2626" priority="5225" operator="containsText" text="Received">
      <formula>NOT(ISERROR(SEARCH("Received",E1226)))</formula>
    </cfRule>
    <cfRule type="containsText" dxfId="2625" priority="5223" operator="containsText" text="Received ">
      <formula>NOT(ISERROR(SEARCH("Received ",E1226)))</formula>
    </cfRule>
    <cfRule type="containsText" dxfId="2624" priority="5224" operator="containsText" text="Pending">
      <formula>NOT(ISERROR(SEARCH("Pending",E1226)))</formula>
    </cfRule>
    <cfRule type="containsText" dxfId="2623" priority="5216" operator="containsText" text="Received">
      <formula>NOT(ISERROR(SEARCH("Received",E1226)))</formula>
    </cfRule>
    <cfRule type="containsText" dxfId="2622" priority="5217" operator="containsText" text="Received ">
      <formula>NOT(ISERROR(SEARCH("Received ",E1226)))</formula>
    </cfRule>
    <cfRule type="containsText" dxfId="2621" priority="5218" operator="containsText" text="Pending">
      <formula>NOT(ISERROR(SEARCH("Pending",E1226)))</formula>
    </cfRule>
    <cfRule type="containsText" dxfId="2620" priority="5219" operator="containsText" text="Received">
      <formula>NOT(ISERROR(SEARCH("Received",E1226)))</formula>
    </cfRule>
    <cfRule type="containsText" dxfId="2619" priority="5220" operator="containsText" text="Received ">
      <formula>NOT(ISERROR(SEARCH("Received ",E1226)))</formula>
    </cfRule>
    <cfRule type="containsText" dxfId="2618" priority="5221" operator="containsText" text="Pending">
      <formula>NOT(ISERROR(SEARCH("Pending",E1226)))</formula>
    </cfRule>
    <cfRule type="containsText" dxfId="2617" priority="5222" operator="containsText" text="Received">
      <formula>NOT(ISERROR(SEARCH("Received",E1226)))</formula>
    </cfRule>
    <cfRule type="containsText" dxfId="2616" priority="5229" operator="containsText" text="Received ">
      <formula>NOT(ISERROR(SEARCH("Received ",E1226)))</formula>
    </cfRule>
  </conditionalFormatting>
  <conditionalFormatting sqref="E1226:E1227">
    <cfRule type="containsText" dxfId="2615" priority="5134" operator="containsText" text="Pending">
      <formula>NOT(ISERROR(SEARCH("Pending",E1226)))</formula>
    </cfRule>
  </conditionalFormatting>
  <conditionalFormatting sqref="E1227">
    <cfRule type="containsText" dxfId="2614" priority="5119" operator="containsText" text="Pending">
      <formula>NOT(ISERROR(SEARCH("Pending",E1227)))</formula>
    </cfRule>
    <cfRule type="containsText" dxfId="2613" priority="5117" operator="containsText" text="Received">
      <formula>NOT(ISERROR(SEARCH("Received",E1227)))</formula>
    </cfRule>
    <cfRule type="containsText" dxfId="2612" priority="5120" operator="containsText" text="Received">
      <formula>NOT(ISERROR(SEARCH("Received",E1227)))</formula>
    </cfRule>
    <cfRule type="containsText" dxfId="2611" priority="5118" operator="containsText" text="Received ">
      <formula>NOT(ISERROR(SEARCH("Received ",E1227)))</formula>
    </cfRule>
    <cfRule type="containsText" dxfId="2610" priority="5129" operator="containsText" text="Received">
      <formula>NOT(ISERROR(SEARCH("Received",E1227)))</formula>
    </cfRule>
    <cfRule type="containsText" dxfId="2609" priority="5128" operator="containsText" text="Pending">
      <formula>NOT(ISERROR(SEARCH("Pending",E1227)))</formula>
    </cfRule>
    <cfRule type="containsText" dxfId="2608" priority="5127" operator="containsText" text="Received ">
      <formula>NOT(ISERROR(SEARCH("Received ",E1227)))</formula>
    </cfRule>
    <cfRule type="containsText" dxfId="2607" priority="5126" operator="containsText" text="Received">
      <formula>NOT(ISERROR(SEARCH("Received",E1227)))</formula>
    </cfRule>
    <cfRule type="containsText" dxfId="2606" priority="5125" operator="containsText" text="Pending">
      <formula>NOT(ISERROR(SEARCH("Pending",E1227)))</formula>
    </cfRule>
    <cfRule type="containsText" dxfId="2605" priority="5124" operator="containsText" text="Received ">
      <formula>NOT(ISERROR(SEARCH("Received ",E1227)))</formula>
    </cfRule>
    <cfRule type="containsText" dxfId="2604" priority="5123" operator="containsText" text="Received">
      <formula>NOT(ISERROR(SEARCH("Received",E1227)))</formula>
    </cfRule>
    <cfRule type="containsText" dxfId="2603" priority="5122" operator="containsText" text="Pending">
      <formula>NOT(ISERROR(SEARCH("Pending",E1227)))</formula>
    </cfRule>
    <cfRule type="containsText" dxfId="2602" priority="5133" operator="containsText" text="Received ">
      <formula>NOT(ISERROR(SEARCH("Received ",E1227)))</formula>
    </cfRule>
    <cfRule type="containsText" dxfId="2601" priority="5132" operator="containsText" text="Received">
      <formula>NOT(ISERROR(SEARCH("Received",E1227)))</formula>
    </cfRule>
    <cfRule type="containsText" dxfId="2600" priority="5131" operator="containsText" text="Pending">
      <formula>NOT(ISERROR(SEARCH("Pending",E1227)))</formula>
    </cfRule>
    <cfRule type="containsText" dxfId="2599" priority="5130" operator="containsText" text="Received ">
      <formula>NOT(ISERROR(SEARCH("Received ",E1227)))</formula>
    </cfRule>
    <cfRule type="containsText" dxfId="2598" priority="5121" operator="containsText" text="Received ">
      <formula>NOT(ISERROR(SEARCH("Received ",E1227)))</formula>
    </cfRule>
  </conditionalFormatting>
  <conditionalFormatting sqref="E1227:E1228">
    <cfRule type="containsText" dxfId="2597" priority="5074" operator="containsText" text="Pending">
      <formula>NOT(ISERROR(SEARCH("Pending",E1227)))</formula>
    </cfRule>
  </conditionalFormatting>
  <conditionalFormatting sqref="E1228">
    <cfRule type="containsText" dxfId="2596" priority="5069" operator="containsText" text="Received">
      <formula>NOT(ISERROR(SEARCH("Received",E1228)))</formula>
    </cfRule>
    <cfRule type="containsText" dxfId="2595" priority="5068" operator="containsText" text="Pending">
      <formula>NOT(ISERROR(SEARCH("Pending",E1228)))</formula>
    </cfRule>
    <cfRule type="containsText" dxfId="2594" priority="5067" operator="containsText" text="Received ">
      <formula>NOT(ISERROR(SEARCH("Received ",E1228)))</formula>
    </cfRule>
    <cfRule type="containsText" dxfId="2593" priority="5066" operator="containsText" text="Received">
      <formula>NOT(ISERROR(SEARCH("Received",E1228)))</formula>
    </cfRule>
    <cfRule type="containsText" dxfId="2592" priority="5065" operator="containsText" text="Pending">
      <formula>NOT(ISERROR(SEARCH("Pending",E1228)))</formula>
    </cfRule>
    <cfRule type="containsText" dxfId="2591" priority="5064" operator="containsText" text="Received ">
      <formula>NOT(ISERROR(SEARCH("Received ",E1228)))</formula>
    </cfRule>
    <cfRule type="containsText" dxfId="2590" priority="5063" operator="containsText" text="Received">
      <formula>NOT(ISERROR(SEARCH("Received",E1228)))</formula>
    </cfRule>
    <cfRule type="containsText" dxfId="2589" priority="5062" operator="containsText" text="Pending">
      <formula>NOT(ISERROR(SEARCH("Pending",E1228)))</formula>
    </cfRule>
    <cfRule type="containsText" dxfId="2588" priority="5060" operator="containsText" text="Received">
      <formula>NOT(ISERROR(SEARCH("Received",E1228)))</formula>
    </cfRule>
    <cfRule type="containsText" dxfId="2587" priority="5061" operator="containsText" text="Received ">
      <formula>NOT(ISERROR(SEARCH("Received ",E1228)))</formula>
    </cfRule>
    <cfRule type="containsText" dxfId="2586" priority="5070" operator="containsText" text="Received ">
      <formula>NOT(ISERROR(SEARCH("Received ",E1228)))</formula>
    </cfRule>
    <cfRule type="containsText" dxfId="2585" priority="5071" operator="containsText" text="Pending">
      <formula>NOT(ISERROR(SEARCH("Pending",E1228)))</formula>
    </cfRule>
    <cfRule type="containsText" dxfId="2584" priority="5058" operator="containsText" text="Received ">
      <formula>NOT(ISERROR(SEARCH("Received ",E1228)))</formula>
    </cfRule>
    <cfRule type="containsText" dxfId="2583" priority="5073" operator="containsText" text="Received ">
      <formula>NOT(ISERROR(SEARCH("Received ",E1228)))</formula>
    </cfRule>
    <cfRule type="containsText" dxfId="2582" priority="5072" operator="containsText" text="Received">
      <formula>NOT(ISERROR(SEARCH("Received",E1228)))</formula>
    </cfRule>
    <cfRule type="containsText" dxfId="2581" priority="5057" operator="containsText" text="Received">
      <formula>NOT(ISERROR(SEARCH("Received",E1228)))</formula>
    </cfRule>
    <cfRule type="containsText" dxfId="2580" priority="5059" operator="containsText" text="Pending">
      <formula>NOT(ISERROR(SEARCH("Pending",E1228)))</formula>
    </cfRule>
  </conditionalFormatting>
  <conditionalFormatting sqref="E1228:E1229">
    <cfRule type="containsText" dxfId="2579" priority="5014" operator="containsText" text="Pending">
      <formula>NOT(ISERROR(SEARCH("Pending",E1228)))</formula>
    </cfRule>
  </conditionalFormatting>
  <conditionalFormatting sqref="E1229">
    <cfRule type="containsText" dxfId="2578" priority="5002" operator="containsText" text="Pending">
      <formula>NOT(ISERROR(SEARCH("Pending",E1229)))</formula>
    </cfRule>
    <cfRule type="containsText" dxfId="2577" priority="5004" operator="containsText" text="Received ">
      <formula>NOT(ISERROR(SEARCH("Received ",E1229)))</formula>
    </cfRule>
    <cfRule type="containsText" dxfId="2576" priority="5003" operator="containsText" text="Received">
      <formula>NOT(ISERROR(SEARCH("Received",E1229)))</formula>
    </cfRule>
    <cfRule type="containsText" dxfId="2575" priority="4997" operator="containsText" text="Received">
      <formula>NOT(ISERROR(SEARCH("Received",E1229)))</formula>
    </cfRule>
    <cfRule type="containsText" dxfId="2574" priority="4998" operator="containsText" text="Received ">
      <formula>NOT(ISERROR(SEARCH("Received ",E1229)))</formula>
    </cfRule>
    <cfRule type="containsText" dxfId="2573" priority="5000" operator="containsText" text="Received">
      <formula>NOT(ISERROR(SEARCH("Received",E1229)))</formula>
    </cfRule>
    <cfRule type="containsText" dxfId="2572" priority="5008" operator="containsText" text="Pending">
      <formula>NOT(ISERROR(SEARCH("Pending",E1229)))</formula>
    </cfRule>
    <cfRule type="containsText" dxfId="2571" priority="5013" operator="containsText" text="Received ">
      <formula>NOT(ISERROR(SEARCH("Received ",E1229)))</formula>
    </cfRule>
    <cfRule type="containsText" dxfId="2570" priority="5012" operator="containsText" text="Received">
      <formula>NOT(ISERROR(SEARCH("Received",E1229)))</formula>
    </cfRule>
    <cfRule type="containsText" dxfId="2569" priority="5011" operator="containsText" text="Pending">
      <formula>NOT(ISERROR(SEARCH("Pending",E1229)))</formula>
    </cfRule>
    <cfRule type="containsText" dxfId="2568" priority="5010" operator="containsText" text="Received ">
      <formula>NOT(ISERROR(SEARCH("Received ",E1229)))</formula>
    </cfRule>
    <cfRule type="containsText" dxfId="2567" priority="5009" operator="containsText" text="Received">
      <formula>NOT(ISERROR(SEARCH("Received",E1229)))</formula>
    </cfRule>
    <cfRule type="containsText" dxfId="2566" priority="5007" operator="containsText" text="Received ">
      <formula>NOT(ISERROR(SEARCH("Received ",E1229)))</formula>
    </cfRule>
    <cfRule type="containsText" dxfId="2565" priority="5006" operator="containsText" text="Received">
      <formula>NOT(ISERROR(SEARCH("Received",E1229)))</formula>
    </cfRule>
    <cfRule type="containsText" dxfId="2564" priority="4999" operator="containsText" text="Pending">
      <formula>NOT(ISERROR(SEARCH("Pending",E1229)))</formula>
    </cfRule>
    <cfRule type="containsText" dxfId="2563" priority="5001" operator="containsText" text="Received ">
      <formula>NOT(ISERROR(SEARCH("Received ",E1229)))</formula>
    </cfRule>
    <cfRule type="containsText" dxfId="2562" priority="5005" operator="containsText" text="Pending">
      <formula>NOT(ISERROR(SEARCH("Pending",E1229)))</formula>
    </cfRule>
  </conditionalFormatting>
  <conditionalFormatting sqref="E1229:E1230">
    <cfRule type="containsText" dxfId="2561" priority="4993" operator="containsText" text="Pending">
      <formula>NOT(ISERROR(SEARCH("Pending",E1229)))</formula>
    </cfRule>
  </conditionalFormatting>
  <conditionalFormatting sqref="E1230">
    <cfRule type="containsText" dxfId="2560" priority="4983" operator="containsText" text="Received ">
      <formula>NOT(ISERROR(SEARCH("Received ",E1230)))</formula>
    </cfRule>
    <cfRule type="containsText" dxfId="2559" priority="4984" operator="containsText" text="Pending">
      <formula>NOT(ISERROR(SEARCH("Pending",E1230)))</formula>
    </cfRule>
    <cfRule type="containsText" dxfId="2558" priority="4980" operator="containsText" text="Received ">
      <formula>NOT(ISERROR(SEARCH("Received ",E1230)))</formula>
    </cfRule>
    <cfRule type="containsText" dxfId="2557" priority="4981" operator="containsText" text="Pending">
      <formula>NOT(ISERROR(SEARCH("Pending",E1230)))</formula>
    </cfRule>
    <cfRule type="containsText" dxfId="2556" priority="4982" operator="containsText" text="Received">
      <formula>NOT(ISERROR(SEARCH("Received",E1230)))</formula>
    </cfRule>
    <cfRule type="containsText" dxfId="2555" priority="4989" operator="containsText" text="Received ">
      <formula>NOT(ISERROR(SEARCH("Received ",E1230)))</formula>
    </cfRule>
    <cfRule type="containsText" dxfId="2554" priority="4990" operator="containsText" text="Pending">
      <formula>NOT(ISERROR(SEARCH("Pending",E1230)))</formula>
    </cfRule>
    <cfRule type="containsText" dxfId="2553" priority="4991" operator="containsText" text="Received">
      <formula>NOT(ISERROR(SEARCH("Received",E1230)))</formula>
    </cfRule>
    <cfRule type="containsText" dxfId="2552" priority="4977" operator="containsText" text="Received ">
      <formula>NOT(ISERROR(SEARCH("Received ",E1230)))</formula>
    </cfRule>
    <cfRule type="containsText" dxfId="2551" priority="4985" operator="containsText" text="Received">
      <formula>NOT(ISERROR(SEARCH("Received",E1230)))</formula>
    </cfRule>
    <cfRule type="containsText" dxfId="2550" priority="4992" operator="containsText" text="Received ">
      <formula>NOT(ISERROR(SEARCH("Received ",E1230)))</formula>
    </cfRule>
    <cfRule type="containsText" dxfId="2549" priority="4986" operator="containsText" text="Received ">
      <formula>NOT(ISERROR(SEARCH("Received ",E1230)))</formula>
    </cfRule>
    <cfRule type="containsText" dxfId="2548" priority="4987" operator="containsText" text="Pending">
      <formula>NOT(ISERROR(SEARCH("Pending",E1230)))</formula>
    </cfRule>
    <cfRule type="containsText" dxfId="2547" priority="4988" operator="containsText" text="Received">
      <formula>NOT(ISERROR(SEARCH("Received",E1230)))</formula>
    </cfRule>
    <cfRule type="containsText" dxfId="2546" priority="4976" operator="containsText" text="Received">
      <formula>NOT(ISERROR(SEARCH("Received",E1230)))</formula>
    </cfRule>
    <cfRule type="containsText" dxfId="2545" priority="4978" operator="containsText" text="Pending">
      <formula>NOT(ISERROR(SEARCH("Pending",E1230)))</formula>
    </cfRule>
    <cfRule type="containsText" dxfId="2544" priority="4979" operator="containsText" text="Received">
      <formula>NOT(ISERROR(SEARCH("Received",E1230)))</formula>
    </cfRule>
  </conditionalFormatting>
  <conditionalFormatting sqref="E1230:E1283">
    <cfRule type="containsText" dxfId="2543" priority="4933" operator="containsText" text="Pending">
      <formula>NOT(ISERROR(SEARCH("Pending",E1230)))</formula>
    </cfRule>
  </conditionalFormatting>
  <conditionalFormatting sqref="E1231:E1283">
    <cfRule type="containsText" dxfId="2542" priority="4932" operator="containsText" text="Received ">
      <formula>NOT(ISERROR(SEARCH("Received ",E1231)))</formula>
    </cfRule>
    <cfRule type="containsText" dxfId="2541" priority="4931" operator="containsText" text="Received">
      <formula>NOT(ISERROR(SEARCH("Received",E1231)))</formula>
    </cfRule>
    <cfRule type="containsText" dxfId="2540" priority="4928" operator="containsText" text="Received">
      <formula>NOT(ISERROR(SEARCH("Received",E1231)))</formula>
    </cfRule>
    <cfRule type="containsText" dxfId="2539" priority="4917" operator="containsText" text="Received ">
      <formula>NOT(ISERROR(SEARCH("Received ",E1231)))</formula>
    </cfRule>
    <cfRule type="containsText" dxfId="2538" priority="4916" operator="containsText" text="Received">
      <formula>NOT(ISERROR(SEARCH("Received",E1231)))</formula>
    </cfRule>
    <cfRule type="containsText" dxfId="2537" priority="4930" operator="containsText" text="Pending">
      <formula>NOT(ISERROR(SEARCH("Pending",E1231)))</formula>
    </cfRule>
    <cfRule type="containsText" dxfId="2536" priority="4920" operator="containsText" text="Received ">
      <formula>NOT(ISERROR(SEARCH("Received ",E1231)))</formula>
    </cfRule>
    <cfRule type="containsText" dxfId="2535" priority="4921" operator="containsText" text="Pending">
      <formula>NOT(ISERROR(SEARCH("Pending",E1231)))</formula>
    </cfRule>
    <cfRule type="containsText" dxfId="2534" priority="4919" operator="containsText" text="Received">
      <formula>NOT(ISERROR(SEARCH("Received",E1231)))</formula>
    </cfRule>
    <cfRule type="containsText" dxfId="2533" priority="4922" operator="containsText" text="Received">
      <formula>NOT(ISERROR(SEARCH("Received",E1231)))</formula>
    </cfRule>
    <cfRule type="containsText" dxfId="2532" priority="4929" operator="containsText" text="Received ">
      <formula>NOT(ISERROR(SEARCH("Received ",E1231)))</formula>
    </cfRule>
    <cfRule type="containsText" dxfId="2531" priority="4923" operator="containsText" text="Received ">
      <formula>NOT(ISERROR(SEARCH("Received ",E1231)))</formula>
    </cfRule>
    <cfRule type="containsText" dxfId="2530" priority="4924" operator="containsText" text="Pending">
      <formula>NOT(ISERROR(SEARCH("Pending",E1231)))</formula>
    </cfRule>
    <cfRule type="containsText" dxfId="2529" priority="4925" operator="containsText" text="Received">
      <formula>NOT(ISERROR(SEARCH("Received",E1231)))</formula>
    </cfRule>
    <cfRule type="containsText" dxfId="2528" priority="4926" operator="containsText" text="Received ">
      <formula>NOT(ISERROR(SEARCH("Received ",E1231)))</formula>
    </cfRule>
    <cfRule type="containsText" dxfId="2527" priority="4927" operator="containsText" text="Pending">
      <formula>NOT(ISERROR(SEARCH("Pending",E1231)))</formula>
    </cfRule>
    <cfRule type="containsText" dxfId="2526" priority="4918" operator="containsText" text="Pending">
      <formula>NOT(ISERROR(SEARCH("Pending",E1231)))</formula>
    </cfRule>
  </conditionalFormatting>
  <conditionalFormatting sqref="E1231:E1284">
    <cfRule type="containsText" dxfId="2525" priority="1145" operator="containsText" text="Pending">
      <formula>NOT(ISERROR(SEARCH("Pending",E1231)))</formula>
    </cfRule>
  </conditionalFormatting>
  <conditionalFormatting sqref="E1284">
    <cfRule type="containsText" dxfId="2524" priority="1141" operator="containsText" text="Received ">
      <formula>NOT(ISERROR(SEARCH("Received ",E1284)))</formula>
    </cfRule>
    <cfRule type="containsText" dxfId="2523" priority="1140" operator="containsText" text="Received">
      <formula>NOT(ISERROR(SEARCH("Received",E1284)))</formula>
    </cfRule>
    <cfRule type="containsText" dxfId="2522" priority="1139" operator="containsText" text="Pending">
      <formula>NOT(ISERROR(SEARCH("Pending",E1284)))</formula>
    </cfRule>
    <cfRule type="containsText" dxfId="2521" priority="1138" operator="containsText" text="Received ">
      <formula>NOT(ISERROR(SEARCH("Received ",E1284)))</formula>
    </cfRule>
    <cfRule type="containsText" dxfId="2520" priority="1137" operator="containsText" text="Received">
      <formula>NOT(ISERROR(SEARCH("Received",E1284)))</formula>
    </cfRule>
    <cfRule type="containsText" dxfId="2519" priority="1136" operator="containsText" text="Pending">
      <formula>NOT(ISERROR(SEARCH("Pending",E1284)))</formula>
    </cfRule>
    <cfRule type="containsText" dxfId="2518" priority="1135" operator="containsText" text="Received ">
      <formula>NOT(ISERROR(SEARCH("Received ",E1284)))</formula>
    </cfRule>
    <cfRule type="containsText" dxfId="2517" priority="1134" operator="containsText" text="Received">
      <formula>NOT(ISERROR(SEARCH("Received",E1284)))</formula>
    </cfRule>
    <cfRule type="containsText" dxfId="2516" priority="1133" operator="containsText" text="Pending">
      <formula>NOT(ISERROR(SEARCH("Pending",E1284)))</formula>
    </cfRule>
    <cfRule type="containsText" dxfId="2515" priority="1132" operator="containsText" text="Received ">
      <formula>NOT(ISERROR(SEARCH("Received ",E1284)))</formula>
    </cfRule>
    <cfRule type="containsText" dxfId="2514" priority="1131" operator="containsText" text="Received">
      <formula>NOT(ISERROR(SEARCH("Received",E1284)))</formula>
    </cfRule>
    <cfRule type="containsText" dxfId="2513" priority="1130" operator="containsText" text="Pending">
      <formula>NOT(ISERROR(SEARCH("Pending",E1284)))</formula>
    </cfRule>
    <cfRule type="containsText" dxfId="2512" priority="1129" operator="containsText" text="Received ">
      <formula>NOT(ISERROR(SEARCH("Received ",E1284)))</formula>
    </cfRule>
    <cfRule type="containsText" dxfId="2511" priority="1128" operator="containsText" text="Received">
      <formula>NOT(ISERROR(SEARCH("Received",E1284)))</formula>
    </cfRule>
    <cfRule type="containsText" dxfId="2510" priority="1144" operator="containsText" text="Received ">
      <formula>NOT(ISERROR(SEARCH("Received ",E1284)))</formula>
    </cfRule>
    <cfRule type="containsText" dxfId="2509" priority="1143" operator="containsText" text="Received">
      <formula>NOT(ISERROR(SEARCH("Received",E1284)))</formula>
    </cfRule>
    <cfRule type="containsText" dxfId="2508" priority="1142" operator="containsText" text="Pending">
      <formula>NOT(ISERROR(SEARCH("Pending",E1284)))</formula>
    </cfRule>
  </conditionalFormatting>
  <conditionalFormatting sqref="E1284:E1285">
    <cfRule type="containsText" dxfId="2507" priority="1083" operator="containsText" text="Pending">
      <formula>NOT(ISERROR(SEARCH("Pending",E1284)))</formula>
    </cfRule>
  </conditionalFormatting>
  <conditionalFormatting sqref="E1285">
    <cfRule type="containsText" dxfId="2506" priority="1066" operator="containsText" text="Received">
      <formula>NOT(ISERROR(SEARCH("Received",E1285)))</formula>
    </cfRule>
    <cfRule type="containsText" dxfId="2505" priority="1069" operator="containsText" text="Received">
      <formula>NOT(ISERROR(SEARCH("Received",E1285)))</formula>
    </cfRule>
    <cfRule type="containsText" dxfId="2504" priority="1070" operator="containsText" text="Received ">
      <formula>NOT(ISERROR(SEARCH("Received ",E1285)))</formula>
    </cfRule>
    <cfRule type="containsText" dxfId="2503" priority="1071" operator="containsText" text="Pending">
      <formula>NOT(ISERROR(SEARCH("Pending",E1285)))</formula>
    </cfRule>
    <cfRule type="containsText" dxfId="2502" priority="1072" operator="containsText" text="Received">
      <formula>NOT(ISERROR(SEARCH("Received",E1285)))</formula>
    </cfRule>
    <cfRule type="containsText" dxfId="2501" priority="1073" operator="containsText" text="Received ">
      <formula>NOT(ISERROR(SEARCH("Received ",E1285)))</formula>
    </cfRule>
    <cfRule type="containsText" dxfId="2500" priority="1074" operator="containsText" text="Pending">
      <formula>NOT(ISERROR(SEARCH("Pending",E1285)))</formula>
    </cfRule>
    <cfRule type="containsText" dxfId="2499" priority="1075" operator="containsText" text="Received">
      <formula>NOT(ISERROR(SEARCH("Received",E1285)))</formula>
    </cfRule>
    <cfRule type="containsText" dxfId="2498" priority="1076" operator="containsText" text="Received ">
      <formula>NOT(ISERROR(SEARCH("Received ",E1285)))</formula>
    </cfRule>
    <cfRule type="containsText" dxfId="2497" priority="1077" operator="containsText" text="Pending">
      <formula>NOT(ISERROR(SEARCH("Pending",E1285)))</formula>
    </cfRule>
    <cfRule type="containsText" dxfId="2496" priority="1079" operator="containsText" text="Received ">
      <formula>NOT(ISERROR(SEARCH("Received ",E1285)))</formula>
    </cfRule>
    <cfRule type="containsText" dxfId="2495" priority="1080" operator="containsText" text="Pending">
      <formula>NOT(ISERROR(SEARCH("Pending",E1285)))</formula>
    </cfRule>
    <cfRule type="containsText" dxfId="2494" priority="1081" operator="containsText" text="Received">
      <formula>NOT(ISERROR(SEARCH("Received",E1285)))</formula>
    </cfRule>
    <cfRule type="containsText" dxfId="2493" priority="1082" operator="containsText" text="Received ">
      <formula>NOT(ISERROR(SEARCH("Received ",E1285)))</formula>
    </cfRule>
    <cfRule type="containsText" dxfId="2492" priority="1078" operator="containsText" text="Received">
      <formula>NOT(ISERROR(SEARCH("Received",E1285)))</formula>
    </cfRule>
    <cfRule type="containsText" dxfId="2491" priority="1067" operator="containsText" text="Received ">
      <formula>NOT(ISERROR(SEARCH("Received ",E1285)))</formula>
    </cfRule>
    <cfRule type="containsText" dxfId="2490" priority="1068" operator="containsText" text="Pending">
      <formula>NOT(ISERROR(SEARCH("Pending",E1285)))</formula>
    </cfRule>
  </conditionalFormatting>
  <conditionalFormatting sqref="E1285:E1286">
    <cfRule type="containsText" dxfId="2489" priority="1021" operator="containsText" text="Pending">
      <formula>NOT(ISERROR(SEARCH("Pending",E1285)))</formula>
    </cfRule>
  </conditionalFormatting>
  <conditionalFormatting sqref="E1286">
    <cfRule type="containsText" dxfId="2488" priority="1020" operator="containsText" text="Received ">
      <formula>NOT(ISERROR(SEARCH("Received ",E1286)))</formula>
    </cfRule>
    <cfRule type="containsText" dxfId="2487" priority="1019" operator="containsText" text="Received">
      <formula>NOT(ISERROR(SEARCH("Received",E1286)))</formula>
    </cfRule>
    <cfRule type="containsText" dxfId="2486" priority="1018" operator="containsText" text="Pending">
      <formula>NOT(ISERROR(SEARCH("Pending",E1286)))</formula>
    </cfRule>
    <cfRule type="containsText" dxfId="2485" priority="1017" operator="containsText" text="Received ">
      <formula>NOT(ISERROR(SEARCH("Received ",E1286)))</formula>
    </cfRule>
    <cfRule type="containsText" dxfId="2484" priority="1016" operator="containsText" text="Received">
      <formula>NOT(ISERROR(SEARCH("Received",E1286)))</formula>
    </cfRule>
    <cfRule type="containsText" dxfId="2483" priority="1015" operator="containsText" text="Pending">
      <formula>NOT(ISERROR(SEARCH("Pending",E1286)))</formula>
    </cfRule>
    <cfRule type="containsText" dxfId="2482" priority="1008" operator="containsText" text="Received ">
      <formula>NOT(ISERROR(SEARCH("Received ",E1286)))</formula>
    </cfRule>
    <cfRule type="containsText" dxfId="2481" priority="1013" operator="containsText" text="Received">
      <formula>NOT(ISERROR(SEARCH("Received",E1286)))</formula>
    </cfRule>
    <cfRule type="containsText" dxfId="2480" priority="1012" operator="containsText" text="Pending">
      <formula>NOT(ISERROR(SEARCH("Pending",E1286)))</formula>
    </cfRule>
    <cfRule type="containsText" dxfId="2479" priority="1011" operator="containsText" text="Received ">
      <formula>NOT(ISERROR(SEARCH("Received ",E1286)))</formula>
    </cfRule>
    <cfRule type="containsText" dxfId="2478" priority="1010" operator="containsText" text="Received">
      <formula>NOT(ISERROR(SEARCH("Received",E1286)))</formula>
    </cfRule>
    <cfRule type="containsText" dxfId="2477" priority="1009" operator="containsText" text="Pending">
      <formula>NOT(ISERROR(SEARCH("Pending",E1286)))</formula>
    </cfRule>
    <cfRule type="containsText" dxfId="2476" priority="1014" operator="containsText" text="Received ">
      <formula>NOT(ISERROR(SEARCH("Received ",E1286)))</formula>
    </cfRule>
    <cfRule type="containsText" dxfId="2475" priority="1007" operator="containsText" text="Received">
      <formula>NOT(ISERROR(SEARCH("Received",E1286)))</formula>
    </cfRule>
    <cfRule type="containsText" dxfId="2474" priority="1006" operator="containsText" text="Pending">
      <formula>NOT(ISERROR(SEARCH("Pending",E1286)))</formula>
    </cfRule>
    <cfRule type="containsText" dxfId="2473" priority="1005" operator="containsText" text="Received ">
      <formula>NOT(ISERROR(SEARCH("Received ",E1286)))</formula>
    </cfRule>
    <cfRule type="containsText" dxfId="2472" priority="1004" operator="containsText" text="Received">
      <formula>NOT(ISERROR(SEARCH("Received",E1286)))</formula>
    </cfRule>
  </conditionalFormatting>
  <conditionalFormatting sqref="E1286:E1287">
    <cfRule type="containsText" dxfId="2471" priority="959" operator="containsText" text="Pending">
      <formula>NOT(ISERROR(SEARCH("Pending",E1286)))</formula>
    </cfRule>
  </conditionalFormatting>
  <conditionalFormatting sqref="E1287">
    <cfRule type="containsText" dxfId="2470" priority="944" operator="containsText" text="Pending">
      <formula>NOT(ISERROR(SEARCH("Pending",E1287)))</formula>
    </cfRule>
    <cfRule type="containsText" dxfId="2469" priority="942" operator="containsText" text="Received">
      <formula>NOT(ISERROR(SEARCH("Received",E1287)))</formula>
    </cfRule>
    <cfRule type="containsText" dxfId="2468" priority="958" operator="containsText" text="Received ">
      <formula>NOT(ISERROR(SEARCH("Received ",E1287)))</formula>
    </cfRule>
    <cfRule type="containsText" dxfId="2467" priority="957" operator="containsText" text="Received">
      <formula>NOT(ISERROR(SEARCH("Received",E1287)))</formula>
    </cfRule>
    <cfRule type="containsText" dxfId="2466" priority="943" operator="containsText" text="Received ">
      <formula>NOT(ISERROR(SEARCH("Received ",E1287)))</formula>
    </cfRule>
    <cfRule type="containsText" dxfId="2465" priority="955" operator="containsText" text="Received ">
      <formula>NOT(ISERROR(SEARCH("Received ",E1287)))</formula>
    </cfRule>
    <cfRule type="containsText" dxfId="2464" priority="954" operator="containsText" text="Received">
      <formula>NOT(ISERROR(SEARCH("Received",E1287)))</formula>
    </cfRule>
    <cfRule type="containsText" dxfId="2463" priority="953" operator="containsText" text="Pending">
      <formula>NOT(ISERROR(SEARCH("Pending",E1287)))</formula>
    </cfRule>
    <cfRule type="containsText" dxfId="2462" priority="945" operator="containsText" text="Received">
      <formula>NOT(ISERROR(SEARCH("Received",E1287)))</formula>
    </cfRule>
    <cfRule type="containsText" dxfId="2461" priority="952" operator="containsText" text="Received ">
      <formula>NOT(ISERROR(SEARCH("Received ",E1287)))</formula>
    </cfRule>
    <cfRule type="containsText" dxfId="2460" priority="951" operator="containsText" text="Received">
      <formula>NOT(ISERROR(SEARCH("Received",E1287)))</formula>
    </cfRule>
    <cfRule type="containsText" dxfId="2459" priority="950" operator="containsText" text="Pending">
      <formula>NOT(ISERROR(SEARCH("Pending",E1287)))</formula>
    </cfRule>
    <cfRule type="containsText" dxfId="2458" priority="949" operator="containsText" text="Received ">
      <formula>NOT(ISERROR(SEARCH("Received ",E1287)))</formula>
    </cfRule>
    <cfRule type="containsText" dxfId="2457" priority="948" operator="containsText" text="Received">
      <formula>NOT(ISERROR(SEARCH("Received",E1287)))</formula>
    </cfRule>
    <cfRule type="containsText" dxfId="2456" priority="946" operator="containsText" text="Received ">
      <formula>NOT(ISERROR(SEARCH("Received ",E1287)))</formula>
    </cfRule>
    <cfRule type="containsText" dxfId="2455" priority="947" operator="containsText" text="Pending">
      <formula>NOT(ISERROR(SEARCH("Pending",E1287)))</formula>
    </cfRule>
    <cfRule type="containsText" dxfId="2454" priority="956" operator="containsText" text="Pending">
      <formula>NOT(ISERROR(SEARCH("Pending",E1287)))</formula>
    </cfRule>
  </conditionalFormatting>
  <conditionalFormatting sqref="E1287:E1288">
    <cfRule type="containsText" dxfId="2453" priority="897" operator="containsText" text="Pending">
      <formula>NOT(ISERROR(SEARCH("Pending",E1287)))</formula>
    </cfRule>
  </conditionalFormatting>
  <conditionalFormatting sqref="E1288">
    <cfRule type="containsText" dxfId="2452" priority="892" operator="containsText" text="Received">
      <formula>NOT(ISERROR(SEARCH("Received",E1288)))</formula>
    </cfRule>
    <cfRule type="containsText" dxfId="2451" priority="891" operator="containsText" text="Pending">
      <formula>NOT(ISERROR(SEARCH("Pending",E1288)))</formula>
    </cfRule>
    <cfRule type="containsText" dxfId="2450" priority="883" operator="containsText" text="Received">
      <formula>NOT(ISERROR(SEARCH("Received",E1288)))</formula>
    </cfRule>
    <cfRule type="containsText" dxfId="2449" priority="886" operator="containsText" text="Received">
      <formula>NOT(ISERROR(SEARCH("Received",E1288)))</formula>
    </cfRule>
    <cfRule type="containsText" dxfId="2448" priority="880" operator="containsText" text="Received">
      <formula>NOT(ISERROR(SEARCH("Received",E1288)))</formula>
    </cfRule>
    <cfRule type="containsText" dxfId="2447" priority="885" operator="containsText" text="Pending">
      <formula>NOT(ISERROR(SEARCH("Pending",E1288)))</formula>
    </cfRule>
    <cfRule type="containsText" dxfId="2446" priority="893" operator="containsText" text="Received ">
      <formula>NOT(ISERROR(SEARCH("Received ",E1288)))</formula>
    </cfRule>
    <cfRule type="containsText" dxfId="2445" priority="894" operator="containsText" text="Pending">
      <formula>NOT(ISERROR(SEARCH("Pending",E1288)))</formula>
    </cfRule>
    <cfRule type="containsText" dxfId="2444" priority="895" operator="containsText" text="Received">
      <formula>NOT(ISERROR(SEARCH("Received",E1288)))</formula>
    </cfRule>
    <cfRule type="containsText" dxfId="2443" priority="896" operator="containsText" text="Received ">
      <formula>NOT(ISERROR(SEARCH("Received ",E1288)))</formula>
    </cfRule>
    <cfRule type="containsText" dxfId="2442" priority="881" operator="containsText" text="Received ">
      <formula>NOT(ISERROR(SEARCH("Received ",E1288)))</formula>
    </cfRule>
    <cfRule type="containsText" dxfId="2441" priority="882" operator="containsText" text="Pending">
      <formula>NOT(ISERROR(SEARCH("Pending",E1288)))</formula>
    </cfRule>
    <cfRule type="containsText" dxfId="2440" priority="887" operator="containsText" text="Received ">
      <formula>NOT(ISERROR(SEARCH("Received ",E1288)))</formula>
    </cfRule>
    <cfRule type="containsText" dxfId="2439" priority="888" operator="containsText" text="Pending">
      <formula>NOT(ISERROR(SEARCH("Pending",E1288)))</formula>
    </cfRule>
    <cfRule type="containsText" dxfId="2438" priority="884" operator="containsText" text="Received ">
      <formula>NOT(ISERROR(SEARCH("Received ",E1288)))</formula>
    </cfRule>
    <cfRule type="containsText" dxfId="2437" priority="889" operator="containsText" text="Received">
      <formula>NOT(ISERROR(SEARCH("Received",E1288)))</formula>
    </cfRule>
    <cfRule type="containsText" dxfId="2436" priority="890" operator="containsText" text="Received ">
      <formula>NOT(ISERROR(SEARCH("Received ",E1288)))</formula>
    </cfRule>
  </conditionalFormatting>
  <conditionalFormatting sqref="E1288:E1289">
    <cfRule type="containsText" dxfId="2435" priority="274" operator="containsText" text="Pending">
      <formula>NOT(ISERROR(SEARCH("Pending",E1288)))</formula>
    </cfRule>
  </conditionalFormatting>
  <conditionalFormatting sqref="E1289">
    <cfRule type="containsText" dxfId="2434" priority="264" operator="containsText" text="Received ">
      <formula>NOT(ISERROR(SEARCH("Received ",E1289)))</formula>
    </cfRule>
    <cfRule type="containsText" dxfId="2433" priority="273" operator="containsText" text="Received ">
      <formula>NOT(ISERROR(SEARCH("Received ",E1289)))</formula>
    </cfRule>
    <cfRule type="containsText" dxfId="2432" priority="263" operator="containsText" text="Received">
      <formula>NOT(ISERROR(SEARCH("Received",E1289)))</formula>
    </cfRule>
    <cfRule type="containsText" dxfId="2431" priority="260" operator="containsText" text="Received">
      <formula>NOT(ISERROR(SEARCH("Received",E1289)))</formula>
    </cfRule>
    <cfRule type="containsText" dxfId="2430" priority="261" operator="containsText" text="Received ">
      <formula>NOT(ISERROR(SEARCH("Received ",E1289)))</formula>
    </cfRule>
    <cfRule type="containsText" dxfId="2429" priority="259" operator="containsText" text="Pending">
      <formula>NOT(ISERROR(SEARCH("Pending",E1289)))</formula>
    </cfRule>
    <cfRule type="containsText" dxfId="2428" priority="258" operator="containsText" text="Received ">
      <formula>NOT(ISERROR(SEARCH("Received ",E1289)))</formula>
    </cfRule>
    <cfRule type="containsText" dxfId="2427" priority="262" operator="containsText" text="Pending">
      <formula>NOT(ISERROR(SEARCH("Pending",E1289)))</formula>
    </cfRule>
    <cfRule type="containsText" dxfId="2426" priority="266" operator="containsText" text="Received">
      <formula>NOT(ISERROR(SEARCH("Received",E1289)))</formula>
    </cfRule>
    <cfRule type="containsText" dxfId="2425" priority="257" operator="containsText" text="Received">
      <formula>NOT(ISERROR(SEARCH("Received",E1289)))</formula>
    </cfRule>
    <cfRule type="containsText" dxfId="2424" priority="272" operator="containsText" text="Received">
      <formula>NOT(ISERROR(SEARCH("Received",E1289)))</formula>
    </cfRule>
    <cfRule type="containsText" dxfId="2423" priority="271" operator="containsText" text="Pending">
      <formula>NOT(ISERROR(SEARCH("Pending",E1289)))</formula>
    </cfRule>
    <cfRule type="containsText" dxfId="2422" priority="270" operator="containsText" text="Received ">
      <formula>NOT(ISERROR(SEARCH("Received ",E1289)))</formula>
    </cfRule>
    <cfRule type="containsText" dxfId="2421" priority="269" operator="containsText" text="Received">
      <formula>NOT(ISERROR(SEARCH("Received",E1289)))</formula>
    </cfRule>
    <cfRule type="containsText" dxfId="2420" priority="268" operator="containsText" text="Pending">
      <formula>NOT(ISERROR(SEARCH("Pending",E1289)))</formula>
    </cfRule>
    <cfRule type="containsText" dxfId="2419" priority="267" operator="containsText" text="Received ">
      <formula>NOT(ISERROR(SEARCH("Received ",E1289)))</formula>
    </cfRule>
    <cfRule type="containsText" dxfId="2418" priority="265" operator="containsText" text="Pending">
      <formula>NOT(ISERROR(SEARCH("Pending",E1289)))</formula>
    </cfRule>
  </conditionalFormatting>
  <conditionalFormatting sqref="E1289:E1290">
    <cfRule type="containsText" dxfId="2417" priority="211" operator="containsText" text="Pending">
      <formula>NOT(ISERROR(SEARCH("Pending",E1289)))</formula>
    </cfRule>
  </conditionalFormatting>
  <conditionalFormatting sqref="E1290">
    <cfRule type="containsText" dxfId="2416" priority="194" operator="containsText" text="Received">
      <formula>NOT(ISERROR(SEARCH("Received",E1290)))</formula>
    </cfRule>
    <cfRule type="containsText" dxfId="2415" priority="195" operator="containsText" text="Received ">
      <formula>NOT(ISERROR(SEARCH("Received ",E1290)))</formula>
    </cfRule>
    <cfRule type="containsText" dxfId="2414" priority="196" operator="containsText" text="Pending">
      <formula>NOT(ISERROR(SEARCH("Pending",E1290)))</formula>
    </cfRule>
    <cfRule type="containsText" dxfId="2413" priority="198" operator="containsText" text="Received ">
      <formula>NOT(ISERROR(SEARCH("Received ",E1290)))</formula>
    </cfRule>
    <cfRule type="containsText" dxfId="2412" priority="197" operator="containsText" text="Received">
      <formula>NOT(ISERROR(SEARCH("Received",E1290)))</formula>
    </cfRule>
    <cfRule type="containsText" dxfId="2411" priority="205" operator="containsText" text="Pending">
      <formula>NOT(ISERROR(SEARCH("Pending",E1290)))</formula>
    </cfRule>
    <cfRule type="containsText" dxfId="2410" priority="206" operator="containsText" text="Received">
      <formula>NOT(ISERROR(SEARCH("Received",E1290)))</formula>
    </cfRule>
    <cfRule type="containsText" dxfId="2409" priority="207" operator="containsText" text="Received ">
      <formula>NOT(ISERROR(SEARCH("Received ",E1290)))</formula>
    </cfRule>
    <cfRule type="containsText" dxfId="2408" priority="208" operator="containsText" text="Pending">
      <formula>NOT(ISERROR(SEARCH("Pending",E1290)))</formula>
    </cfRule>
    <cfRule type="containsText" dxfId="2407" priority="209" operator="containsText" text="Received">
      <formula>NOT(ISERROR(SEARCH("Received",E1290)))</formula>
    </cfRule>
    <cfRule type="containsText" dxfId="2406" priority="210" operator="containsText" text="Received ">
      <formula>NOT(ISERROR(SEARCH("Received ",E1290)))</formula>
    </cfRule>
    <cfRule type="containsText" dxfId="2405" priority="203" operator="containsText" text="Received">
      <formula>NOT(ISERROR(SEARCH("Received",E1290)))</formula>
    </cfRule>
    <cfRule type="containsText" dxfId="2404" priority="202" operator="containsText" text="Pending">
      <formula>NOT(ISERROR(SEARCH("Pending",E1290)))</formula>
    </cfRule>
    <cfRule type="containsText" dxfId="2403" priority="201" operator="containsText" text="Received ">
      <formula>NOT(ISERROR(SEARCH("Received ",E1290)))</formula>
    </cfRule>
    <cfRule type="containsText" dxfId="2402" priority="200" operator="containsText" text="Received">
      <formula>NOT(ISERROR(SEARCH("Received",E1290)))</formula>
    </cfRule>
    <cfRule type="containsText" dxfId="2401" priority="199" operator="containsText" text="Pending">
      <formula>NOT(ISERROR(SEARCH("Pending",E1290)))</formula>
    </cfRule>
    <cfRule type="containsText" dxfId="2400" priority="204" operator="containsText" text="Received ">
      <formula>NOT(ISERROR(SEARCH("Received ",E1290)))</formula>
    </cfRule>
  </conditionalFormatting>
  <conditionalFormatting sqref="E1290:E1291">
    <cfRule type="containsText" dxfId="2399" priority="149" operator="containsText" text="Pending">
      <formula>NOT(ISERROR(SEARCH("Pending",E1290)))</formula>
    </cfRule>
  </conditionalFormatting>
  <conditionalFormatting sqref="E1291">
    <cfRule type="containsText" dxfId="2398" priority="133" operator="containsText" text="Received ">
      <formula>NOT(ISERROR(SEARCH("Received ",E1291)))</formula>
    </cfRule>
    <cfRule type="containsText" dxfId="2397" priority="134" operator="containsText" text="Pending">
      <formula>NOT(ISERROR(SEARCH("Pending",E1291)))</formula>
    </cfRule>
    <cfRule type="containsText" dxfId="2396" priority="135" operator="containsText" text="Received">
      <formula>NOT(ISERROR(SEARCH("Received",E1291)))</formula>
    </cfRule>
    <cfRule type="containsText" dxfId="2395" priority="136" operator="containsText" text="Received ">
      <formula>NOT(ISERROR(SEARCH("Received ",E1291)))</formula>
    </cfRule>
    <cfRule type="containsText" dxfId="2394" priority="138" operator="containsText" text="Received">
      <formula>NOT(ISERROR(SEARCH("Received",E1291)))</formula>
    </cfRule>
    <cfRule type="containsText" dxfId="2393" priority="139" operator="containsText" text="Received ">
      <formula>NOT(ISERROR(SEARCH("Received ",E1291)))</formula>
    </cfRule>
    <cfRule type="containsText" dxfId="2392" priority="140" operator="containsText" text="Pending">
      <formula>NOT(ISERROR(SEARCH("Pending",E1291)))</formula>
    </cfRule>
    <cfRule type="containsText" dxfId="2391" priority="141" operator="containsText" text="Received">
      <formula>NOT(ISERROR(SEARCH("Received",E1291)))</formula>
    </cfRule>
    <cfRule type="containsText" dxfId="2390" priority="142" operator="containsText" text="Received ">
      <formula>NOT(ISERROR(SEARCH("Received ",E1291)))</formula>
    </cfRule>
    <cfRule type="containsText" dxfId="2389" priority="143" operator="containsText" text="Pending">
      <formula>NOT(ISERROR(SEARCH("Pending",E1291)))</formula>
    </cfRule>
    <cfRule type="containsText" dxfId="2388" priority="144" operator="containsText" text="Received">
      <formula>NOT(ISERROR(SEARCH("Received",E1291)))</formula>
    </cfRule>
    <cfRule type="containsText" dxfId="2387" priority="145" operator="containsText" text="Received ">
      <formula>NOT(ISERROR(SEARCH("Received ",E1291)))</formula>
    </cfRule>
    <cfRule type="containsText" dxfId="2386" priority="146" operator="containsText" text="Pending">
      <formula>NOT(ISERROR(SEARCH("Pending",E1291)))</formula>
    </cfRule>
    <cfRule type="containsText" dxfId="2385" priority="147" operator="containsText" text="Received">
      <formula>NOT(ISERROR(SEARCH("Received",E1291)))</formula>
    </cfRule>
    <cfRule type="containsText" dxfId="2384" priority="148" operator="containsText" text="Received ">
      <formula>NOT(ISERROR(SEARCH("Received ",E1291)))</formula>
    </cfRule>
    <cfRule type="containsText" dxfId="2383" priority="137" operator="containsText" text="Pending">
      <formula>NOT(ISERROR(SEARCH("Pending",E1291)))</formula>
    </cfRule>
    <cfRule type="containsText" dxfId="2382" priority="132" operator="containsText" text="Received">
      <formula>NOT(ISERROR(SEARCH("Received",E1291)))</formula>
    </cfRule>
  </conditionalFormatting>
  <conditionalFormatting sqref="E1291:E1292">
    <cfRule type="containsText" dxfId="2381" priority="87" operator="containsText" text="Pending">
      <formula>NOT(ISERROR(SEARCH("Pending",E1291)))</formula>
    </cfRule>
  </conditionalFormatting>
  <conditionalFormatting sqref="E1292">
    <cfRule type="containsText" dxfId="2380" priority="86" operator="containsText" text="Received ">
      <formula>NOT(ISERROR(SEARCH("Received ",E1292)))</formula>
    </cfRule>
    <cfRule type="containsText" dxfId="2379" priority="85" operator="containsText" text="Received">
      <formula>NOT(ISERROR(SEARCH("Received",E1292)))</formula>
    </cfRule>
    <cfRule type="containsText" dxfId="2378" priority="84" operator="containsText" text="Pending">
      <formula>NOT(ISERROR(SEARCH("Pending",E1292)))</formula>
    </cfRule>
    <cfRule type="containsText" dxfId="2377" priority="83" operator="containsText" text="Received ">
      <formula>NOT(ISERROR(SEARCH("Received ",E1292)))</formula>
    </cfRule>
    <cfRule type="containsText" dxfId="2376" priority="70" operator="containsText" text="Received">
      <formula>NOT(ISERROR(SEARCH("Received",E1292)))</formula>
    </cfRule>
    <cfRule type="containsText" dxfId="2375" priority="78" operator="containsText" text="Pending">
      <formula>NOT(ISERROR(SEARCH("Pending",E1292)))</formula>
    </cfRule>
    <cfRule type="containsText" dxfId="2374" priority="71" operator="containsText" text="Received ">
      <formula>NOT(ISERROR(SEARCH("Received ",E1292)))</formula>
    </cfRule>
    <cfRule type="containsText" dxfId="2373" priority="72" operator="containsText" text="Pending">
      <formula>NOT(ISERROR(SEARCH("Pending",E1292)))</formula>
    </cfRule>
    <cfRule type="containsText" dxfId="2372" priority="73" operator="containsText" text="Received">
      <formula>NOT(ISERROR(SEARCH("Received",E1292)))</formula>
    </cfRule>
    <cfRule type="containsText" dxfId="2371" priority="74" operator="containsText" text="Received ">
      <formula>NOT(ISERROR(SEARCH("Received ",E1292)))</formula>
    </cfRule>
    <cfRule type="containsText" dxfId="2370" priority="75" operator="containsText" text="Pending">
      <formula>NOT(ISERROR(SEARCH("Pending",E1292)))</formula>
    </cfRule>
    <cfRule type="containsText" dxfId="2369" priority="82" operator="containsText" text="Received">
      <formula>NOT(ISERROR(SEARCH("Received",E1292)))</formula>
    </cfRule>
    <cfRule type="containsText" dxfId="2368" priority="76" operator="containsText" text="Received">
      <formula>NOT(ISERROR(SEARCH("Received",E1292)))</formula>
    </cfRule>
    <cfRule type="containsText" dxfId="2367" priority="81" operator="containsText" text="Pending">
      <formula>NOT(ISERROR(SEARCH("Pending",E1292)))</formula>
    </cfRule>
    <cfRule type="containsText" dxfId="2366" priority="80" operator="containsText" text="Received ">
      <formula>NOT(ISERROR(SEARCH("Received ",E1292)))</formula>
    </cfRule>
    <cfRule type="containsText" dxfId="2365" priority="79" operator="containsText" text="Received">
      <formula>NOT(ISERROR(SEARCH("Received",E1292)))</formula>
    </cfRule>
    <cfRule type="containsText" dxfId="2364" priority="77" operator="containsText" text="Received ">
      <formula>NOT(ISERROR(SEARCH("Received ",E1292)))</formula>
    </cfRule>
  </conditionalFormatting>
  <conditionalFormatting sqref="E1292:E1293">
    <cfRule type="containsText" dxfId="2363" priority="64" operator="containsText" text="Pending">
      <formula>NOT(ISERROR(SEARCH("Pending",E1292)))</formula>
    </cfRule>
  </conditionalFormatting>
  <conditionalFormatting sqref="E1293">
    <cfRule type="containsText" dxfId="2362" priority="47" operator="containsText" text="Received">
      <formula>NOT(ISERROR(SEARCH("Received",E1293)))</formula>
    </cfRule>
    <cfRule type="containsText" dxfId="2361" priority="48" operator="containsText" text="Received ">
      <formula>NOT(ISERROR(SEARCH("Received ",E1293)))</formula>
    </cfRule>
    <cfRule type="containsText" dxfId="2360" priority="9" operator="containsText" text="Pending">
      <formula>NOT(ISERROR(SEARCH("Pending",E1293)))</formula>
    </cfRule>
    <cfRule type="containsText" dxfId="2359" priority="54" operator="containsText" text="Received ">
      <formula>NOT(ISERROR(SEARCH("Received ",E1293)))</formula>
    </cfRule>
    <cfRule type="containsText" dxfId="2358" priority="56" operator="containsText" text="Received">
      <formula>NOT(ISERROR(SEARCH("Received",E1293)))</formula>
    </cfRule>
    <cfRule type="containsText" dxfId="2357" priority="53" operator="containsText" text="Received">
      <formula>NOT(ISERROR(SEARCH("Received",E1293)))</formula>
    </cfRule>
    <cfRule type="containsText" dxfId="2356" priority="51" operator="containsText" text="Received ">
      <formula>NOT(ISERROR(SEARCH("Received ",E1293)))</formula>
    </cfRule>
    <cfRule type="containsText" dxfId="2355" priority="50" operator="containsText" text="Received">
      <formula>NOT(ISERROR(SEARCH("Received",E1293)))</formula>
    </cfRule>
    <cfRule type="containsText" dxfId="2354" priority="49" operator="containsText" text="Pending">
      <formula>NOT(ISERROR(SEARCH("Pending",E1293)))</formula>
    </cfRule>
    <cfRule type="containsText" dxfId="2353" priority="52" operator="containsText" text="Pending">
      <formula>NOT(ISERROR(SEARCH("Pending",E1293)))</formula>
    </cfRule>
    <cfRule type="containsText" dxfId="2352" priority="61" operator="containsText" text="Pending">
      <formula>NOT(ISERROR(SEARCH("Pending",E1293)))</formula>
    </cfRule>
    <cfRule type="containsText" dxfId="2351" priority="63" operator="containsText" text="Received ">
      <formula>NOT(ISERROR(SEARCH("Received ",E1293)))</formula>
    </cfRule>
    <cfRule type="containsText" dxfId="2350" priority="62" operator="containsText" text="Received">
      <formula>NOT(ISERROR(SEARCH("Received",E1293)))</formula>
    </cfRule>
    <cfRule type="containsText" dxfId="2349" priority="55" operator="containsText" text="Pending">
      <formula>NOT(ISERROR(SEARCH("Pending",E1293)))</formula>
    </cfRule>
    <cfRule type="containsText" dxfId="2348" priority="60" operator="containsText" text="Received ">
      <formula>NOT(ISERROR(SEARCH("Received ",E1293)))</formula>
    </cfRule>
    <cfRule type="containsText" dxfId="2347" priority="59" operator="containsText" text="Received">
      <formula>NOT(ISERROR(SEARCH("Received",E1293)))</formula>
    </cfRule>
    <cfRule type="containsText" dxfId="2346" priority="58" operator="containsText" text="Pending">
      <formula>NOT(ISERROR(SEARCH("Pending",E1293)))</formula>
    </cfRule>
    <cfRule type="containsText" dxfId="2345" priority="57" operator="containsText" text="Received ">
      <formula>NOT(ISERROR(SEARCH("Received ",E1293)))</formula>
    </cfRule>
  </conditionalFormatting>
  <conditionalFormatting sqref="E1294">
    <cfRule type="containsText" dxfId="2344" priority="826" operator="containsText" text="Pending">
      <formula>NOT(ISERROR(SEARCH("Pending",E1294)))</formula>
    </cfRule>
    <cfRule type="containsText" dxfId="2343" priority="830" operator="containsText" text="Received">
      <formula>NOT(ISERROR(SEARCH("Received",E1294)))</formula>
    </cfRule>
    <cfRule type="containsText" dxfId="2342" priority="829" operator="containsText" text="Pending">
      <formula>NOT(ISERROR(SEARCH("Pending",E1294)))</formula>
    </cfRule>
    <cfRule type="containsText" dxfId="2341" priority="828" operator="containsText" text="Received ">
      <formula>NOT(ISERROR(SEARCH("Received ",E1294)))</formula>
    </cfRule>
    <cfRule type="containsText" dxfId="2340" priority="832" operator="containsText" text="Pending">
      <formula>NOT(ISERROR(SEARCH("Pending",E1294)))</formula>
    </cfRule>
    <cfRule type="containsText" dxfId="2339" priority="821" operator="containsText" text="Received">
      <formula>NOT(ISERROR(SEARCH("Received",E1294)))</formula>
    </cfRule>
    <cfRule type="containsText" dxfId="2338" priority="822" operator="containsText" text="Received ">
      <formula>NOT(ISERROR(SEARCH("Received ",E1294)))</formula>
    </cfRule>
    <cfRule type="containsText" dxfId="2337" priority="824" operator="containsText" text="Received">
      <formula>NOT(ISERROR(SEARCH("Received",E1294)))</formula>
    </cfRule>
    <cfRule type="containsText" dxfId="2336" priority="825" operator="containsText" text="Received ">
      <formula>NOT(ISERROR(SEARCH("Received ",E1294)))</formula>
    </cfRule>
    <cfRule type="containsText" dxfId="2335" priority="823" operator="containsText" text="Pending">
      <formula>NOT(ISERROR(SEARCH("Pending",E1294)))</formula>
    </cfRule>
    <cfRule type="containsText" dxfId="2334" priority="818" operator="containsText" text="Received">
      <formula>NOT(ISERROR(SEARCH("Received",E1294)))</formula>
    </cfRule>
    <cfRule type="containsText" dxfId="2333" priority="819" operator="containsText" text="Received ">
      <formula>NOT(ISERROR(SEARCH("Received ",E1294)))</formula>
    </cfRule>
    <cfRule type="containsText" dxfId="2332" priority="835" operator="containsText" text="Pending">
      <formula>NOT(ISERROR(SEARCH("Pending",E1294)))</formula>
    </cfRule>
    <cfRule type="containsText" dxfId="2331" priority="834" operator="containsText" text="Received ">
      <formula>NOT(ISERROR(SEARCH("Received ",E1294)))</formula>
    </cfRule>
    <cfRule type="containsText" dxfId="2330" priority="833" operator="containsText" text="Received">
      <formula>NOT(ISERROR(SEARCH("Received",E1294)))</formula>
    </cfRule>
    <cfRule type="containsText" dxfId="2329" priority="820" operator="containsText" text="Pending">
      <formula>NOT(ISERROR(SEARCH("Pending",E1294)))</formula>
    </cfRule>
    <cfRule type="containsText" dxfId="2328" priority="831" operator="containsText" text="Received ">
      <formula>NOT(ISERROR(SEARCH("Received ",E1294)))</formula>
    </cfRule>
    <cfRule type="containsText" dxfId="2327" priority="827" operator="containsText" text="Received">
      <formula>NOT(ISERROR(SEARCH("Received",E1294)))</formula>
    </cfRule>
  </conditionalFormatting>
  <conditionalFormatting sqref="E1294:E1295">
    <cfRule type="containsText" dxfId="2326" priority="711" operator="containsText" text="Pending">
      <formula>NOT(ISERROR(SEARCH("Pending",E1294)))</formula>
    </cfRule>
  </conditionalFormatting>
  <conditionalFormatting sqref="E1295">
    <cfRule type="containsText" dxfId="2325" priority="702" operator="containsText" text="Pending">
      <formula>NOT(ISERROR(SEARCH("Pending",E1295)))</formula>
    </cfRule>
    <cfRule type="containsText" dxfId="2324" priority="695" operator="containsText" text="Received ">
      <formula>NOT(ISERROR(SEARCH("Received ",E1295)))</formula>
    </cfRule>
    <cfRule type="containsText" dxfId="2323" priority="709" operator="containsText" text="Received">
      <formula>NOT(ISERROR(SEARCH("Received",E1295)))</formula>
    </cfRule>
    <cfRule type="containsText" dxfId="2322" priority="708" operator="containsText" text="Pending">
      <formula>NOT(ISERROR(SEARCH("Pending",E1295)))</formula>
    </cfRule>
    <cfRule type="containsText" dxfId="2321" priority="707" operator="containsText" text="Received ">
      <formula>NOT(ISERROR(SEARCH("Received ",E1295)))</formula>
    </cfRule>
    <cfRule type="containsText" dxfId="2320" priority="706" operator="containsText" text="Received">
      <formula>NOT(ISERROR(SEARCH("Received",E1295)))</formula>
    </cfRule>
    <cfRule type="containsText" dxfId="2319" priority="705" operator="containsText" text="Pending">
      <formula>NOT(ISERROR(SEARCH("Pending",E1295)))</formula>
    </cfRule>
    <cfRule type="containsText" dxfId="2318" priority="704" operator="containsText" text="Received ">
      <formula>NOT(ISERROR(SEARCH("Received ",E1295)))</formula>
    </cfRule>
    <cfRule type="containsText" dxfId="2317" priority="703" operator="containsText" text="Received">
      <formula>NOT(ISERROR(SEARCH("Received",E1295)))</formula>
    </cfRule>
    <cfRule type="containsText" dxfId="2316" priority="701" operator="containsText" text="Received ">
      <formula>NOT(ISERROR(SEARCH("Received ",E1295)))</formula>
    </cfRule>
    <cfRule type="containsText" dxfId="2315" priority="700" operator="containsText" text="Received">
      <formula>NOT(ISERROR(SEARCH("Received",E1295)))</formula>
    </cfRule>
    <cfRule type="containsText" dxfId="2314" priority="699" operator="containsText" text="Pending">
      <formula>NOT(ISERROR(SEARCH("Pending",E1295)))</formula>
    </cfRule>
    <cfRule type="containsText" dxfId="2313" priority="698" operator="containsText" text="Received ">
      <formula>NOT(ISERROR(SEARCH("Received ",E1295)))</formula>
    </cfRule>
    <cfRule type="containsText" dxfId="2312" priority="697" operator="containsText" text="Received">
      <formula>NOT(ISERROR(SEARCH("Received",E1295)))</formula>
    </cfRule>
    <cfRule type="containsText" dxfId="2311" priority="696" operator="containsText" text="Pending">
      <formula>NOT(ISERROR(SEARCH("Pending",E1295)))</formula>
    </cfRule>
    <cfRule type="containsText" dxfId="2310" priority="694" operator="containsText" text="Received">
      <formula>NOT(ISERROR(SEARCH("Received",E1295)))</formula>
    </cfRule>
    <cfRule type="containsText" dxfId="2309" priority="710" operator="containsText" text="Received ">
      <formula>NOT(ISERROR(SEARCH("Received ",E1295)))</formula>
    </cfRule>
  </conditionalFormatting>
  <conditionalFormatting sqref="E1295:E1296">
    <cfRule type="containsText" dxfId="2308" priority="400" operator="containsText" text="Pending">
      <formula>NOT(ISERROR(SEARCH("Pending",E1295)))</formula>
    </cfRule>
  </conditionalFormatting>
  <conditionalFormatting sqref="E1296">
    <cfRule type="containsText" dxfId="2307" priority="399" operator="containsText" text="Received ">
      <formula>NOT(ISERROR(SEARCH("Received ",E1296)))</formula>
    </cfRule>
    <cfRule type="containsText" dxfId="2306" priority="391" operator="containsText" text="Pending">
      <formula>NOT(ISERROR(SEARCH("Pending",E1296)))</formula>
    </cfRule>
    <cfRule type="containsText" dxfId="2305" priority="390" operator="containsText" text="Received ">
      <formula>NOT(ISERROR(SEARCH("Received ",E1296)))</formula>
    </cfRule>
    <cfRule type="containsText" dxfId="2304" priority="384" operator="containsText" text="Received ">
      <formula>NOT(ISERROR(SEARCH("Received ",E1296)))</formula>
    </cfRule>
    <cfRule type="containsText" dxfId="2303" priority="389" operator="containsText" text="Received">
      <formula>NOT(ISERROR(SEARCH("Received",E1296)))</formula>
    </cfRule>
    <cfRule type="containsText" dxfId="2302" priority="392" operator="containsText" text="Received">
      <formula>NOT(ISERROR(SEARCH("Received",E1296)))</formula>
    </cfRule>
    <cfRule type="containsText" dxfId="2301" priority="388" operator="containsText" text="Pending">
      <formula>NOT(ISERROR(SEARCH("Pending",E1296)))</formula>
    </cfRule>
    <cfRule type="containsText" dxfId="2300" priority="387" operator="containsText" text="Received ">
      <formula>NOT(ISERROR(SEARCH("Received ",E1296)))</formula>
    </cfRule>
    <cfRule type="containsText" dxfId="2299" priority="380" operator="containsText" text="Pending">
      <formula>NOT(ISERROR(SEARCH("Pending",E1296)))</formula>
    </cfRule>
    <cfRule type="containsText" dxfId="2298" priority="398" operator="containsText" text="Received">
      <formula>NOT(ISERROR(SEARCH("Received",E1296)))</formula>
    </cfRule>
    <cfRule type="containsText" dxfId="2297" priority="397" operator="containsText" text="Pending">
      <formula>NOT(ISERROR(SEARCH("Pending",E1296)))</formula>
    </cfRule>
    <cfRule type="containsText" dxfId="2296" priority="396" operator="containsText" text="Received ">
      <formula>NOT(ISERROR(SEARCH("Received ",E1296)))</formula>
    </cfRule>
    <cfRule type="containsText" dxfId="2295" priority="395" operator="containsText" text="Received">
      <formula>NOT(ISERROR(SEARCH("Received",E1296)))</formula>
    </cfRule>
    <cfRule type="containsText" dxfId="2294" priority="394" operator="containsText" text="Pending">
      <formula>NOT(ISERROR(SEARCH("Pending",E1296)))</formula>
    </cfRule>
    <cfRule type="containsText" dxfId="2293" priority="393" operator="containsText" text="Received ">
      <formula>NOT(ISERROR(SEARCH("Received ",E1296)))</formula>
    </cfRule>
    <cfRule type="containsText" dxfId="2292" priority="386" operator="containsText" text="Received">
      <formula>NOT(ISERROR(SEARCH("Received",E1296)))</formula>
    </cfRule>
    <cfRule type="containsText" dxfId="2291" priority="385" operator="containsText" text="Pending">
      <formula>NOT(ISERROR(SEARCH("Pending",E1296)))</formula>
    </cfRule>
    <cfRule type="containsText" dxfId="2290" priority="383" operator="containsText" text="Received">
      <formula>NOT(ISERROR(SEARCH("Received",E1296)))</formula>
    </cfRule>
  </conditionalFormatting>
  <conditionalFormatting sqref="H1">
    <cfRule type="duplicateValues" dxfId="2289" priority="12269"/>
    <cfRule type="duplicateValues" dxfId="2288" priority="12270"/>
    <cfRule type="duplicateValues" dxfId="2287" priority="12271"/>
    <cfRule type="duplicateValues" dxfId="2286" priority="12272"/>
    <cfRule type="duplicateValues" dxfId="2285" priority="12273"/>
    <cfRule type="duplicateValues" dxfId="2284" priority="12274"/>
    <cfRule type="duplicateValues" dxfId="2283" priority="12275"/>
    <cfRule type="duplicateValues" dxfId="2282" priority="12276"/>
    <cfRule type="duplicateValues" dxfId="2281" priority="12278"/>
    <cfRule type="duplicateValues" dxfId="2280" priority="12283"/>
    <cfRule type="duplicateValues" dxfId="2279" priority="12277"/>
    <cfRule type="duplicateValues" dxfId="2278" priority="12284"/>
    <cfRule type="duplicateValues" dxfId="2277" priority="12280"/>
    <cfRule type="duplicateValues" dxfId="2276" priority="12281"/>
    <cfRule type="duplicateValues" dxfId="2275" priority="12282"/>
    <cfRule type="duplicateValues" dxfId="2274" priority="12279"/>
  </conditionalFormatting>
  <conditionalFormatting sqref="H1:H1048576">
    <cfRule type="duplicateValues" dxfId="2273" priority="1"/>
  </conditionalFormatting>
  <conditionalFormatting sqref="H443">
    <cfRule type="duplicateValues" dxfId="2272" priority="9582"/>
  </conditionalFormatting>
  <conditionalFormatting sqref="H1011">
    <cfRule type="duplicateValues" dxfId="2271" priority="7241"/>
  </conditionalFormatting>
  <conditionalFormatting sqref="H1210">
    <cfRule type="duplicateValues" dxfId="2270" priority="6215"/>
    <cfRule type="duplicateValues" dxfId="2269" priority="6214"/>
    <cfRule type="duplicateValues" dxfId="2268" priority="6213"/>
    <cfRule type="duplicateValues" dxfId="2267" priority="6212"/>
    <cfRule type="duplicateValues" dxfId="2266" priority="6211"/>
    <cfRule type="duplicateValues" dxfId="2265" priority="6209"/>
    <cfRule type="duplicateValues" dxfId="2264" priority="6187"/>
    <cfRule type="duplicateValues" dxfId="2263" priority="6188"/>
    <cfRule type="duplicateValues" dxfId="2262" priority="6189"/>
    <cfRule type="duplicateValues" dxfId="2261" priority="6190"/>
    <cfRule type="duplicateValues" dxfId="2260" priority="6191"/>
    <cfRule type="duplicateValues" dxfId="2259" priority="6208"/>
    <cfRule type="duplicateValues" dxfId="2258" priority="6192"/>
    <cfRule type="duplicateValues" dxfId="2257" priority="6193"/>
    <cfRule type="duplicateValues" dxfId="2256" priority="6207"/>
    <cfRule type="duplicateValues" dxfId="2255" priority="6194"/>
    <cfRule type="duplicateValues" dxfId="2254" priority="6196"/>
    <cfRule type="duplicateValues" dxfId="2253" priority="6197"/>
    <cfRule type="duplicateValues" dxfId="2252" priority="6206"/>
    <cfRule type="duplicateValues" dxfId="2251" priority="6198"/>
    <cfRule type="duplicateValues" dxfId="2250" priority="6205"/>
    <cfRule type="duplicateValues" dxfId="2249" priority="6216"/>
    <cfRule type="duplicateValues" dxfId="2248" priority="6204"/>
    <cfRule type="duplicateValues" dxfId="2247" priority="6185"/>
    <cfRule type="duplicateValues" dxfId="2246" priority="6186"/>
    <cfRule type="duplicateValues" dxfId="2245" priority="6203"/>
    <cfRule type="duplicateValues" dxfId="2244" priority="6202"/>
    <cfRule type="duplicateValues" dxfId="2243" priority="6210"/>
    <cfRule type="duplicateValues" dxfId="2242" priority="6199"/>
    <cfRule type="duplicateValues" dxfId="2241" priority="6217"/>
    <cfRule type="duplicateValues" dxfId="2240" priority="6218"/>
    <cfRule type="duplicateValues" dxfId="2239" priority="6219"/>
    <cfRule type="duplicateValues" dxfId="2238" priority="6220"/>
    <cfRule type="duplicateValues" dxfId="2237" priority="6221"/>
    <cfRule type="duplicateValues" dxfId="2236" priority="6222"/>
    <cfRule type="duplicateValues" dxfId="2235" priority="6223"/>
    <cfRule type="duplicateValues" dxfId="2234" priority="6195"/>
  </conditionalFormatting>
  <conditionalFormatting sqref="H1211">
    <cfRule type="duplicateValues" dxfId="2233" priority="6144"/>
    <cfRule type="duplicateValues" dxfId="2232" priority="6145"/>
    <cfRule type="duplicateValues" dxfId="2231" priority="6146"/>
    <cfRule type="duplicateValues" dxfId="2230" priority="6147"/>
    <cfRule type="duplicateValues" dxfId="2229" priority="6148"/>
    <cfRule type="duplicateValues" dxfId="2228" priority="6149"/>
    <cfRule type="duplicateValues" dxfId="2227" priority="6150"/>
    <cfRule type="duplicateValues" dxfId="2226" priority="6151"/>
    <cfRule type="duplicateValues" dxfId="2225" priority="6152"/>
    <cfRule type="duplicateValues" dxfId="2224" priority="6153"/>
    <cfRule type="duplicateValues" dxfId="2223" priority="6154"/>
    <cfRule type="duplicateValues" dxfId="2222" priority="6155"/>
    <cfRule type="duplicateValues" dxfId="2221" priority="6156"/>
    <cfRule type="duplicateValues" dxfId="2220" priority="6157"/>
    <cfRule type="duplicateValues" dxfId="2219" priority="6158"/>
    <cfRule type="duplicateValues" dxfId="2218" priority="6159"/>
    <cfRule type="duplicateValues" dxfId="2217" priority="6160"/>
    <cfRule type="duplicateValues" dxfId="2216" priority="6161"/>
    <cfRule type="duplicateValues" dxfId="2215" priority="6162"/>
    <cfRule type="duplicateValues" dxfId="2214" priority="6163"/>
    <cfRule type="duplicateValues" dxfId="2213" priority="6164"/>
    <cfRule type="duplicateValues" dxfId="2212" priority="6165"/>
    <cfRule type="duplicateValues" dxfId="2211" priority="6132"/>
    <cfRule type="duplicateValues" dxfId="2210" priority="6127"/>
    <cfRule type="duplicateValues" dxfId="2209" priority="6128"/>
    <cfRule type="duplicateValues" dxfId="2208" priority="6129"/>
    <cfRule type="duplicateValues" dxfId="2207" priority="6130"/>
    <cfRule type="duplicateValues" dxfId="2206" priority="6131"/>
    <cfRule type="duplicateValues" dxfId="2205" priority="6133"/>
    <cfRule type="duplicateValues" dxfId="2204" priority="6134"/>
    <cfRule type="duplicateValues" dxfId="2203" priority="6135"/>
    <cfRule type="duplicateValues" dxfId="2202" priority="6136"/>
    <cfRule type="duplicateValues" dxfId="2201" priority="6137"/>
    <cfRule type="duplicateValues" dxfId="2200" priority="6138"/>
    <cfRule type="duplicateValues" dxfId="2199" priority="6139"/>
    <cfRule type="duplicateValues" dxfId="2198" priority="6140"/>
    <cfRule type="duplicateValues" dxfId="2197" priority="6141"/>
  </conditionalFormatting>
  <conditionalFormatting sqref="H1212">
    <cfRule type="duplicateValues" dxfId="2196" priority="6090"/>
    <cfRule type="duplicateValues" dxfId="2195" priority="6072"/>
    <cfRule type="duplicateValues" dxfId="2194" priority="6089"/>
    <cfRule type="duplicateValues" dxfId="2193" priority="6088"/>
    <cfRule type="duplicateValues" dxfId="2192" priority="6087"/>
    <cfRule type="duplicateValues" dxfId="2191" priority="6083"/>
    <cfRule type="duplicateValues" dxfId="2190" priority="6082"/>
    <cfRule type="duplicateValues" dxfId="2189" priority="6081"/>
    <cfRule type="duplicateValues" dxfId="2188" priority="6080"/>
    <cfRule type="duplicateValues" dxfId="2187" priority="6091"/>
    <cfRule type="duplicateValues" dxfId="2186" priority="6107"/>
    <cfRule type="duplicateValues" dxfId="2185" priority="6106"/>
    <cfRule type="duplicateValues" dxfId="2184" priority="6105"/>
    <cfRule type="duplicateValues" dxfId="2183" priority="6104"/>
    <cfRule type="duplicateValues" dxfId="2182" priority="6103"/>
    <cfRule type="duplicateValues" dxfId="2181" priority="6102"/>
    <cfRule type="duplicateValues" dxfId="2180" priority="6101"/>
    <cfRule type="duplicateValues" dxfId="2179" priority="6100"/>
    <cfRule type="duplicateValues" dxfId="2178" priority="6079"/>
    <cfRule type="duplicateValues" dxfId="2177" priority="6078"/>
    <cfRule type="duplicateValues" dxfId="2176" priority="6077"/>
    <cfRule type="duplicateValues" dxfId="2175" priority="6076"/>
    <cfRule type="duplicateValues" dxfId="2174" priority="6075"/>
    <cfRule type="duplicateValues" dxfId="2173" priority="6074"/>
    <cfRule type="duplicateValues" dxfId="2172" priority="6099"/>
    <cfRule type="duplicateValues" dxfId="2171" priority="6098"/>
    <cfRule type="duplicateValues" dxfId="2170" priority="6097"/>
    <cfRule type="duplicateValues" dxfId="2169" priority="6096"/>
    <cfRule type="duplicateValues" dxfId="2168" priority="6095"/>
    <cfRule type="duplicateValues" dxfId="2167" priority="6094"/>
    <cfRule type="duplicateValues" dxfId="2166" priority="6093"/>
    <cfRule type="duplicateValues" dxfId="2165" priority="6092"/>
    <cfRule type="duplicateValues" dxfId="2164" priority="6073"/>
    <cfRule type="duplicateValues" dxfId="2163" priority="6071"/>
    <cfRule type="duplicateValues" dxfId="2162" priority="6070"/>
    <cfRule type="duplicateValues" dxfId="2161" priority="6069"/>
    <cfRule type="duplicateValues" dxfId="2160" priority="6086"/>
  </conditionalFormatting>
  <conditionalFormatting sqref="H1213">
    <cfRule type="duplicateValues" dxfId="2159" priority="6024"/>
    <cfRule type="duplicateValues" dxfId="2158" priority="6023"/>
    <cfRule type="duplicateValues" dxfId="2157" priority="6022"/>
    <cfRule type="duplicateValues" dxfId="2156" priority="6021"/>
    <cfRule type="duplicateValues" dxfId="2155" priority="6020"/>
    <cfRule type="duplicateValues" dxfId="2154" priority="6045"/>
    <cfRule type="duplicateValues" dxfId="2153" priority="6018"/>
    <cfRule type="duplicateValues" dxfId="2152" priority="6017"/>
    <cfRule type="duplicateValues" dxfId="2151" priority="6016"/>
    <cfRule type="duplicateValues" dxfId="2150" priority="6015"/>
    <cfRule type="duplicateValues" dxfId="2149" priority="6014"/>
    <cfRule type="duplicateValues" dxfId="2148" priority="6013"/>
    <cfRule type="duplicateValues" dxfId="2147" priority="6012"/>
    <cfRule type="duplicateValues" dxfId="2146" priority="6011"/>
    <cfRule type="duplicateValues" dxfId="2145" priority="6044"/>
    <cfRule type="duplicateValues" dxfId="2144" priority="6043"/>
    <cfRule type="duplicateValues" dxfId="2143" priority="6042"/>
    <cfRule type="duplicateValues" dxfId="2142" priority="6041"/>
    <cfRule type="duplicateValues" dxfId="2141" priority="6040"/>
    <cfRule type="duplicateValues" dxfId="2140" priority="6019"/>
    <cfRule type="duplicateValues" dxfId="2139" priority="6029"/>
    <cfRule type="duplicateValues" dxfId="2138" priority="6028"/>
    <cfRule type="duplicateValues" dxfId="2137" priority="6030"/>
    <cfRule type="duplicateValues" dxfId="2136" priority="6039"/>
    <cfRule type="duplicateValues" dxfId="2135" priority="6038"/>
    <cfRule type="duplicateValues" dxfId="2134" priority="6037"/>
    <cfRule type="duplicateValues" dxfId="2133" priority="6036"/>
    <cfRule type="duplicateValues" dxfId="2132" priority="6031"/>
    <cfRule type="duplicateValues" dxfId="2131" priority="6035"/>
    <cfRule type="duplicateValues" dxfId="2130" priority="6034"/>
    <cfRule type="duplicateValues" dxfId="2129" priority="6033"/>
    <cfRule type="duplicateValues" dxfId="2128" priority="6049"/>
    <cfRule type="duplicateValues" dxfId="2127" priority="6048"/>
    <cfRule type="duplicateValues" dxfId="2126" priority="6032"/>
    <cfRule type="duplicateValues" dxfId="2125" priority="6047"/>
    <cfRule type="duplicateValues" dxfId="2124" priority="6046"/>
    <cfRule type="duplicateValues" dxfId="2123" priority="6025"/>
  </conditionalFormatting>
  <conditionalFormatting sqref="H1214">
    <cfRule type="duplicateValues" dxfId="2122" priority="5960"/>
    <cfRule type="duplicateValues" dxfId="2121" priority="5959"/>
    <cfRule type="duplicateValues" dxfId="2120" priority="5958"/>
    <cfRule type="duplicateValues" dxfId="2119" priority="5957"/>
    <cfRule type="duplicateValues" dxfId="2118" priority="5956"/>
    <cfRule type="duplicateValues" dxfId="2117" priority="5955"/>
    <cfRule type="duplicateValues" dxfId="2116" priority="5962"/>
    <cfRule type="duplicateValues" dxfId="2115" priority="5954"/>
    <cfRule type="duplicateValues" dxfId="2114" priority="5983"/>
    <cfRule type="duplicateValues" dxfId="2113" priority="5982"/>
    <cfRule type="duplicateValues" dxfId="2112" priority="5981"/>
    <cfRule type="duplicateValues" dxfId="2111" priority="5980"/>
    <cfRule type="duplicateValues" dxfId="2110" priority="5979"/>
    <cfRule type="duplicateValues" dxfId="2109" priority="5976"/>
    <cfRule type="duplicateValues" dxfId="2108" priority="5977"/>
    <cfRule type="duplicateValues" dxfId="2107" priority="5972"/>
    <cfRule type="duplicateValues" dxfId="2106" priority="5973"/>
    <cfRule type="duplicateValues" dxfId="2105" priority="5974"/>
    <cfRule type="duplicateValues" dxfId="2104" priority="5975"/>
    <cfRule type="duplicateValues" dxfId="2103" priority="5953"/>
    <cfRule type="duplicateValues" dxfId="2102" priority="5978"/>
    <cfRule type="duplicateValues" dxfId="2101" priority="5989"/>
    <cfRule type="duplicateValues" dxfId="2100" priority="5990"/>
    <cfRule type="duplicateValues" dxfId="2099" priority="5991"/>
    <cfRule type="duplicateValues" dxfId="2098" priority="5988"/>
    <cfRule type="duplicateValues" dxfId="2097" priority="5987"/>
    <cfRule type="duplicateValues" dxfId="2096" priority="5986"/>
    <cfRule type="duplicateValues" dxfId="2095" priority="5985"/>
    <cfRule type="duplicateValues" dxfId="2094" priority="5984"/>
    <cfRule type="duplicateValues" dxfId="2093" priority="5971"/>
    <cfRule type="duplicateValues" dxfId="2092" priority="5970"/>
    <cfRule type="duplicateValues" dxfId="2091" priority="5967"/>
    <cfRule type="duplicateValues" dxfId="2090" priority="5966"/>
    <cfRule type="duplicateValues" dxfId="2089" priority="5965"/>
    <cfRule type="duplicateValues" dxfId="2088" priority="5964"/>
    <cfRule type="duplicateValues" dxfId="2087" priority="5963"/>
    <cfRule type="duplicateValues" dxfId="2086" priority="5961"/>
  </conditionalFormatting>
  <conditionalFormatting sqref="H1215">
    <cfRule type="duplicateValues" dxfId="2085" priority="5912"/>
    <cfRule type="duplicateValues" dxfId="2084" priority="5922"/>
    <cfRule type="duplicateValues" dxfId="2083" priority="5898"/>
    <cfRule type="duplicateValues" dxfId="2082" priority="5897"/>
    <cfRule type="duplicateValues" dxfId="2081" priority="5896"/>
    <cfRule type="duplicateValues" dxfId="2080" priority="5895"/>
    <cfRule type="duplicateValues" dxfId="2079" priority="5908"/>
    <cfRule type="duplicateValues" dxfId="2078" priority="5933"/>
    <cfRule type="duplicateValues" dxfId="2077" priority="5932"/>
    <cfRule type="duplicateValues" dxfId="2076" priority="5900"/>
    <cfRule type="duplicateValues" dxfId="2075" priority="5931"/>
    <cfRule type="duplicateValues" dxfId="2074" priority="5930"/>
    <cfRule type="duplicateValues" dxfId="2073" priority="5929"/>
    <cfRule type="duplicateValues" dxfId="2072" priority="5928"/>
    <cfRule type="duplicateValues" dxfId="2071" priority="5927"/>
    <cfRule type="duplicateValues" dxfId="2070" priority="5926"/>
    <cfRule type="duplicateValues" dxfId="2069" priority="5925"/>
    <cfRule type="duplicateValues" dxfId="2068" priority="5924"/>
    <cfRule type="duplicateValues" dxfId="2067" priority="5923"/>
    <cfRule type="duplicateValues" dxfId="2066" priority="5921"/>
    <cfRule type="duplicateValues" dxfId="2065" priority="5920"/>
    <cfRule type="duplicateValues" dxfId="2064" priority="5919"/>
    <cfRule type="duplicateValues" dxfId="2063" priority="5918"/>
    <cfRule type="duplicateValues" dxfId="2062" priority="5917"/>
    <cfRule type="duplicateValues" dxfId="2061" priority="5916"/>
    <cfRule type="duplicateValues" dxfId="2060" priority="5915"/>
    <cfRule type="duplicateValues" dxfId="2059" priority="5914"/>
    <cfRule type="duplicateValues" dxfId="2058" priority="5913"/>
    <cfRule type="duplicateValues" dxfId="2057" priority="5899"/>
    <cfRule type="duplicateValues" dxfId="2056" priority="5909"/>
    <cfRule type="duplicateValues" dxfId="2055" priority="5907"/>
    <cfRule type="duplicateValues" dxfId="2054" priority="5906"/>
    <cfRule type="duplicateValues" dxfId="2053" priority="5905"/>
    <cfRule type="duplicateValues" dxfId="2052" priority="5904"/>
    <cfRule type="duplicateValues" dxfId="2051" priority="5903"/>
    <cfRule type="duplicateValues" dxfId="2050" priority="5902"/>
    <cfRule type="duplicateValues" dxfId="2049" priority="5901"/>
  </conditionalFormatting>
  <conditionalFormatting sqref="H1216">
    <cfRule type="duplicateValues" dxfId="2048" priority="5839"/>
    <cfRule type="duplicateValues" dxfId="2047" priority="5840"/>
    <cfRule type="duplicateValues" dxfId="2046" priority="5841"/>
    <cfRule type="duplicateValues" dxfId="2045" priority="5842"/>
    <cfRule type="duplicateValues" dxfId="2044" priority="5843"/>
    <cfRule type="duplicateValues" dxfId="2043" priority="5844"/>
    <cfRule type="duplicateValues" dxfId="2042" priority="5845"/>
    <cfRule type="duplicateValues" dxfId="2041" priority="5867"/>
    <cfRule type="duplicateValues" dxfId="2040" priority="5857"/>
    <cfRule type="duplicateValues" dxfId="2039" priority="5866"/>
    <cfRule type="duplicateValues" dxfId="2038" priority="5864"/>
    <cfRule type="duplicateValues" dxfId="2037" priority="5863"/>
    <cfRule type="duplicateValues" dxfId="2036" priority="5862"/>
    <cfRule type="duplicateValues" dxfId="2035" priority="5861"/>
    <cfRule type="duplicateValues" dxfId="2034" priority="5860"/>
    <cfRule type="duplicateValues" dxfId="2033" priority="5859"/>
    <cfRule type="duplicateValues" dxfId="2032" priority="5858"/>
    <cfRule type="duplicateValues" dxfId="2031" priority="5856"/>
    <cfRule type="duplicateValues" dxfId="2030" priority="5855"/>
    <cfRule type="duplicateValues" dxfId="2029" priority="5854"/>
    <cfRule type="duplicateValues" dxfId="2028" priority="5853"/>
    <cfRule type="duplicateValues" dxfId="2027" priority="5850"/>
    <cfRule type="duplicateValues" dxfId="2026" priority="5849"/>
    <cfRule type="duplicateValues" dxfId="2025" priority="5848"/>
    <cfRule type="duplicateValues" dxfId="2024" priority="5847"/>
    <cfRule type="duplicateValues" dxfId="2023" priority="5865"/>
    <cfRule type="duplicateValues" dxfId="2022" priority="5874"/>
    <cfRule type="duplicateValues" dxfId="2021" priority="5873"/>
    <cfRule type="duplicateValues" dxfId="2020" priority="5838"/>
    <cfRule type="duplicateValues" dxfId="2019" priority="5872"/>
    <cfRule type="duplicateValues" dxfId="2018" priority="5871"/>
    <cfRule type="duplicateValues" dxfId="2017" priority="5870"/>
    <cfRule type="duplicateValues" dxfId="2016" priority="5846"/>
    <cfRule type="duplicateValues" dxfId="2015" priority="5835"/>
    <cfRule type="duplicateValues" dxfId="2014" priority="5836"/>
    <cfRule type="duplicateValues" dxfId="2013" priority="5869"/>
    <cfRule type="duplicateValues" dxfId="2012" priority="5868"/>
    <cfRule type="duplicateValues" dxfId="2011" priority="5837"/>
  </conditionalFormatting>
  <conditionalFormatting sqref="H1217">
    <cfRule type="duplicateValues" dxfId="2010" priority="5806"/>
    <cfRule type="duplicateValues" dxfId="2009" priority="5805"/>
    <cfRule type="duplicateValues" dxfId="2008" priority="5804"/>
    <cfRule type="duplicateValues" dxfId="2007" priority="5803"/>
    <cfRule type="duplicateValues" dxfId="2006" priority="5802"/>
    <cfRule type="duplicateValues" dxfId="2005" priority="5800"/>
    <cfRule type="duplicateValues" dxfId="2004" priority="5779"/>
    <cfRule type="duplicateValues" dxfId="2003" priority="5801"/>
    <cfRule type="duplicateValues" dxfId="2002" priority="5799"/>
    <cfRule type="duplicateValues" dxfId="2001" priority="5798"/>
    <cfRule type="duplicateValues" dxfId="2000" priority="5797"/>
    <cfRule type="duplicateValues" dxfId="1999" priority="5796"/>
    <cfRule type="duplicateValues" dxfId="1998" priority="5795"/>
    <cfRule type="duplicateValues" dxfId="1997" priority="5794"/>
    <cfRule type="duplicateValues" dxfId="1996" priority="5793"/>
    <cfRule type="duplicateValues" dxfId="1995" priority="5790"/>
    <cfRule type="duplicateValues" dxfId="1994" priority="5789"/>
    <cfRule type="duplicateValues" dxfId="1993" priority="5788"/>
    <cfRule type="duplicateValues" dxfId="1992" priority="5787"/>
    <cfRule type="duplicateValues" dxfId="1991" priority="5786"/>
    <cfRule type="duplicateValues" dxfId="1990" priority="5785"/>
    <cfRule type="duplicateValues" dxfId="1989" priority="5784"/>
    <cfRule type="duplicateValues" dxfId="1988" priority="5783"/>
    <cfRule type="duplicateValues" dxfId="1987" priority="5782"/>
    <cfRule type="duplicateValues" dxfId="1986" priority="5781"/>
    <cfRule type="duplicateValues" dxfId="1985" priority="5780"/>
    <cfRule type="duplicateValues" dxfId="1984" priority="5778"/>
    <cfRule type="duplicateValues" dxfId="1983" priority="5777"/>
    <cfRule type="duplicateValues" dxfId="1982" priority="5776"/>
    <cfRule type="duplicateValues" dxfId="1981" priority="5775"/>
    <cfRule type="duplicateValues" dxfId="1980" priority="5774"/>
    <cfRule type="duplicateValues" dxfId="1979" priority="5814"/>
    <cfRule type="duplicateValues" dxfId="1978" priority="5813"/>
    <cfRule type="duplicateValues" dxfId="1977" priority="5812"/>
    <cfRule type="duplicateValues" dxfId="1976" priority="5811"/>
    <cfRule type="duplicateValues" dxfId="1975" priority="5810"/>
    <cfRule type="duplicateValues" dxfId="1974" priority="5809"/>
    <cfRule type="duplicateValues" dxfId="1973" priority="5808"/>
    <cfRule type="duplicateValues" dxfId="1972" priority="5807"/>
  </conditionalFormatting>
  <conditionalFormatting sqref="H1218">
    <cfRule type="duplicateValues" dxfId="1971" priority="5720"/>
    <cfRule type="duplicateValues" dxfId="1970" priority="5714"/>
    <cfRule type="duplicateValues" dxfId="1969" priority="5715"/>
    <cfRule type="duplicateValues" dxfId="1968" priority="5716"/>
    <cfRule type="duplicateValues" dxfId="1967" priority="5717"/>
    <cfRule type="duplicateValues" dxfId="1966" priority="5718"/>
    <cfRule type="duplicateValues" dxfId="1965" priority="5726"/>
    <cfRule type="duplicateValues" dxfId="1964" priority="5727"/>
    <cfRule type="duplicateValues" dxfId="1963" priority="5719"/>
    <cfRule type="duplicateValues" dxfId="1962" priority="5730"/>
    <cfRule type="duplicateValues" dxfId="1961" priority="5728"/>
    <cfRule type="duplicateValues" dxfId="1960" priority="5729"/>
    <cfRule type="duplicateValues" dxfId="1959" priority="5721"/>
    <cfRule type="duplicateValues" dxfId="1958" priority="5722"/>
    <cfRule type="duplicateValues" dxfId="1957" priority="5723"/>
    <cfRule type="duplicateValues" dxfId="1956" priority="5724"/>
    <cfRule type="duplicateValues" dxfId="1955" priority="5725"/>
    <cfRule type="duplicateValues" dxfId="1954" priority="5749"/>
    <cfRule type="duplicateValues" dxfId="1953" priority="5733"/>
    <cfRule type="duplicateValues" dxfId="1952" priority="5734"/>
    <cfRule type="duplicateValues" dxfId="1951" priority="5735"/>
    <cfRule type="duplicateValues" dxfId="1950" priority="5736"/>
    <cfRule type="duplicateValues" dxfId="1949" priority="5737"/>
    <cfRule type="duplicateValues" dxfId="1948" priority="5738"/>
    <cfRule type="duplicateValues" dxfId="1947" priority="5739"/>
    <cfRule type="duplicateValues" dxfId="1946" priority="5740"/>
    <cfRule type="duplicateValues" dxfId="1945" priority="5741"/>
    <cfRule type="duplicateValues" dxfId="1944" priority="5742"/>
    <cfRule type="duplicateValues" dxfId="1943" priority="5743"/>
    <cfRule type="duplicateValues" dxfId="1942" priority="5744"/>
    <cfRule type="duplicateValues" dxfId="1941" priority="5745"/>
    <cfRule type="duplicateValues" dxfId="1940" priority="5746"/>
    <cfRule type="duplicateValues" dxfId="1939" priority="5747"/>
    <cfRule type="duplicateValues" dxfId="1938" priority="5748"/>
    <cfRule type="duplicateValues" dxfId="1937" priority="5750"/>
    <cfRule type="duplicateValues" dxfId="1936" priority="5751"/>
    <cfRule type="duplicateValues" dxfId="1935" priority="5752"/>
    <cfRule type="duplicateValues" dxfId="1934" priority="5753"/>
    <cfRule type="duplicateValues" dxfId="1933" priority="5754"/>
  </conditionalFormatting>
  <conditionalFormatting sqref="H1219">
    <cfRule type="duplicateValues" dxfId="1932" priority="5692"/>
    <cfRule type="duplicateValues" dxfId="1931" priority="5655"/>
    <cfRule type="duplicateValues" dxfId="1930" priority="5656"/>
    <cfRule type="duplicateValues" dxfId="1929" priority="5657"/>
    <cfRule type="duplicateValues" dxfId="1928" priority="5658"/>
    <cfRule type="duplicateValues" dxfId="1927" priority="5659"/>
    <cfRule type="duplicateValues" dxfId="1926" priority="5660"/>
    <cfRule type="duplicateValues" dxfId="1925" priority="5661"/>
    <cfRule type="duplicateValues" dxfId="1924" priority="5662"/>
    <cfRule type="duplicateValues" dxfId="1923" priority="5663"/>
    <cfRule type="duplicateValues" dxfId="1922" priority="5664"/>
    <cfRule type="duplicateValues" dxfId="1921" priority="5665"/>
    <cfRule type="duplicateValues" dxfId="1920" priority="5666"/>
    <cfRule type="duplicateValues" dxfId="1919" priority="5667"/>
    <cfRule type="duplicateValues" dxfId="1918" priority="5668"/>
    <cfRule type="duplicateValues" dxfId="1917" priority="5669"/>
    <cfRule type="duplicateValues" dxfId="1916" priority="5670"/>
    <cfRule type="duplicateValues" dxfId="1915" priority="5673"/>
    <cfRule type="duplicateValues" dxfId="1914" priority="5674"/>
    <cfRule type="duplicateValues" dxfId="1913" priority="5675"/>
    <cfRule type="duplicateValues" dxfId="1912" priority="5676"/>
    <cfRule type="duplicateValues" dxfId="1911" priority="5677"/>
    <cfRule type="duplicateValues" dxfId="1910" priority="5678"/>
    <cfRule type="duplicateValues" dxfId="1909" priority="5679"/>
    <cfRule type="duplicateValues" dxfId="1908" priority="5680"/>
    <cfRule type="duplicateValues" dxfId="1907" priority="5681"/>
    <cfRule type="duplicateValues" dxfId="1906" priority="5682"/>
    <cfRule type="duplicateValues" dxfId="1905" priority="5683"/>
    <cfRule type="duplicateValues" dxfId="1904" priority="5684"/>
    <cfRule type="duplicateValues" dxfId="1903" priority="5685"/>
    <cfRule type="duplicateValues" dxfId="1902" priority="5686"/>
    <cfRule type="duplicateValues" dxfId="1901" priority="5687"/>
    <cfRule type="duplicateValues" dxfId="1900" priority="5688"/>
    <cfRule type="duplicateValues" dxfId="1899" priority="5693"/>
    <cfRule type="duplicateValues" dxfId="1898" priority="5694"/>
    <cfRule type="duplicateValues" dxfId="1897" priority="5689"/>
    <cfRule type="duplicateValues" dxfId="1896" priority="5690"/>
    <cfRule type="duplicateValues" dxfId="1895" priority="5691"/>
    <cfRule type="duplicateValues" dxfId="1894" priority="5654"/>
  </conditionalFormatting>
  <conditionalFormatting sqref="H1220">
    <cfRule type="duplicateValues" dxfId="1893" priority="5616"/>
    <cfRule type="duplicateValues" dxfId="1892" priority="5617"/>
    <cfRule type="duplicateValues" dxfId="1891" priority="5618"/>
    <cfRule type="duplicateValues" dxfId="1890" priority="5619"/>
    <cfRule type="duplicateValues" dxfId="1889" priority="5620"/>
    <cfRule type="duplicateValues" dxfId="1888" priority="5621"/>
    <cfRule type="duplicateValues" dxfId="1887" priority="5622"/>
    <cfRule type="duplicateValues" dxfId="1886" priority="5623"/>
    <cfRule type="duplicateValues" dxfId="1885" priority="5624"/>
    <cfRule type="duplicateValues" dxfId="1884" priority="5625"/>
    <cfRule type="duplicateValues" dxfId="1883" priority="5626"/>
    <cfRule type="duplicateValues" dxfId="1882" priority="5627"/>
    <cfRule type="duplicateValues" dxfId="1881" priority="5628"/>
    <cfRule type="duplicateValues" dxfId="1880" priority="5629"/>
    <cfRule type="duplicateValues" dxfId="1879" priority="5630"/>
    <cfRule type="duplicateValues" dxfId="1878" priority="5631"/>
    <cfRule type="duplicateValues" dxfId="1877" priority="5632"/>
    <cfRule type="duplicateValues" dxfId="1876" priority="5633"/>
    <cfRule type="duplicateValues" dxfId="1875" priority="5634"/>
    <cfRule type="duplicateValues" dxfId="1874" priority="5615"/>
    <cfRule type="duplicateValues" dxfId="1873" priority="5594"/>
    <cfRule type="duplicateValues" dxfId="1872" priority="5595"/>
    <cfRule type="duplicateValues" dxfId="1871" priority="5596"/>
    <cfRule type="duplicateValues" dxfId="1870" priority="5597"/>
    <cfRule type="duplicateValues" dxfId="1869" priority="5598"/>
    <cfRule type="duplicateValues" dxfId="1868" priority="5599"/>
    <cfRule type="duplicateValues" dxfId="1867" priority="5600"/>
    <cfRule type="duplicateValues" dxfId="1866" priority="5601"/>
    <cfRule type="duplicateValues" dxfId="1865" priority="5602"/>
    <cfRule type="duplicateValues" dxfId="1864" priority="5603"/>
    <cfRule type="duplicateValues" dxfId="1863" priority="5604"/>
    <cfRule type="duplicateValues" dxfId="1862" priority="5605"/>
    <cfRule type="duplicateValues" dxfId="1861" priority="5606"/>
    <cfRule type="duplicateValues" dxfId="1860" priority="5607"/>
    <cfRule type="duplicateValues" dxfId="1859" priority="5608"/>
    <cfRule type="duplicateValues" dxfId="1858" priority="5609"/>
    <cfRule type="duplicateValues" dxfId="1857" priority="5610"/>
    <cfRule type="duplicateValues" dxfId="1856" priority="5613"/>
    <cfRule type="duplicateValues" dxfId="1855" priority="5614"/>
  </conditionalFormatting>
  <conditionalFormatting sqref="H1221">
    <cfRule type="duplicateValues" dxfId="1854" priority="5561"/>
    <cfRule type="duplicateValues" dxfId="1853" priority="5549"/>
    <cfRule type="duplicateValues" dxfId="1852" priority="5550"/>
    <cfRule type="duplicateValues" dxfId="1851" priority="5553"/>
    <cfRule type="duplicateValues" dxfId="1850" priority="5554"/>
    <cfRule type="duplicateValues" dxfId="1849" priority="5555"/>
    <cfRule type="duplicateValues" dxfId="1848" priority="5556"/>
    <cfRule type="duplicateValues" dxfId="1847" priority="5557"/>
    <cfRule type="duplicateValues" dxfId="1846" priority="5558"/>
    <cfRule type="duplicateValues" dxfId="1845" priority="5559"/>
    <cfRule type="duplicateValues" dxfId="1844" priority="5560"/>
    <cfRule type="duplicateValues" dxfId="1843" priority="5574"/>
    <cfRule type="duplicateValues" dxfId="1842" priority="5562"/>
    <cfRule type="duplicateValues" dxfId="1841" priority="5563"/>
    <cfRule type="duplicateValues" dxfId="1840" priority="5564"/>
    <cfRule type="duplicateValues" dxfId="1839" priority="5565"/>
    <cfRule type="duplicateValues" dxfId="1838" priority="5566"/>
    <cfRule type="duplicateValues" dxfId="1837" priority="5567"/>
    <cfRule type="duplicateValues" dxfId="1836" priority="5568"/>
    <cfRule type="duplicateValues" dxfId="1835" priority="5548"/>
    <cfRule type="duplicateValues" dxfId="1834" priority="5569"/>
    <cfRule type="duplicateValues" dxfId="1833" priority="5570"/>
    <cfRule type="duplicateValues" dxfId="1832" priority="5571"/>
    <cfRule type="duplicateValues" dxfId="1831" priority="5572"/>
    <cfRule type="duplicateValues" dxfId="1830" priority="5534"/>
    <cfRule type="duplicateValues" dxfId="1829" priority="5535"/>
    <cfRule type="duplicateValues" dxfId="1828" priority="5536"/>
    <cfRule type="duplicateValues" dxfId="1827" priority="5537"/>
    <cfRule type="duplicateValues" dxfId="1826" priority="5538"/>
    <cfRule type="duplicateValues" dxfId="1825" priority="5539"/>
    <cfRule type="duplicateValues" dxfId="1824" priority="5540"/>
    <cfRule type="duplicateValues" dxfId="1823" priority="5541"/>
    <cfRule type="duplicateValues" dxfId="1822" priority="5542"/>
    <cfRule type="duplicateValues" dxfId="1821" priority="5543"/>
    <cfRule type="duplicateValues" dxfId="1820" priority="5544"/>
    <cfRule type="duplicateValues" dxfId="1819" priority="5545"/>
    <cfRule type="duplicateValues" dxfId="1818" priority="5546"/>
    <cfRule type="duplicateValues" dxfId="1817" priority="5547"/>
    <cfRule type="duplicateValues" dxfId="1816" priority="5573"/>
  </conditionalFormatting>
  <conditionalFormatting sqref="H1222">
    <cfRule type="duplicateValues" dxfId="1815" priority="5510"/>
    <cfRule type="duplicateValues" dxfId="1814" priority="5511"/>
    <cfRule type="duplicateValues" dxfId="1813" priority="5512"/>
    <cfRule type="duplicateValues" dxfId="1812" priority="5513"/>
    <cfRule type="duplicateValues" dxfId="1811" priority="5514"/>
    <cfRule type="duplicateValues" dxfId="1810" priority="5474"/>
    <cfRule type="duplicateValues" dxfId="1809" priority="5495"/>
    <cfRule type="duplicateValues" dxfId="1808" priority="5507"/>
    <cfRule type="duplicateValues" dxfId="1807" priority="5506"/>
    <cfRule type="duplicateValues" dxfId="1806" priority="5505"/>
    <cfRule type="duplicateValues" dxfId="1805" priority="5504"/>
    <cfRule type="duplicateValues" dxfId="1804" priority="5503"/>
    <cfRule type="duplicateValues" dxfId="1803" priority="5502"/>
    <cfRule type="duplicateValues" dxfId="1802" priority="5501"/>
    <cfRule type="duplicateValues" dxfId="1801" priority="5500"/>
    <cfRule type="duplicateValues" dxfId="1800" priority="5499"/>
    <cfRule type="duplicateValues" dxfId="1799" priority="5498"/>
    <cfRule type="duplicateValues" dxfId="1798" priority="5497"/>
    <cfRule type="duplicateValues" dxfId="1797" priority="5496"/>
    <cfRule type="duplicateValues" dxfId="1796" priority="5494"/>
    <cfRule type="duplicateValues" dxfId="1795" priority="5493"/>
    <cfRule type="duplicateValues" dxfId="1794" priority="5490"/>
    <cfRule type="duplicateValues" dxfId="1793" priority="5489"/>
    <cfRule type="duplicateValues" dxfId="1792" priority="5509"/>
    <cfRule type="duplicateValues" dxfId="1791" priority="5488"/>
    <cfRule type="duplicateValues" dxfId="1790" priority="5487"/>
    <cfRule type="duplicateValues" dxfId="1789" priority="5508"/>
    <cfRule type="duplicateValues" dxfId="1788" priority="5486"/>
    <cfRule type="duplicateValues" dxfId="1787" priority="5485"/>
    <cfRule type="duplicateValues" dxfId="1786" priority="5484"/>
    <cfRule type="duplicateValues" dxfId="1785" priority="5483"/>
    <cfRule type="duplicateValues" dxfId="1784" priority="5482"/>
    <cfRule type="duplicateValues" dxfId="1783" priority="5481"/>
    <cfRule type="duplicateValues" dxfId="1782" priority="5480"/>
    <cfRule type="duplicateValues" dxfId="1781" priority="5479"/>
    <cfRule type="duplicateValues" dxfId="1780" priority="5478"/>
    <cfRule type="duplicateValues" dxfId="1779" priority="5477"/>
    <cfRule type="duplicateValues" dxfId="1778" priority="5476"/>
    <cfRule type="duplicateValues" dxfId="1777" priority="5475"/>
  </conditionalFormatting>
  <conditionalFormatting sqref="H1223">
    <cfRule type="duplicateValues" dxfId="1776" priority="5394"/>
    <cfRule type="duplicateValues" dxfId="1775" priority="5393"/>
    <cfRule type="duplicateValues" dxfId="1774" priority="5392"/>
    <cfRule type="duplicateValues" dxfId="1773" priority="5391"/>
    <cfRule type="duplicateValues" dxfId="1772" priority="5390"/>
    <cfRule type="duplicateValues" dxfId="1771" priority="5389"/>
    <cfRule type="duplicateValues" dxfId="1770" priority="5388"/>
    <cfRule type="duplicateValues" dxfId="1769" priority="5387"/>
    <cfRule type="duplicateValues" dxfId="1768" priority="5386"/>
    <cfRule type="duplicateValues" dxfId="1767" priority="5385"/>
    <cfRule type="duplicateValues" dxfId="1766" priority="5384"/>
    <cfRule type="duplicateValues" dxfId="1765" priority="5383"/>
    <cfRule type="duplicateValues" dxfId="1764" priority="5382"/>
    <cfRule type="duplicateValues" dxfId="1763" priority="5380"/>
    <cfRule type="duplicateValues" dxfId="1762" priority="5379"/>
    <cfRule type="duplicateValues" dxfId="1761" priority="5378"/>
    <cfRule type="duplicateValues" dxfId="1760" priority="5377"/>
    <cfRule type="duplicateValues" dxfId="1759" priority="5381"/>
    <cfRule type="duplicateValues" dxfId="1758" priority="5376"/>
    <cfRule type="duplicateValues" dxfId="1757" priority="5354"/>
    <cfRule type="duplicateValues" dxfId="1756" priority="5375"/>
    <cfRule type="duplicateValues" dxfId="1755" priority="5374"/>
    <cfRule type="duplicateValues" dxfId="1754" priority="5373"/>
    <cfRule type="duplicateValues" dxfId="1753" priority="5370"/>
    <cfRule type="duplicateValues" dxfId="1752" priority="5369"/>
    <cfRule type="duplicateValues" dxfId="1751" priority="5368"/>
    <cfRule type="duplicateValues" dxfId="1750" priority="5367"/>
    <cfRule type="duplicateValues" dxfId="1749" priority="5366"/>
    <cfRule type="duplicateValues" dxfId="1748" priority="5365"/>
    <cfRule type="duplicateValues" dxfId="1747" priority="5364"/>
    <cfRule type="duplicateValues" dxfId="1746" priority="5363"/>
    <cfRule type="duplicateValues" dxfId="1745" priority="5362"/>
    <cfRule type="duplicateValues" dxfId="1744" priority="5360"/>
    <cfRule type="duplicateValues" dxfId="1743" priority="5358"/>
    <cfRule type="duplicateValues" dxfId="1742" priority="5357"/>
    <cfRule type="duplicateValues" dxfId="1741" priority="5356"/>
    <cfRule type="duplicateValues" dxfId="1740" priority="5355"/>
    <cfRule type="duplicateValues" dxfId="1739" priority="5359"/>
    <cfRule type="duplicateValues" dxfId="1738" priority="5361"/>
  </conditionalFormatting>
  <conditionalFormatting sqref="H1224:H1226">
    <cfRule type="duplicateValues" dxfId="1737" priority="5303"/>
    <cfRule type="duplicateValues" dxfId="1736" priority="5302"/>
    <cfRule type="duplicateValues" dxfId="1735" priority="5301"/>
    <cfRule type="duplicateValues" dxfId="1734" priority="5300"/>
    <cfRule type="duplicateValues" dxfId="1733" priority="5299"/>
    <cfRule type="duplicateValues" dxfId="1732" priority="5298"/>
    <cfRule type="duplicateValues" dxfId="1731" priority="5297"/>
    <cfRule type="duplicateValues" dxfId="1730" priority="5295"/>
    <cfRule type="duplicateValues" dxfId="1729" priority="5305"/>
    <cfRule type="duplicateValues" dxfId="1728" priority="5306"/>
    <cfRule type="duplicateValues" dxfId="1727" priority="5307"/>
    <cfRule type="duplicateValues" dxfId="1726" priority="5308"/>
    <cfRule type="duplicateValues" dxfId="1725" priority="5309"/>
    <cfRule type="duplicateValues" dxfId="1724" priority="5310"/>
    <cfRule type="duplicateValues" dxfId="1723" priority="5313"/>
    <cfRule type="duplicateValues" dxfId="1722" priority="5314"/>
    <cfRule type="duplicateValues" dxfId="1721" priority="5315"/>
    <cfRule type="duplicateValues" dxfId="1720" priority="5316"/>
    <cfRule type="duplicateValues" dxfId="1719" priority="5317"/>
    <cfRule type="duplicateValues" dxfId="1718" priority="5294"/>
    <cfRule type="duplicateValues" dxfId="1717" priority="5318"/>
    <cfRule type="duplicateValues" dxfId="1716" priority="5319"/>
    <cfRule type="duplicateValues" dxfId="1715" priority="5320"/>
    <cfRule type="duplicateValues" dxfId="1714" priority="5321"/>
    <cfRule type="duplicateValues" dxfId="1713" priority="5322"/>
    <cfRule type="duplicateValues" dxfId="1712" priority="5323"/>
    <cfRule type="duplicateValues" dxfId="1711" priority="5324"/>
    <cfRule type="duplicateValues" dxfId="1710" priority="5325"/>
    <cfRule type="duplicateValues" dxfId="1709" priority="5304"/>
    <cfRule type="duplicateValues" dxfId="1708" priority="5326"/>
    <cfRule type="duplicateValues" dxfId="1707" priority="5327"/>
    <cfRule type="duplicateValues" dxfId="1706" priority="5328"/>
    <cfRule type="duplicateValues" dxfId="1705" priority="5329"/>
    <cfRule type="duplicateValues" dxfId="1704" priority="5330"/>
    <cfRule type="duplicateValues" dxfId="1703" priority="5331"/>
    <cfRule type="duplicateValues" dxfId="1702" priority="5332"/>
    <cfRule type="duplicateValues" dxfId="1701" priority="5333"/>
    <cfRule type="duplicateValues" dxfId="1700" priority="5334"/>
    <cfRule type="duplicateValues" dxfId="1699" priority="5296"/>
  </conditionalFormatting>
  <conditionalFormatting sqref="H1227">
    <cfRule type="duplicateValues" dxfId="1698" priority="5147"/>
    <cfRule type="duplicateValues" dxfId="1697" priority="5146"/>
    <cfRule type="duplicateValues" dxfId="1696" priority="5145"/>
    <cfRule type="duplicateValues" dxfId="1695" priority="5144"/>
    <cfRule type="duplicateValues" dxfId="1694" priority="5143"/>
    <cfRule type="duplicateValues" dxfId="1693" priority="5142"/>
    <cfRule type="duplicateValues" dxfId="1692" priority="5141"/>
    <cfRule type="duplicateValues" dxfId="1691" priority="5140"/>
    <cfRule type="duplicateValues" dxfId="1690" priority="5139"/>
    <cfRule type="duplicateValues" dxfId="1689" priority="5138"/>
    <cfRule type="duplicateValues" dxfId="1688" priority="5137"/>
    <cfRule type="duplicateValues" dxfId="1687" priority="5136"/>
    <cfRule type="duplicateValues" dxfId="1686" priority="5135"/>
    <cfRule type="duplicateValues" dxfId="1685" priority="5148"/>
    <cfRule type="duplicateValues" dxfId="1684" priority="5172"/>
    <cfRule type="duplicateValues" dxfId="1683" priority="5173"/>
    <cfRule type="duplicateValues" dxfId="1682" priority="5165"/>
    <cfRule type="duplicateValues" dxfId="1681" priority="5150"/>
    <cfRule type="duplicateValues" dxfId="1680" priority="5171"/>
    <cfRule type="duplicateValues" dxfId="1679" priority="5170"/>
    <cfRule type="duplicateValues" dxfId="1678" priority="5169"/>
    <cfRule type="duplicateValues" dxfId="1677" priority="5168"/>
    <cfRule type="duplicateValues" dxfId="1676" priority="5167"/>
    <cfRule type="duplicateValues" dxfId="1675" priority="5166"/>
    <cfRule type="duplicateValues" dxfId="1674" priority="5164"/>
    <cfRule type="duplicateValues" dxfId="1673" priority="5163"/>
    <cfRule type="duplicateValues" dxfId="1672" priority="5162"/>
    <cfRule type="duplicateValues" dxfId="1671" priority="5161"/>
    <cfRule type="duplicateValues" dxfId="1670" priority="5160"/>
    <cfRule type="duplicateValues" dxfId="1669" priority="5159"/>
    <cfRule type="duplicateValues" dxfId="1668" priority="5158"/>
    <cfRule type="duplicateValues" dxfId="1667" priority="5157"/>
    <cfRule type="duplicateValues" dxfId="1666" priority="5156"/>
    <cfRule type="duplicateValues" dxfId="1665" priority="5155"/>
    <cfRule type="duplicateValues" dxfId="1664" priority="5154"/>
    <cfRule type="duplicateValues" dxfId="1663" priority="5153"/>
    <cfRule type="duplicateValues" dxfId="1662" priority="5152"/>
    <cfRule type="duplicateValues" dxfId="1661" priority="5151"/>
    <cfRule type="duplicateValues" dxfId="1660" priority="5149"/>
  </conditionalFormatting>
  <conditionalFormatting sqref="H1228">
    <cfRule type="duplicateValues" dxfId="1659" priority="5113"/>
    <cfRule type="duplicateValues" dxfId="1658" priority="5112"/>
    <cfRule type="duplicateValues" dxfId="1657" priority="5111"/>
    <cfRule type="duplicateValues" dxfId="1656" priority="5110"/>
    <cfRule type="duplicateValues" dxfId="1655" priority="5109"/>
    <cfRule type="duplicateValues" dxfId="1654" priority="5108"/>
    <cfRule type="duplicateValues" dxfId="1653" priority="5107"/>
    <cfRule type="duplicateValues" dxfId="1652" priority="5106"/>
    <cfRule type="duplicateValues" dxfId="1651" priority="5105"/>
    <cfRule type="duplicateValues" dxfId="1650" priority="5104"/>
    <cfRule type="duplicateValues" dxfId="1649" priority="5103"/>
    <cfRule type="duplicateValues" dxfId="1648" priority="5102"/>
    <cfRule type="duplicateValues" dxfId="1647" priority="5101"/>
    <cfRule type="duplicateValues" dxfId="1646" priority="5100"/>
    <cfRule type="duplicateValues" dxfId="1645" priority="5099"/>
    <cfRule type="duplicateValues" dxfId="1644" priority="5098"/>
    <cfRule type="duplicateValues" dxfId="1643" priority="5097"/>
    <cfRule type="duplicateValues" dxfId="1642" priority="5096"/>
    <cfRule type="duplicateValues" dxfId="1641" priority="5095"/>
    <cfRule type="duplicateValues" dxfId="1640" priority="5094"/>
    <cfRule type="duplicateValues" dxfId="1639" priority="5093"/>
    <cfRule type="duplicateValues" dxfId="1638" priority="5092"/>
    <cfRule type="duplicateValues" dxfId="1637" priority="5091"/>
    <cfRule type="duplicateValues" dxfId="1636" priority="5090"/>
    <cfRule type="duplicateValues" dxfId="1635" priority="5089"/>
    <cfRule type="duplicateValues" dxfId="1634" priority="5088"/>
    <cfRule type="duplicateValues" dxfId="1633" priority="5087"/>
    <cfRule type="duplicateValues" dxfId="1632" priority="5075"/>
    <cfRule type="duplicateValues" dxfId="1631" priority="5086"/>
    <cfRule type="duplicateValues" dxfId="1630" priority="5085"/>
    <cfRule type="duplicateValues" dxfId="1629" priority="5084"/>
    <cfRule type="duplicateValues" dxfId="1628" priority="5083"/>
    <cfRule type="duplicateValues" dxfId="1627" priority="5082"/>
    <cfRule type="duplicateValues" dxfId="1626" priority="5081"/>
    <cfRule type="duplicateValues" dxfId="1625" priority="5080"/>
    <cfRule type="duplicateValues" dxfId="1624" priority="5079"/>
    <cfRule type="duplicateValues" dxfId="1623" priority="5078"/>
    <cfRule type="duplicateValues" dxfId="1622" priority="5077"/>
    <cfRule type="duplicateValues" dxfId="1621" priority="5076"/>
  </conditionalFormatting>
  <conditionalFormatting sqref="H1229:H1283">
    <cfRule type="duplicateValues" dxfId="1620" priority="5031"/>
    <cfRule type="duplicateValues" dxfId="1619" priority="5032"/>
    <cfRule type="duplicateValues" dxfId="1618" priority="5033"/>
    <cfRule type="duplicateValues" dxfId="1617" priority="5034"/>
    <cfRule type="duplicateValues" dxfId="1616" priority="5035"/>
    <cfRule type="duplicateValues" dxfId="1615" priority="5036"/>
    <cfRule type="duplicateValues" dxfId="1614" priority="5037"/>
    <cfRule type="duplicateValues" dxfId="1613" priority="5038"/>
    <cfRule type="duplicateValues" dxfId="1612" priority="5039"/>
    <cfRule type="duplicateValues" dxfId="1611" priority="5040"/>
    <cfRule type="duplicateValues" dxfId="1610" priority="5042"/>
    <cfRule type="duplicateValues" dxfId="1609" priority="5043"/>
    <cfRule type="duplicateValues" dxfId="1608" priority="5044"/>
    <cfRule type="duplicateValues" dxfId="1607" priority="5045"/>
    <cfRule type="duplicateValues" dxfId="1606" priority="5046"/>
    <cfRule type="duplicateValues" dxfId="1605" priority="5047"/>
    <cfRule type="duplicateValues" dxfId="1604" priority="5048"/>
    <cfRule type="duplicateValues" dxfId="1603" priority="5049"/>
    <cfRule type="duplicateValues" dxfId="1602" priority="5050"/>
    <cfRule type="duplicateValues" dxfId="1601" priority="5051"/>
    <cfRule type="duplicateValues" dxfId="1600" priority="5052"/>
    <cfRule type="duplicateValues" dxfId="1599" priority="5053"/>
    <cfRule type="duplicateValues" dxfId="1598" priority="5041"/>
    <cfRule type="duplicateValues" dxfId="1597" priority="5015"/>
    <cfRule type="duplicateValues" dxfId="1596" priority="5016"/>
    <cfRule type="duplicateValues" dxfId="1595" priority="5017"/>
    <cfRule type="duplicateValues" dxfId="1594" priority="5018"/>
    <cfRule type="duplicateValues" dxfId="1593" priority="5019"/>
    <cfRule type="duplicateValues" dxfId="1592" priority="5020"/>
    <cfRule type="duplicateValues" dxfId="1591" priority="5021"/>
    <cfRule type="duplicateValues" dxfId="1590" priority="5022"/>
    <cfRule type="duplicateValues" dxfId="1589" priority="5023"/>
    <cfRule type="duplicateValues" dxfId="1588" priority="5024"/>
    <cfRule type="duplicateValues" dxfId="1587" priority="5025"/>
    <cfRule type="duplicateValues" dxfId="1586" priority="5026"/>
    <cfRule type="duplicateValues" dxfId="1585" priority="5027"/>
    <cfRule type="duplicateValues" dxfId="1584" priority="5028"/>
    <cfRule type="duplicateValues" dxfId="1583" priority="5029"/>
    <cfRule type="duplicateValues" dxfId="1582" priority="5030"/>
  </conditionalFormatting>
  <conditionalFormatting sqref="H1284:H1285">
    <cfRule type="duplicateValues" dxfId="1581" priority="1147"/>
    <cfRule type="duplicateValues" dxfId="1580" priority="1146"/>
    <cfRule type="duplicateValues" dxfId="1579" priority="1127"/>
    <cfRule type="duplicateValues" dxfId="1578" priority="1126"/>
    <cfRule type="duplicateValues" dxfId="1577" priority="1173"/>
    <cfRule type="duplicateValues" dxfId="1576" priority="1159"/>
    <cfRule type="duplicateValues" dxfId="1575" priority="1174"/>
    <cfRule type="duplicateValues" dxfId="1574" priority="1178"/>
    <cfRule type="duplicateValues" dxfId="1573" priority="1175"/>
    <cfRule type="duplicateValues" dxfId="1572" priority="1176"/>
    <cfRule type="duplicateValues" dxfId="1571" priority="1177"/>
    <cfRule type="duplicateValues" dxfId="1570" priority="1179"/>
    <cfRule type="duplicateValues" dxfId="1569" priority="1180"/>
    <cfRule type="duplicateValues" dxfId="1568" priority="1181"/>
    <cfRule type="duplicateValues" dxfId="1567" priority="1182"/>
    <cfRule type="duplicateValues" dxfId="1566" priority="1153"/>
    <cfRule type="duplicateValues" dxfId="1565" priority="1183"/>
    <cfRule type="duplicateValues" dxfId="1564" priority="1184"/>
    <cfRule type="duplicateValues" dxfId="1563" priority="1164"/>
    <cfRule type="duplicateValues" dxfId="1562" priority="1161"/>
    <cfRule type="duplicateValues" dxfId="1561" priority="1160"/>
    <cfRule type="duplicateValues" dxfId="1560" priority="1162"/>
    <cfRule type="duplicateValues" dxfId="1559" priority="1158"/>
    <cfRule type="duplicateValues" dxfId="1558" priority="1157"/>
    <cfRule type="duplicateValues" dxfId="1557" priority="1156"/>
    <cfRule type="duplicateValues" dxfId="1556" priority="1165"/>
    <cfRule type="duplicateValues" dxfId="1555" priority="1166"/>
    <cfRule type="duplicateValues" dxfId="1554" priority="1167"/>
    <cfRule type="duplicateValues" dxfId="1553" priority="1168"/>
    <cfRule type="duplicateValues" dxfId="1552" priority="1169"/>
    <cfRule type="duplicateValues" dxfId="1551" priority="1170"/>
    <cfRule type="duplicateValues" dxfId="1550" priority="1171"/>
    <cfRule type="duplicateValues" dxfId="1549" priority="1172"/>
    <cfRule type="duplicateValues" dxfId="1548" priority="1163"/>
    <cfRule type="duplicateValues" dxfId="1547" priority="1155"/>
    <cfRule type="duplicateValues" dxfId="1546" priority="1154"/>
    <cfRule type="duplicateValues" dxfId="1545" priority="1152"/>
    <cfRule type="duplicateValues" dxfId="1544" priority="1151"/>
    <cfRule type="duplicateValues" dxfId="1543" priority="1150"/>
    <cfRule type="duplicateValues" dxfId="1542" priority="1149"/>
    <cfRule type="duplicateValues" dxfId="1541" priority="1148"/>
  </conditionalFormatting>
  <conditionalFormatting sqref="H1286">
    <cfRule type="duplicateValues" dxfId="1540" priority="1056"/>
    <cfRule type="duplicateValues" dxfId="1539" priority="1055"/>
    <cfRule type="duplicateValues" dxfId="1538" priority="1054"/>
    <cfRule type="duplicateValues" dxfId="1537" priority="1053"/>
    <cfRule type="duplicateValues" dxfId="1536" priority="1052"/>
    <cfRule type="duplicateValues" dxfId="1535" priority="1051"/>
    <cfRule type="duplicateValues" dxfId="1534" priority="1050"/>
    <cfRule type="duplicateValues" dxfId="1533" priority="1049"/>
    <cfRule type="duplicateValues" dxfId="1532" priority="1048"/>
    <cfRule type="duplicateValues" dxfId="1531" priority="1047"/>
    <cfRule type="duplicateValues" dxfId="1530" priority="1046"/>
    <cfRule type="duplicateValues" dxfId="1529" priority="1045"/>
    <cfRule type="duplicateValues" dxfId="1528" priority="1044"/>
    <cfRule type="duplicateValues" dxfId="1527" priority="1043"/>
    <cfRule type="duplicateValues" dxfId="1526" priority="1042"/>
    <cfRule type="duplicateValues" dxfId="1525" priority="1040"/>
    <cfRule type="duplicateValues" dxfId="1524" priority="1039"/>
    <cfRule type="duplicateValues" dxfId="1523" priority="1038"/>
    <cfRule type="duplicateValues" dxfId="1522" priority="1037"/>
    <cfRule type="duplicateValues" dxfId="1521" priority="1036"/>
    <cfRule type="duplicateValues" dxfId="1520" priority="1035"/>
    <cfRule type="duplicateValues" dxfId="1519" priority="1034"/>
    <cfRule type="duplicateValues" dxfId="1518" priority="1033"/>
    <cfRule type="duplicateValues" dxfId="1517" priority="1032"/>
    <cfRule type="duplicateValues" dxfId="1516" priority="1031"/>
    <cfRule type="duplicateValues" dxfId="1515" priority="1030"/>
    <cfRule type="duplicateValues" dxfId="1514" priority="1029"/>
    <cfRule type="duplicateValues" dxfId="1513" priority="1028"/>
    <cfRule type="duplicateValues" dxfId="1512" priority="1027"/>
    <cfRule type="duplicateValues" dxfId="1511" priority="1026"/>
    <cfRule type="duplicateValues" dxfId="1510" priority="1025"/>
    <cfRule type="duplicateValues" dxfId="1509" priority="1024"/>
    <cfRule type="duplicateValues" dxfId="1508" priority="1023"/>
    <cfRule type="duplicateValues" dxfId="1507" priority="1022"/>
    <cfRule type="duplicateValues" dxfId="1506" priority="1003"/>
    <cfRule type="duplicateValues" dxfId="1505" priority="1002"/>
    <cfRule type="duplicateValues" dxfId="1504" priority="1059"/>
    <cfRule type="duplicateValues" dxfId="1503" priority="1058"/>
    <cfRule type="duplicateValues" dxfId="1502" priority="1057"/>
    <cfRule type="duplicateValues" dxfId="1501" priority="1041"/>
    <cfRule type="duplicateValues" dxfId="1500" priority="1060"/>
  </conditionalFormatting>
  <conditionalFormatting sqref="H1287">
    <cfRule type="duplicateValues" dxfId="1499" priority="993"/>
    <cfRule type="duplicateValues" dxfId="1498" priority="992"/>
    <cfRule type="duplicateValues" dxfId="1497" priority="991"/>
    <cfRule type="duplicateValues" dxfId="1496" priority="990"/>
    <cfRule type="duplicateValues" dxfId="1495" priority="988"/>
    <cfRule type="duplicateValues" dxfId="1494" priority="986"/>
    <cfRule type="duplicateValues" dxfId="1493" priority="985"/>
    <cfRule type="duplicateValues" dxfId="1492" priority="984"/>
    <cfRule type="duplicateValues" dxfId="1491" priority="983"/>
    <cfRule type="duplicateValues" dxfId="1490" priority="982"/>
    <cfRule type="duplicateValues" dxfId="1489" priority="981"/>
    <cfRule type="duplicateValues" dxfId="1488" priority="980"/>
    <cfRule type="duplicateValues" dxfId="1487" priority="979"/>
    <cfRule type="duplicateValues" dxfId="1486" priority="978"/>
    <cfRule type="duplicateValues" dxfId="1485" priority="977"/>
    <cfRule type="duplicateValues" dxfId="1484" priority="976"/>
    <cfRule type="duplicateValues" dxfId="1483" priority="975"/>
    <cfRule type="duplicateValues" dxfId="1482" priority="998"/>
    <cfRule type="duplicateValues" dxfId="1481" priority="997"/>
    <cfRule type="duplicateValues" dxfId="1480" priority="996"/>
    <cfRule type="duplicateValues" dxfId="1479" priority="962"/>
    <cfRule type="duplicateValues" dxfId="1478" priority="961"/>
    <cfRule type="duplicateValues" dxfId="1477" priority="989"/>
    <cfRule type="duplicateValues" dxfId="1476" priority="941"/>
    <cfRule type="duplicateValues" dxfId="1475" priority="940"/>
    <cfRule type="duplicateValues" dxfId="1474" priority="995"/>
    <cfRule type="duplicateValues" dxfId="1473" priority="987"/>
    <cfRule type="duplicateValues" dxfId="1472" priority="994"/>
    <cfRule type="duplicateValues" dxfId="1471" priority="963"/>
    <cfRule type="duplicateValues" dxfId="1470" priority="964"/>
    <cfRule type="duplicateValues" dxfId="1469" priority="965"/>
    <cfRule type="duplicateValues" dxfId="1468" priority="966"/>
    <cfRule type="duplicateValues" dxfId="1467" priority="967"/>
    <cfRule type="duplicateValues" dxfId="1466" priority="968"/>
    <cfRule type="duplicateValues" dxfId="1465" priority="969"/>
    <cfRule type="duplicateValues" dxfId="1464" priority="970"/>
    <cfRule type="duplicateValues" dxfId="1463" priority="971"/>
    <cfRule type="duplicateValues" dxfId="1462" priority="972"/>
    <cfRule type="duplicateValues" dxfId="1461" priority="973"/>
    <cfRule type="duplicateValues" dxfId="1460" priority="974"/>
    <cfRule type="duplicateValues" dxfId="1459" priority="960"/>
  </conditionalFormatting>
  <conditionalFormatting sqref="H1288">
    <cfRule type="duplicateValues" dxfId="1458" priority="12367"/>
    <cfRule type="duplicateValues" dxfId="1457" priority="12366"/>
    <cfRule type="duplicateValues" dxfId="1456" priority="12327"/>
    <cfRule type="duplicateValues" dxfId="1455" priority="12328"/>
    <cfRule type="duplicateValues" dxfId="1454" priority="12329"/>
    <cfRule type="duplicateValues" dxfId="1453" priority="12330"/>
    <cfRule type="duplicateValues" dxfId="1452" priority="12331"/>
    <cfRule type="duplicateValues" dxfId="1451" priority="12332"/>
    <cfRule type="duplicateValues" dxfId="1450" priority="12333"/>
    <cfRule type="duplicateValues" dxfId="1449" priority="12334"/>
    <cfRule type="duplicateValues" dxfId="1448" priority="12335"/>
    <cfRule type="duplicateValues" dxfId="1447" priority="12336"/>
    <cfRule type="duplicateValues" dxfId="1446" priority="12337"/>
    <cfRule type="duplicateValues" dxfId="1445" priority="12338"/>
    <cfRule type="duplicateValues" dxfId="1444" priority="12339"/>
    <cfRule type="duplicateValues" dxfId="1443" priority="12340"/>
    <cfRule type="duplicateValues" dxfId="1442" priority="12341"/>
    <cfRule type="duplicateValues" dxfId="1441" priority="12342"/>
    <cfRule type="duplicateValues" dxfId="1440" priority="12343"/>
    <cfRule type="duplicateValues" dxfId="1439" priority="12344"/>
    <cfRule type="duplicateValues" dxfId="1438" priority="12345"/>
    <cfRule type="duplicateValues" dxfId="1437" priority="12346"/>
    <cfRule type="duplicateValues" dxfId="1436" priority="12347"/>
    <cfRule type="duplicateValues" dxfId="1435" priority="12348"/>
    <cfRule type="duplicateValues" dxfId="1434" priority="12349"/>
    <cfRule type="duplicateValues" dxfId="1433" priority="12350"/>
    <cfRule type="duplicateValues" dxfId="1432" priority="12351"/>
    <cfRule type="duplicateValues" dxfId="1431" priority="12352"/>
    <cfRule type="duplicateValues" dxfId="1430" priority="12353"/>
    <cfRule type="duplicateValues" dxfId="1429" priority="12354"/>
    <cfRule type="duplicateValues" dxfId="1428" priority="12355"/>
    <cfRule type="duplicateValues" dxfId="1427" priority="12356"/>
    <cfRule type="duplicateValues" dxfId="1426" priority="12357"/>
    <cfRule type="duplicateValues" dxfId="1425" priority="12358"/>
    <cfRule type="duplicateValues" dxfId="1424" priority="12359"/>
    <cfRule type="duplicateValues" dxfId="1423" priority="12360"/>
    <cfRule type="duplicateValues" dxfId="1422" priority="12361"/>
    <cfRule type="duplicateValues" dxfId="1421" priority="12362"/>
    <cfRule type="duplicateValues" dxfId="1420" priority="12363"/>
    <cfRule type="duplicateValues" dxfId="1419" priority="12364"/>
    <cfRule type="duplicateValues" dxfId="1418" priority="12365"/>
  </conditionalFormatting>
  <conditionalFormatting sqref="H1289">
    <cfRule type="duplicateValues" dxfId="1417" priority="278"/>
    <cfRule type="duplicateValues" dxfId="1416" priority="287"/>
    <cfRule type="duplicateValues" dxfId="1415" priority="286"/>
    <cfRule type="duplicateValues" dxfId="1414" priority="285"/>
    <cfRule type="duplicateValues" dxfId="1413" priority="288"/>
    <cfRule type="duplicateValues" dxfId="1412" priority="282"/>
    <cfRule type="duplicateValues" dxfId="1411" priority="281"/>
    <cfRule type="duplicateValues" dxfId="1410" priority="280"/>
    <cfRule type="duplicateValues" dxfId="1409" priority="279"/>
    <cfRule type="duplicateValues" dxfId="1408" priority="284"/>
    <cfRule type="duplicateValues" dxfId="1407" priority="303"/>
    <cfRule type="duplicateValues" dxfId="1406" priority="277"/>
    <cfRule type="duplicateValues" dxfId="1405" priority="276"/>
    <cfRule type="duplicateValues" dxfId="1404" priority="275"/>
    <cfRule type="duplicateValues" dxfId="1403" priority="256"/>
    <cfRule type="duplicateValues" dxfId="1402" priority="283"/>
    <cfRule type="duplicateValues" dxfId="1401" priority="255"/>
    <cfRule type="duplicateValues" dxfId="1400" priority="251"/>
    <cfRule type="duplicateValues" dxfId="1399" priority="289"/>
    <cfRule type="duplicateValues" dxfId="1398" priority="290"/>
    <cfRule type="duplicateValues" dxfId="1397" priority="291"/>
    <cfRule type="duplicateValues" dxfId="1396" priority="292"/>
    <cfRule type="duplicateValues" dxfId="1395" priority="293"/>
    <cfRule type="duplicateValues" dxfId="1394" priority="294"/>
    <cfRule type="duplicateValues" dxfId="1393" priority="295"/>
    <cfRule type="duplicateValues" dxfId="1392" priority="296"/>
    <cfRule type="duplicateValues" dxfId="1391" priority="297"/>
    <cfRule type="duplicateValues" dxfId="1390" priority="298"/>
    <cfRule type="duplicateValues" dxfId="1389" priority="299"/>
    <cfRule type="duplicateValues" dxfId="1388" priority="300"/>
    <cfRule type="duplicateValues" dxfId="1387" priority="301"/>
    <cfRule type="duplicateValues" dxfId="1386" priority="302"/>
    <cfRule type="duplicateValues" dxfId="1385" priority="304"/>
    <cfRule type="duplicateValues" dxfId="1384" priority="305"/>
    <cfRule type="duplicateValues" dxfId="1383" priority="306"/>
    <cfRule type="duplicateValues" dxfId="1382" priority="307"/>
    <cfRule type="duplicateValues" dxfId="1381" priority="308"/>
    <cfRule type="duplicateValues" dxfId="1380" priority="309"/>
    <cfRule type="duplicateValues" dxfId="1379" priority="310"/>
    <cfRule type="duplicateValues" dxfId="1378" priority="311"/>
    <cfRule type="duplicateValues" dxfId="1377" priority="312"/>
    <cfRule type="duplicateValues" dxfId="1376" priority="313"/>
  </conditionalFormatting>
  <conditionalFormatting sqref="H1290">
    <cfRule type="duplicateValues" dxfId="1375" priority="217"/>
    <cfRule type="duplicateValues" dxfId="1374" priority="233"/>
    <cfRule type="duplicateValues" dxfId="1373" priority="234"/>
    <cfRule type="duplicateValues" dxfId="1372" priority="235"/>
    <cfRule type="duplicateValues" dxfId="1371" priority="236"/>
    <cfRule type="duplicateValues" dxfId="1370" priority="237"/>
    <cfRule type="duplicateValues" dxfId="1369" priority="238"/>
    <cfRule type="duplicateValues" dxfId="1368" priority="239"/>
    <cfRule type="duplicateValues" dxfId="1367" priority="240"/>
    <cfRule type="duplicateValues" dxfId="1366" priority="241"/>
    <cfRule type="duplicateValues" dxfId="1365" priority="192"/>
    <cfRule type="duplicateValues" dxfId="1364" priority="212"/>
    <cfRule type="duplicateValues" dxfId="1363" priority="213"/>
    <cfRule type="duplicateValues" dxfId="1362" priority="214"/>
    <cfRule type="duplicateValues" dxfId="1361" priority="215"/>
    <cfRule type="duplicateValues" dxfId="1360" priority="216"/>
    <cfRule type="duplicateValues" dxfId="1359" priority="242"/>
    <cfRule type="duplicateValues" dxfId="1358" priority="247"/>
    <cfRule type="duplicateValues" dxfId="1357" priority="218"/>
    <cfRule type="duplicateValues" dxfId="1356" priority="250"/>
    <cfRule type="duplicateValues" dxfId="1355" priority="222"/>
    <cfRule type="duplicateValues" dxfId="1354" priority="249"/>
    <cfRule type="duplicateValues" dxfId="1353" priority="248"/>
    <cfRule type="duplicateValues" dxfId="1352" priority="246"/>
    <cfRule type="duplicateValues" dxfId="1351" priority="245"/>
    <cfRule type="duplicateValues" dxfId="1350" priority="244"/>
    <cfRule type="duplicateValues" dxfId="1349" priority="219"/>
    <cfRule type="duplicateValues" dxfId="1348" priority="220"/>
    <cfRule type="duplicateValues" dxfId="1347" priority="221"/>
    <cfRule type="duplicateValues" dxfId="1346" priority="223"/>
    <cfRule type="duplicateValues" dxfId="1345" priority="232"/>
    <cfRule type="duplicateValues" dxfId="1344" priority="193"/>
    <cfRule type="duplicateValues" dxfId="1343" priority="224"/>
    <cfRule type="duplicateValues" dxfId="1342" priority="225"/>
    <cfRule type="duplicateValues" dxfId="1341" priority="226"/>
    <cfRule type="duplicateValues" dxfId="1340" priority="227"/>
    <cfRule type="duplicateValues" dxfId="1339" priority="228"/>
    <cfRule type="duplicateValues" dxfId="1338" priority="229"/>
    <cfRule type="duplicateValues" dxfId="1337" priority="230"/>
    <cfRule type="duplicateValues" dxfId="1336" priority="243"/>
    <cfRule type="duplicateValues" dxfId="1335" priority="231"/>
  </conditionalFormatting>
  <conditionalFormatting sqref="H1290:H1293">
    <cfRule type="duplicateValues" dxfId="1334" priority="2"/>
  </conditionalFormatting>
  <conditionalFormatting sqref="H1291">
    <cfRule type="duplicateValues" dxfId="1333" priority="166"/>
    <cfRule type="duplicateValues" dxfId="1332" priority="177"/>
    <cfRule type="duplicateValues" dxfId="1331" priority="165"/>
    <cfRule type="duplicateValues" dxfId="1330" priority="167"/>
    <cfRule type="duplicateValues" dxfId="1329" priority="164"/>
    <cfRule type="duplicateValues" dxfId="1328" priority="163"/>
    <cfRule type="duplicateValues" dxfId="1327" priority="168"/>
    <cfRule type="duplicateValues" dxfId="1326" priority="169"/>
    <cfRule type="duplicateValues" dxfId="1325" priority="170"/>
    <cfRule type="duplicateValues" dxfId="1324" priority="171"/>
    <cfRule type="duplicateValues" dxfId="1323" priority="172"/>
    <cfRule type="duplicateValues" dxfId="1322" priority="173"/>
    <cfRule type="duplicateValues" dxfId="1321" priority="174"/>
    <cfRule type="duplicateValues" dxfId="1320" priority="175"/>
    <cfRule type="duplicateValues" dxfId="1319" priority="176"/>
    <cfRule type="duplicateValues" dxfId="1318" priority="178"/>
    <cfRule type="duplicateValues" dxfId="1317" priority="179"/>
    <cfRule type="duplicateValues" dxfId="1316" priority="180"/>
    <cfRule type="duplicateValues" dxfId="1315" priority="181"/>
    <cfRule type="duplicateValues" dxfId="1314" priority="182"/>
    <cfRule type="duplicateValues" dxfId="1313" priority="183"/>
    <cfRule type="duplicateValues" dxfId="1312" priority="184"/>
    <cfRule type="duplicateValues" dxfId="1311" priority="185"/>
    <cfRule type="duplicateValues" dxfId="1310" priority="186"/>
    <cfRule type="duplicateValues" dxfId="1309" priority="187"/>
    <cfRule type="duplicateValues" dxfId="1308" priority="188"/>
    <cfRule type="duplicateValues" dxfId="1307" priority="151"/>
    <cfRule type="duplicateValues" dxfId="1306" priority="162"/>
    <cfRule type="duplicateValues" dxfId="1305" priority="161"/>
    <cfRule type="duplicateValues" dxfId="1304" priority="160"/>
    <cfRule type="duplicateValues" dxfId="1303" priority="159"/>
    <cfRule type="duplicateValues" dxfId="1302" priority="158"/>
    <cfRule type="duplicateValues" dxfId="1301" priority="157"/>
    <cfRule type="duplicateValues" dxfId="1300" priority="156"/>
    <cfRule type="duplicateValues" dxfId="1299" priority="155"/>
    <cfRule type="duplicateValues" dxfId="1298" priority="154"/>
    <cfRule type="duplicateValues" dxfId="1297" priority="153"/>
    <cfRule type="duplicateValues" dxfId="1296" priority="152"/>
    <cfRule type="duplicateValues" dxfId="1295" priority="150"/>
    <cfRule type="duplicateValues" dxfId="1294" priority="131"/>
    <cfRule type="duplicateValues" dxfId="1293" priority="130"/>
  </conditionalFormatting>
  <conditionalFormatting sqref="H1292">
    <cfRule type="duplicateValues" dxfId="1292" priority="105"/>
    <cfRule type="duplicateValues" dxfId="1291" priority="106"/>
    <cfRule type="duplicateValues" dxfId="1290" priority="91"/>
    <cfRule type="duplicateValues" dxfId="1289" priority="107"/>
    <cfRule type="duplicateValues" dxfId="1288" priority="108"/>
    <cfRule type="duplicateValues" dxfId="1287" priority="109"/>
    <cfRule type="duplicateValues" dxfId="1286" priority="68"/>
    <cfRule type="duplicateValues" dxfId="1285" priority="69"/>
    <cfRule type="duplicateValues" dxfId="1284" priority="88"/>
    <cfRule type="duplicateValues" dxfId="1283" priority="89"/>
    <cfRule type="duplicateValues" dxfId="1282" priority="90"/>
    <cfRule type="duplicateValues" dxfId="1281" priority="92"/>
    <cfRule type="duplicateValues" dxfId="1280" priority="93"/>
    <cfRule type="duplicateValues" dxfId="1279" priority="94"/>
    <cfRule type="duplicateValues" dxfId="1278" priority="95"/>
    <cfRule type="duplicateValues" dxfId="1277" priority="97"/>
    <cfRule type="duplicateValues" dxfId="1276" priority="98"/>
    <cfRule type="duplicateValues" dxfId="1275" priority="99"/>
    <cfRule type="duplicateValues" dxfId="1274" priority="100"/>
    <cfRule type="duplicateValues" dxfId="1273" priority="101"/>
    <cfRule type="duplicateValues" dxfId="1272" priority="110"/>
    <cfRule type="duplicateValues" dxfId="1271" priority="102"/>
    <cfRule type="duplicateValues" dxfId="1270" priority="103"/>
    <cfRule type="duplicateValues" dxfId="1269" priority="104"/>
    <cfRule type="duplicateValues" dxfId="1268" priority="126"/>
    <cfRule type="duplicateValues" dxfId="1267" priority="125"/>
    <cfRule type="duplicateValues" dxfId="1266" priority="124"/>
    <cfRule type="duplicateValues" dxfId="1265" priority="123"/>
    <cfRule type="duplicateValues" dxfId="1264" priority="122"/>
    <cfRule type="duplicateValues" dxfId="1263" priority="121"/>
    <cfRule type="duplicateValues" dxfId="1262" priority="120"/>
    <cfRule type="duplicateValues" dxfId="1261" priority="119"/>
    <cfRule type="duplicateValues" dxfId="1260" priority="118"/>
    <cfRule type="duplicateValues" dxfId="1259" priority="117"/>
    <cfRule type="duplicateValues" dxfId="1258" priority="116"/>
    <cfRule type="duplicateValues" dxfId="1257" priority="115"/>
    <cfRule type="duplicateValues" dxfId="1256" priority="114"/>
    <cfRule type="duplicateValues" dxfId="1255" priority="113"/>
    <cfRule type="duplicateValues" dxfId="1254" priority="112"/>
    <cfRule type="duplicateValues" dxfId="1253" priority="111"/>
    <cfRule type="duplicateValues" dxfId="1252" priority="96"/>
  </conditionalFormatting>
  <conditionalFormatting sqref="H1293">
    <cfRule type="duplicateValues" dxfId="1251" priority="30"/>
    <cfRule type="duplicateValues" dxfId="1250" priority="29"/>
    <cfRule type="duplicateValues" dxfId="1249" priority="28"/>
    <cfRule type="duplicateValues" dxfId="1248" priority="27"/>
    <cfRule type="duplicateValues" dxfId="1247" priority="26"/>
    <cfRule type="duplicateValues" dxfId="1246" priority="25"/>
    <cfRule type="duplicateValues" dxfId="1245" priority="24"/>
    <cfRule type="duplicateValues" dxfId="1244" priority="23"/>
    <cfRule type="duplicateValues" dxfId="1243" priority="22"/>
    <cfRule type="duplicateValues" dxfId="1242" priority="21"/>
    <cfRule type="duplicateValues" dxfId="1241" priority="20"/>
    <cfRule type="duplicateValues" dxfId="1240" priority="19"/>
    <cfRule type="duplicateValues" dxfId="1239" priority="18"/>
    <cfRule type="duplicateValues" dxfId="1238" priority="17"/>
    <cfRule type="duplicateValues" dxfId="1237" priority="16"/>
    <cfRule type="duplicateValues" dxfId="1236" priority="15"/>
    <cfRule type="duplicateValues" dxfId="1235" priority="14"/>
    <cfRule type="duplicateValues" dxfId="1234" priority="13"/>
    <cfRule type="duplicateValues" dxfId="1233" priority="12"/>
    <cfRule type="duplicateValues" dxfId="1232" priority="11"/>
    <cfRule type="duplicateValues" dxfId="1231" priority="10"/>
    <cfRule type="duplicateValues" dxfId="1230" priority="8"/>
    <cfRule type="duplicateValues" dxfId="1229" priority="7"/>
    <cfRule type="duplicateValues" dxfId="1228" priority="6"/>
    <cfRule type="duplicateValues" dxfId="1227" priority="5"/>
    <cfRule type="duplicateValues" dxfId="1226" priority="46"/>
    <cfRule type="duplicateValues" dxfId="1225" priority="45"/>
    <cfRule type="duplicateValues" dxfId="1224" priority="44"/>
    <cfRule type="duplicateValues" dxfId="1223" priority="43"/>
    <cfRule type="duplicateValues" dxfId="1222" priority="42"/>
    <cfRule type="duplicateValues" dxfId="1221" priority="41"/>
    <cfRule type="duplicateValues" dxfId="1220" priority="40"/>
    <cfRule type="duplicateValues" dxfId="1219" priority="39"/>
    <cfRule type="duplicateValues" dxfId="1218" priority="38"/>
    <cfRule type="duplicateValues" dxfId="1217" priority="37"/>
    <cfRule type="duplicateValues" dxfId="1216" priority="36"/>
    <cfRule type="duplicateValues" dxfId="1215" priority="35"/>
    <cfRule type="duplicateValues" dxfId="1214" priority="34"/>
    <cfRule type="duplicateValues" dxfId="1213" priority="33"/>
    <cfRule type="duplicateValues" dxfId="1212" priority="32"/>
    <cfRule type="duplicateValues" dxfId="1211" priority="31"/>
  </conditionalFormatting>
  <conditionalFormatting sqref="H1294">
    <cfRule type="duplicateValues" dxfId="1210" priority="857"/>
    <cfRule type="duplicateValues" dxfId="1209" priority="858"/>
    <cfRule type="duplicateValues" dxfId="1208" priority="859"/>
    <cfRule type="duplicateValues" dxfId="1207" priority="860"/>
    <cfRule type="duplicateValues" dxfId="1206" priority="861"/>
    <cfRule type="duplicateValues" dxfId="1205" priority="862"/>
    <cfRule type="duplicateValues" dxfId="1204" priority="863"/>
    <cfRule type="duplicateValues" dxfId="1203" priority="864"/>
    <cfRule type="duplicateValues" dxfId="1202" priority="865"/>
    <cfRule type="duplicateValues" dxfId="1201" priority="846"/>
    <cfRule type="duplicateValues" dxfId="1200" priority="866"/>
    <cfRule type="duplicateValues" dxfId="1199" priority="867"/>
    <cfRule type="duplicateValues" dxfId="1198" priority="868"/>
    <cfRule type="duplicateValues" dxfId="1197" priority="870"/>
    <cfRule type="duplicateValues" dxfId="1196" priority="871"/>
    <cfRule type="duplicateValues" dxfId="1195" priority="872"/>
    <cfRule type="duplicateValues" dxfId="1194" priority="873"/>
    <cfRule type="duplicateValues" dxfId="1193" priority="874"/>
    <cfRule type="duplicateValues" dxfId="1192" priority="816"/>
    <cfRule type="duplicateValues" dxfId="1191" priority="817"/>
    <cfRule type="duplicateValues" dxfId="1190" priority="836"/>
    <cfRule type="duplicateValues" dxfId="1189" priority="837"/>
    <cfRule type="duplicateValues" dxfId="1188" priority="839"/>
    <cfRule type="duplicateValues" dxfId="1187" priority="840"/>
    <cfRule type="duplicateValues" dxfId="1186" priority="841"/>
    <cfRule type="duplicateValues" dxfId="1185" priority="842"/>
    <cfRule type="duplicateValues" dxfId="1184" priority="843"/>
    <cfRule type="duplicateValues" dxfId="1183" priority="838"/>
    <cfRule type="duplicateValues" dxfId="1182" priority="844"/>
    <cfRule type="duplicateValues" dxfId="1181" priority="845"/>
    <cfRule type="duplicateValues" dxfId="1180" priority="847"/>
    <cfRule type="duplicateValues" dxfId="1179" priority="848"/>
    <cfRule type="duplicateValues" dxfId="1178" priority="849"/>
    <cfRule type="duplicateValues" dxfId="1177" priority="850"/>
    <cfRule type="duplicateValues" dxfId="1176" priority="851"/>
    <cfRule type="duplicateValues" dxfId="1175" priority="852"/>
    <cfRule type="duplicateValues" dxfId="1174" priority="853"/>
    <cfRule type="duplicateValues" dxfId="1173" priority="854"/>
    <cfRule type="duplicateValues" dxfId="1172" priority="869"/>
    <cfRule type="duplicateValues" dxfId="1171" priority="855"/>
    <cfRule type="duplicateValues" dxfId="1170" priority="856"/>
  </conditionalFormatting>
  <conditionalFormatting sqref="H1295">
    <cfRule type="duplicateValues" dxfId="1169" priority="740"/>
    <cfRule type="duplicateValues" dxfId="1168" priority="739"/>
    <cfRule type="duplicateValues" dxfId="1167" priority="738"/>
    <cfRule type="duplicateValues" dxfId="1166" priority="713"/>
    <cfRule type="duplicateValues" dxfId="1165" priority="734"/>
    <cfRule type="duplicateValues" dxfId="1164" priority="692"/>
    <cfRule type="duplicateValues" dxfId="1163" priority="712"/>
    <cfRule type="duplicateValues" dxfId="1162" priority="737"/>
    <cfRule type="duplicateValues" dxfId="1161" priority="736"/>
    <cfRule type="duplicateValues" dxfId="1160" priority="735"/>
    <cfRule type="duplicateValues" dxfId="1159" priority="733"/>
    <cfRule type="duplicateValues" dxfId="1158" priority="732"/>
    <cfRule type="duplicateValues" dxfId="1157" priority="731"/>
    <cfRule type="duplicateValues" dxfId="1156" priority="730"/>
    <cfRule type="duplicateValues" dxfId="1155" priority="693"/>
    <cfRule type="duplicateValues" dxfId="1154" priority="729"/>
    <cfRule type="duplicateValues" dxfId="1153" priority="714"/>
    <cfRule type="duplicateValues" dxfId="1152" priority="728"/>
    <cfRule type="duplicateValues" dxfId="1151" priority="727"/>
    <cfRule type="duplicateValues" dxfId="1150" priority="726"/>
    <cfRule type="duplicateValues" dxfId="1149" priority="725"/>
    <cfRule type="duplicateValues" dxfId="1148" priority="724"/>
    <cfRule type="duplicateValues" dxfId="1147" priority="719"/>
    <cfRule type="duplicateValues" dxfId="1146" priority="718"/>
    <cfRule type="duplicateValues" dxfId="1145" priority="717"/>
    <cfRule type="duplicateValues" dxfId="1144" priority="716"/>
    <cfRule type="duplicateValues" dxfId="1143" priority="715"/>
    <cfRule type="duplicateValues" dxfId="1142" priority="741"/>
    <cfRule type="duplicateValues" dxfId="1141" priority="742"/>
    <cfRule type="duplicateValues" dxfId="1140" priority="743"/>
    <cfRule type="duplicateValues" dxfId="1139" priority="723"/>
    <cfRule type="duplicateValues" dxfId="1138" priority="744"/>
    <cfRule type="duplicateValues" dxfId="1137" priority="745"/>
    <cfRule type="duplicateValues" dxfId="1136" priority="746"/>
    <cfRule type="duplicateValues" dxfId="1135" priority="747"/>
    <cfRule type="duplicateValues" dxfId="1134" priority="748"/>
    <cfRule type="duplicateValues" dxfId="1133" priority="749"/>
    <cfRule type="duplicateValues" dxfId="1132" priority="750"/>
    <cfRule type="duplicateValues" dxfId="1131" priority="722"/>
    <cfRule type="duplicateValues" dxfId="1130" priority="721"/>
    <cfRule type="duplicateValues" dxfId="1129" priority="720"/>
  </conditionalFormatting>
  <conditionalFormatting sqref="H1296">
    <cfRule type="duplicateValues" dxfId="1128" priority="432"/>
    <cfRule type="duplicateValues" dxfId="1127" priority="433"/>
    <cfRule type="duplicateValues" dxfId="1126" priority="416"/>
    <cfRule type="duplicateValues" dxfId="1125" priority="434"/>
    <cfRule type="duplicateValues" dxfId="1124" priority="435"/>
    <cfRule type="duplicateValues" dxfId="1123" priority="436"/>
    <cfRule type="duplicateValues" dxfId="1122" priority="437"/>
    <cfRule type="duplicateValues" dxfId="1121" priority="438"/>
    <cfRule type="duplicateValues" dxfId="1120" priority="439"/>
    <cfRule type="duplicateValues" dxfId="1119" priority="417"/>
    <cfRule type="duplicateValues" dxfId="1118" priority="415"/>
    <cfRule type="duplicateValues" dxfId="1117" priority="414"/>
    <cfRule type="duplicateValues" dxfId="1116" priority="413"/>
    <cfRule type="duplicateValues" dxfId="1115" priority="412"/>
    <cfRule type="duplicateValues" dxfId="1114" priority="411"/>
    <cfRule type="duplicateValues" dxfId="1113" priority="410"/>
    <cfRule type="duplicateValues" dxfId="1112" priority="409"/>
    <cfRule type="duplicateValues" dxfId="1111" priority="408"/>
    <cfRule type="duplicateValues" dxfId="1110" priority="407"/>
    <cfRule type="duplicateValues" dxfId="1109" priority="406"/>
    <cfRule type="duplicateValues" dxfId="1108" priority="405"/>
    <cfRule type="duplicateValues" dxfId="1107" priority="404"/>
    <cfRule type="duplicateValues" dxfId="1106" priority="403"/>
    <cfRule type="duplicateValues" dxfId="1105" priority="402"/>
    <cfRule type="duplicateValues" dxfId="1104" priority="401"/>
    <cfRule type="duplicateValues" dxfId="1103" priority="382"/>
    <cfRule type="duplicateValues" dxfId="1102" priority="381"/>
    <cfRule type="duplicateValues" dxfId="1101" priority="377"/>
    <cfRule type="duplicateValues" dxfId="1100" priority="419"/>
    <cfRule type="duplicateValues" dxfId="1099" priority="420"/>
    <cfRule type="duplicateValues" dxfId="1098" priority="421"/>
    <cfRule type="duplicateValues" dxfId="1097" priority="422"/>
    <cfRule type="duplicateValues" dxfId="1096" priority="423"/>
    <cfRule type="duplicateValues" dxfId="1095" priority="424"/>
    <cfRule type="duplicateValues" dxfId="1094" priority="418"/>
    <cfRule type="duplicateValues" dxfId="1093" priority="425"/>
    <cfRule type="duplicateValues" dxfId="1092" priority="426"/>
    <cfRule type="duplicateValues" dxfId="1091" priority="427"/>
    <cfRule type="duplicateValues" dxfId="1090" priority="428"/>
    <cfRule type="duplicateValues" dxfId="1089" priority="429"/>
    <cfRule type="duplicateValues" dxfId="1088" priority="430"/>
    <cfRule type="duplicateValues" dxfId="1087" priority="431"/>
  </conditionalFormatting>
  <conditionalFormatting sqref="H1297:H1048576 H1:H216">
    <cfRule type="duplicateValues" dxfId="1086" priority="12231"/>
  </conditionalFormatting>
  <conditionalFormatting sqref="H1297:H1048576 H1:H1209">
    <cfRule type="duplicateValues" dxfId="1085" priority="6247"/>
    <cfRule type="duplicateValues" dxfId="1084" priority="6246"/>
    <cfRule type="duplicateValues" dxfId="1083" priority="6245"/>
    <cfRule type="duplicateValues" dxfId="1082" priority="6244"/>
    <cfRule type="duplicateValues" dxfId="1081" priority="6248"/>
    <cfRule type="duplicateValues" dxfId="1080" priority="7244"/>
    <cfRule type="duplicateValues" dxfId="1079" priority="7242"/>
    <cfRule type="duplicateValues" dxfId="1078" priority="7240"/>
    <cfRule type="duplicateValues" dxfId="1077" priority="12162"/>
    <cfRule type="duplicateValues" dxfId="1076" priority="6243"/>
    <cfRule type="duplicateValues" dxfId="1075" priority="6249"/>
    <cfRule type="duplicateValues" dxfId="1074" priority="12156"/>
    <cfRule type="duplicateValues" dxfId="1073" priority="12157"/>
    <cfRule type="duplicateValues" dxfId="1072" priority="12158"/>
    <cfRule type="duplicateValues" dxfId="1071" priority="12159"/>
    <cfRule type="duplicateValues" dxfId="1070" priority="12160"/>
    <cfRule type="duplicateValues" dxfId="1069" priority="12161"/>
    <cfRule type="duplicateValues" dxfId="1068" priority="7247"/>
    <cfRule type="duplicateValues" dxfId="1067" priority="12154"/>
    <cfRule type="duplicateValues" dxfId="1066" priority="12153"/>
    <cfRule type="duplicateValues" dxfId="1065" priority="9584"/>
    <cfRule type="duplicateValues" dxfId="1064" priority="9581"/>
    <cfRule type="duplicateValues" dxfId="1063" priority="7243"/>
    <cfRule type="duplicateValues" dxfId="1062" priority="12155"/>
    <cfRule type="duplicateValues" dxfId="1061" priority="9580"/>
    <cfRule type="duplicateValues" dxfId="1060" priority="9579"/>
    <cfRule type="duplicateValues" dxfId="1059" priority="9578"/>
    <cfRule type="duplicateValues" dxfId="1058" priority="9577"/>
    <cfRule type="duplicateValues" dxfId="1057" priority="9575"/>
    <cfRule type="duplicateValues" dxfId="1056" priority="9463"/>
    <cfRule type="duplicateValues" dxfId="1055" priority="8722"/>
    <cfRule type="duplicateValues" dxfId="1054" priority="8721"/>
    <cfRule type="duplicateValues" dxfId="1053" priority="8720"/>
    <cfRule type="duplicateValues" dxfId="1052" priority="8719"/>
    <cfRule type="duplicateValues" dxfId="1051" priority="7248"/>
    <cfRule type="duplicateValues" dxfId="1050" priority="7246"/>
    <cfRule type="duplicateValues" dxfId="1049" priority="7245"/>
  </conditionalFormatting>
  <conditionalFormatting sqref="H1297:H1048576 H1:H1215">
    <cfRule type="duplicateValues" dxfId="1048" priority="5894"/>
  </conditionalFormatting>
  <conditionalFormatting sqref="H1297:H1048576 H1:H1216">
    <cfRule type="duplicateValues" dxfId="1047" priority="5834"/>
  </conditionalFormatting>
  <conditionalFormatting sqref="H1297:H1048576 H1:H1283">
    <cfRule type="duplicateValues" dxfId="1046" priority="4872"/>
    <cfRule type="duplicateValues" dxfId="1045" priority="2797"/>
  </conditionalFormatting>
  <conditionalFormatting sqref="H1297:H1048576 H1:H1288 H1294:H1295">
    <cfRule type="duplicateValues" dxfId="1044" priority="440"/>
  </conditionalFormatting>
  <conditionalFormatting sqref="Q2:Q12 Q15:Q25">
    <cfRule type="containsText" dxfId="1043" priority="12242" operator="containsText" text="Pending">
      <formula>NOT(ISERROR(SEARCH("Pending",Q2)))</formula>
    </cfRule>
  </conditionalFormatting>
  <conditionalFormatting sqref="T2:U1296 Q27:Q1296">
    <cfRule type="containsText" dxfId="1042" priority="4" operator="containsText" text="Pending">
      <formula>NOT(ISERROR(SEARCH("Pending",Q2)))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5"/>
  <sheetViews>
    <sheetView topLeftCell="A159" zoomScaleNormal="100" workbookViewId="0">
      <selection activeCell="O185" sqref="O185"/>
    </sheetView>
  </sheetViews>
  <sheetFormatPr defaultColWidth="17.84375" defaultRowHeight="24"/>
  <cols>
    <col min="1" max="1" width="8.3046875" bestFit="1" customWidth="1"/>
    <col min="2" max="2" width="9.84375" bestFit="1" customWidth="1"/>
    <col min="3" max="3" width="28" bestFit="1" customWidth="1"/>
    <col min="4" max="4" width="5.3046875" bestFit="1" customWidth="1"/>
    <col min="5" max="5" width="9.53515625" bestFit="1" customWidth="1"/>
    <col min="6" max="6" width="16" bestFit="1" customWidth="1"/>
    <col min="7" max="7" width="11.53515625" bestFit="1" customWidth="1"/>
    <col min="8" max="8" width="21.84375" bestFit="1" customWidth="1"/>
    <col min="9" max="9" width="11.53515625" bestFit="1" customWidth="1"/>
    <col min="10" max="10" width="7.53515625" bestFit="1" customWidth="1"/>
    <col min="11" max="11" width="17.69140625" bestFit="1" customWidth="1"/>
    <col min="12" max="12" width="39.53515625" bestFit="1" customWidth="1"/>
    <col min="13" max="13" width="11.3046875" bestFit="1" customWidth="1"/>
    <col min="14" max="14" width="15.84375" bestFit="1" customWidth="1"/>
    <col min="15" max="15" width="16.53515625" bestFit="1" customWidth="1"/>
    <col min="16" max="17" width="15.84375" bestFit="1" customWidth="1"/>
    <col min="18" max="18" width="16.84375" bestFit="1" customWidth="1"/>
    <col min="19" max="19" width="11.53515625" bestFit="1" customWidth="1"/>
    <col min="20" max="20" width="19.53515625" bestFit="1" customWidth="1"/>
    <col min="21" max="21" width="19.15234375" bestFit="1" customWidth="1"/>
    <col min="22" max="22" width="7.53515625" bestFit="1" customWidth="1"/>
    <col min="23" max="23" width="10.69140625" bestFit="1" customWidth="1"/>
    <col min="24" max="24" width="10.53515625" bestFit="1" customWidth="1"/>
    <col min="25" max="25" width="14.3828125" bestFit="1" customWidth="1"/>
    <col min="26" max="26" width="7.53515625" style="8" bestFit="1" customWidth="1"/>
    <col min="27" max="27" width="6.3828125" bestFit="1" customWidth="1"/>
  </cols>
  <sheetData>
    <row r="1" spans="1:27" ht="39">
      <c r="A1" s="27" t="s">
        <v>0</v>
      </c>
      <c r="B1" s="27" t="s">
        <v>1</v>
      </c>
      <c r="C1" s="28" t="s">
        <v>2</v>
      </c>
      <c r="D1" s="27" t="s">
        <v>3</v>
      </c>
      <c r="E1" s="29" t="s">
        <v>4</v>
      </c>
      <c r="F1" s="27" t="s">
        <v>5</v>
      </c>
      <c r="G1" s="27" t="s">
        <v>6</v>
      </c>
      <c r="H1" s="29" t="s">
        <v>7</v>
      </c>
      <c r="I1" s="27" t="s">
        <v>8</v>
      </c>
      <c r="J1" s="30" t="s">
        <v>9</v>
      </c>
      <c r="K1" s="29" t="s">
        <v>10</v>
      </c>
      <c r="L1" s="27" t="s">
        <v>11</v>
      </c>
      <c r="M1" s="13" t="s">
        <v>264</v>
      </c>
      <c r="N1" s="11" t="s">
        <v>265</v>
      </c>
      <c r="O1" s="29" t="s">
        <v>14</v>
      </c>
      <c r="P1" s="13" t="s">
        <v>266</v>
      </c>
      <c r="Q1" s="29" t="s">
        <v>16</v>
      </c>
      <c r="R1" s="29" t="s">
        <v>18</v>
      </c>
      <c r="S1" s="31" t="s">
        <v>21</v>
      </c>
      <c r="T1" s="32" t="s">
        <v>19</v>
      </c>
      <c r="U1" s="27" t="s">
        <v>20</v>
      </c>
      <c r="V1" s="29" t="s">
        <v>22</v>
      </c>
      <c r="W1" s="31" t="s">
        <v>23</v>
      </c>
      <c r="X1" s="27" t="s">
        <v>17</v>
      </c>
      <c r="Y1" s="29" t="s">
        <v>268</v>
      </c>
      <c r="Z1" s="30" t="s">
        <v>26</v>
      </c>
      <c r="AA1" s="33" t="s">
        <v>27</v>
      </c>
    </row>
    <row r="2" spans="1:27" ht="15.75" customHeight="1">
      <c r="A2" s="34">
        <f>SUBTOTAL(3,C$2:C2)</f>
        <v>1</v>
      </c>
      <c r="B2" s="34" t="s">
        <v>30</v>
      </c>
      <c r="C2" s="37" t="s">
        <v>57</v>
      </c>
      <c r="D2" s="34" t="s">
        <v>32</v>
      </c>
      <c r="E2" s="34" t="s">
        <v>33</v>
      </c>
      <c r="F2" s="34" t="s">
        <v>58</v>
      </c>
      <c r="G2" s="34" t="s">
        <v>59</v>
      </c>
      <c r="H2" s="39">
        <v>16884</v>
      </c>
      <c r="I2" s="35">
        <v>46113</v>
      </c>
      <c r="J2" s="34">
        <f t="shared" ref="J2" ca="1" si="0">+TODAY()-I2</f>
        <v>71</v>
      </c>
      <c r="K2" s="34">
        <f>+U2</f>
        <v>46129</v>
      </c>
      <c r="L2" s="34" t="s">
        <v>60</v>
      </c>
      <c r="M2" s="34">
        <v>39000</v>
      </c>
      <c r="N2" s="34">
        <v>34000</v>
      </c>
      <c r="O2" s="35">
        <v>46113</v>
      </c>
      <c r="P2" s="34">
        <f t="shared" ref="P2" si="1">+M2-N2</f>
        <v>5000</v>
      </c>
      <c r="Q2" s="17">
        <v>46141</v>
      </c>
      <c r="R2" s="34" t="s">
        <v>61</v>
      </c>
      <c r="S2" s="34">
        <v>46000</v>
      </c>
      <c r="T2" s="34" t="s">
        <v>663</v>
      </c>
      <c r="U2" s="35">
        <v>46129</v>
      </c>
      <c r="V2" s="34" t="s">
        <v>28</v>
      </c>
      <c r="W2" s="34">
        <f t="shared" ref="W2:W14" si="2">+S2-M2</f>
        <v>7000</v>
      </c>
      <c r="X2" s="34" t="s">
        <v>36</v>
      </c>
      <c r="Y2" s="34" t="s">
        <v>29</v>
      </c>
      <c r="Z2" s="36">
        <f t="shared" ref="Z2:Z14" si="3">+W2*100/M2</f>
        <v>17.948717948717949</v>
      </c>
      <c r="AA2" s="34"/>
    </row>
    <row r="3" spans="1:27" ht="15.75" customHeight="1">
      <c r="A3" s="34">
        <f>SUBTOTAL(3,C$2:C3)</f>
        <v>2</v>
      </c>
      <c r="B3" s="34" t="s">
        <v>30</v>
      </c>
      <c r="C3" s="37" t="s">
        <v>31</v>
      </c>
      <c r="D3" s="34" t="s">
        <v>32</v>
      </c>
      <c r="E3" s="34" t="s">
        <v>33</v>
      </c>
      <c r="F3" s="34" t="s">
        <v>159</v>
      </c>
      <c r="G3" s="34" t="s">
        <v>34</v>
      </c>
      <c r="H3" s="39">
        <v>16889</v>
      </c>
      <c r="I3" s="35">
        <v>46116</v>
      </c>
      <c r="J3" s="34">
        <f t="shared" ref="J3" ca="1" si="4">+TODAY()-I3</f>
        <v>68</v>
      </c>
      <c r="K3" s="34">
        <f t="shared" ref="K3" si="5">+U3</f>
        <v>46129</v>
      </c>
      <c r="L3" s="34" t="s">
        <v>160</v>
      </c>
      <c r="M3" s="34">
        <v>19000</v>
      </c>
      <c r="N3" s="34">
        <v>17000</v>
      </c>
      <c r="O3" s="35">
        <v>46116</v>
      </c>
      <c r="P3" s="34">
        <f t="shared" ref="P3" si="6">+M3-N3</f>
        <v>2000</v>
      </c>
      <c r="Q3" s="17">
        <v>46141</v>
      </c>
      <c r="R3" s="34" t="s">
        <v>61</v>
      </c>
      <c r="S3" s="34">
        <v>22000</v>
      </c>
      <c r="T3" s="34" t="s">
        <v>660</v>
      </c>
      <c r="U3" s="35">
        <v>46129</v>
      </c>
      <c r="V3" s="34" t="s">
        <v>28</v>
      </c>
      <c r="W3" s="34">
        <f t="shared" si="2"/>
        <v>3000</v>
      </c>
      <c r="X3" s="34" t="s">
        <v>36</v>
      </c>
      <c r="Y3" s="34" t="s">
        <v>29</v>
      </c>
      <c r="Z3" s="36">
        <f t="shared" si="3"/>
        <v>15.789473684210526</v>
      </c>
      <c r="AA3" s="34"/>
    </row>
    <row r="4" spans="1:27" ht="15.75" customHeight="1">
      <c r="A4" s="34">
        <f>SUBTOTAL(3,C$2:C4)</f>
        <v>3</v>
      </c>
      <c r="B4" s="34" t="s">
        <v>30</v>
      </c>
      <c r="C4" s="37" t="s">
        <v>31</v>
      </c>
      <c r="D4" s="34" t="s">
        <v>32</v>
      </c>
      <c r="E4" s="34" t="s">
        <v>33</v>
      </c>
      <c r="F4" s="34" t="s">
        <v>161</v>
      </c>
      <c r="G4" s="34" t="s">
        <v>34</v>
      </c>
      <c r="H4" s="39">
        <v>16890</v>
      </c>
      <c r="I4" s="35">
        <v>46116</v>
      </c>
      <c r="J4" s="34">
        <f t="shared" ref="J4:J7" ca="1" si="7">+TODAY()-I4</f>
        <v>68</v>
      </c>
      <c r="K4" s="34">
        <f t="shared" ref="K4:K7" si="8">+U4</f>
        <v>46129</v>
      </c>
      <c r="L4" s="34" t="s">
        <v>160</v>
      </c>
      <c r="M4" s="34">
        <v>19000</v>
      </c>
      <c r="N4" s="34">
        <v>17000</v>
      </c>
      <c r="O4" s="35">
        <v>46116</v>
      </c>
      <c r="P4" s="34">
        <f t="shared" ref="P4:P7" si="9">+M4-N4</f>
        <v>2000</v>
      </c>
      <c r="Q4" s="17">
        <v>46141</v>
      </c>
      <c r="R4" s="34" t="s">
        <v>61</v>
      </c>
      <c r="S4" s="34">
        <v>22000</v>
      </c>
      <c r="T4" s="34" t="s">
        <v>660</v>
      </c>
      <c r="U4" s="35">
        <v>46129</v>
      </c>
      <c r="V4" s="34" t="s">
        <v>28</v>
      </c>
      <c r="W4" s="34">
        <f t="shared" si="2"/>
        <v>3000</v>
      </c>
      <c r="X4" s="34" t="s">
        <v>36</v>
      </c>
      <c r="Y4" s="34" t="s">
        <v>29</v>
      </c>
      <c r="Z4" s="36">
        <f t="shared" si="3"/>
        <v>15.789473684210526</v>
      </c>
      <c r="AA4" s="34"/>
    </row>
    <row r="5" spans="1:27" ht="15.75" customHeight="1">
      <c r="A5" s="34">
        <f>SUBTOTAL(3,C$2:C5)</f>
        <v>4</v>
      </c>
      <c r="B5" s="34" t="s">
        <v>30</v>
      </c>
      <c r="C5" s="37" t="s">
        <v>44</v>
      </c>
      <c r="D5" s="34" t="s">
        <v>32</v>
      </c>
      <c r="E5" s="34" t="s">
        <v>33</v>
      </c>
      <c r="F5" s="34" t="s">
        <v>164</v>
      </c>
      <c r="G5" s="34" t="s">
        <v>59</v>
      </c>
      <c r="H5" s="39">
        <v>16891</v>
      </c>
      <c r="I5" s="35">
        <v>46114</v>
      </c>
      <c r="J5" s="34">
        <f t="shared" ref="J5" ca="1" si="10">+TODAY()-I5</f>
        <v>70</v>
      </c>
      <c r="K5" s="34">
        <f t="shared" ref="K5" si="11">+U5</f>
        <v>46129</v>
      </c>
      <c r="L5" s="34" t="s">
        <v>165</v>
      </c>
      <c r="M5" s="34">
        <v>27500</v>
      </c>
      <c r="N5" s="34">
        <v>24500</v>
      </c>
      <c r="O5" s="35">
        <v>46116</v>
      </c>
      <c r="P5" s="34">
        <f t="shared" ref="P5" si="12">+M5-N5</f>
        <v>3000</v>
      </c>
      <c r="Q5" s="17">
        <v>46141</v>
      </c>
      <c r="R5" s="34" t="s">
        <v>61</v>
      </c>
      <c r="S5" s="34">
        <v>32000</v>
      </c>
      <c r="T5" s="34" t="s">
        <v>659</v>
      </c>
      <c r="U5" s="35">
        <v>46129</v>
      </c>
      <c r="V5" s="34" t="s">
        <v>28</v>
      </c>
      <c r="W5" s="34">
        <f t="shared" si="2"/>
        <v>4500</v>
      </c>
      <c r="X5" s="34" t="s">
        <v>36</v>
      </c>
      <c r="Y5" s="34" t="s">
        <v>29</v>
      </c>
      <c r="Z5" s="36">
        <f t="shared" si="3"/>
        <v>16.363636363636363</v>
      </c>
      <c r="AA5" s="34"/>
    </row>
    <row r="6" spans="1:27" ht="15.75" customHeight="1">
      <c r="A6" s="34">
        <f>SUBTOTAL(3,C$2:C6)</f>
        <v>5</v>
      </c>
      <c r="B6" s="34" t="s">
        <v>30</v>
      </c>
      <c r="C6" s="37" t="s">
        <v>80</v>
      </c>
      <c r="D6" s="34" t="s">
        <v>32</v>
      </c>
      <c r="E6" s="34" t="s">
        <v>33</v>
      </c>
      <c r="F6" s="34" t="s">
        <v>162</v>
      </c>
      <c r="G6" s="34" t="s">
        <v>59</v>
      </c>
      <c r="H6" s="39">
        <v>16892</v>
      </c>
      <c r="I6" s="35">
        <v>46116</v>
      </c>
      <c r="J6" s="34">
        <f t="shared" ca="1" si="7"/>
        <v>68</v>
      </c>
      <c r="K6" s="34">
        <f t="shared" si="8"/>
        <v>46129</v>
      </c>
      <c r="L6" s="34" t="s">
        <v>163</v>
      </c>
      <c r="M6" s="34">
        <v>39000</v>
      </c>
      <c r="N6" s="34">
        <v>34000</v>
      </c>
      <c r="O6" s="35">
        <v>46116</v>
      </c>
      <c r="P6" s="34">
        <f t="shared" si="9"/>
        <v>5000</v>
      </c>
      <c r="Q6" s="17">
        <v>46141</v>
      </c>
      <c r="R6" s="34" t="s">
        <v>61</v>
      </c>
      <c r="S6" s="34">
        <v>46000</v>
      </c>
      <c r="T6" s="34" t="s">
        <v>663</v>
      </c>
      <c r="U6" s="35">
        <v>46129</v>
      </c>
      <c r="V6" s="34" t="s">
        <v>28</v>
      </c>
      <c r="W6" s="34">
        <f t="shared" si="2"/>
        <v>7000</v>
      </c>
      <c r="X6" s="34" t="s">
        <v>36</v>
      </c>
      <c r="Y6" s="34" t="s">
        <v>29</v>
      </c>
      <c r="Z6" s="36">
        <f t="shared" si="3"/>
        <v>17.948717948717949</v>
      </c>
      <c r="AA6" s="34"/>
    </row>
    <row r="7" spans="1:27" ht="15.75" customHeight="1">
      <c r="A7" s="34">
        <f>SUBTOTAL(3,C$2:C7)</f>
        <v>6</v>
      </c>
      <c r="B7" s="34" t="s">
        <v>30</v>
      </c>
      <c r="C7" s="37" t="s">
        <v>31</v>
      </c>
      <c r="D7" s="34" t="s">
        <v>32</v>
      </c>
      <c r="E7" s="34" t="s">
        <v>33</v>
      </c>
      <c r="F7" s="34" t="s">
        <v>205</v>
      </c>
      <c r="G7" s="34" t="s">
        <v>34</v>
      </c>
      <c r="H7" s="39">
        <v>16893</v>
      </c>
      <c r="I7" s="35">
        <v>46116</v>
      </c>
      <c r="J7" s="34">
        <f t="shared" ca="1" si="7"/>
        <v>68</v>
      </c>
      <c r="K7" s="34">
        <f t="shared" si="8"/>
        <v>46129</v>
      </c>
      <c r="L7" s="34" t="s">
        <v>160</v>
      </c>
      <c r="M7" s="34">
        <v>19000</v>
      </c>
      <c r="N7" s="34">
        <v>17000</v>
      </c>
      <c r="O7" s="35">
        <v>46118</v>
      </c>
      <c r="P7" s="34">
        <f t="shared" si="9"/>
        <v>2000</v>
      </c>
      <c r="Q7" s="17">
        <v>46141</v>
      </c>
      <c r="R7" s="34" t="s">
        <v>61</v>
      </c>
      <c r="S7" s="34">
        <v>22000</v>
      </c>
      <c r="T7" s="34" t="s">
        <v>660</v>
      </c>
      <c r="U7" s="35">
        <v>46129</v>
      </c>
      <c r="V7" s="34" t="s">
        <v>28</v>
      </c>
      <c r="W7" s="34">
        <f t="shared" si="2"/>
        <v>3000</v>
      </c>
      <c r="X7" s="34" t="s">
        <v>36</v>
      </c>
      <c r="Y7" s="34" t="s">
        <v>29</v>
      </c>
      <c r="Z7" s="36">
        <f t="shared" si="3"/>
        <v>15.789473684210526</v>
      </c>
      <c r="AA7" s="34"/>
    </row>
    <row r="8" spans="1:27" ht="15.75" customHeight="1">
      <c r="A8" s="34">
        <f>SUBTOTAL(3,C$2:C8)</f>
        <v>7</v>
      </c>
      <c r="B8" s="34" t="s">
        <v>30</v>
      </c>
      <c r="C8" s="37" t="s">
        <v>31</v>
      </c>
      <c r="D8" s="34" t="s">
        <v>32</v>
      </c>
      <c r="E8" s="34" t="s">
        <v>33</v>
      </c>
      <c r="F8" s="34" t="s">
        <v>206</v>
      </c>
      <c r="G8" s="34" t="s">
        <v>34</v>
      </c>
      <c r="H8" s="39">
        <v>16894</v>
      </c>
      <c r="I8" s="35">
        <v>46117</v>
      </c>
      <c r="J8" s="34">
        <f t="shared" ref="J8:J10" ca="1" si="13">+TODAY()-I8</f>
        <v>67</v>
      </c>
      <c r="K8" s="34">
        <f t="shared" ref="K8" si="14">+U8</f>
        <v>46129</v>
      </c>
      <c r="L8" s="34" t="s">
        <v>160</v>
      </c>
      <c r="M8" s="34">
        <v>19000</v>
      </c>
      <c r="N8" s="34">
        <v>17000</v>
      </c>
      <c r="O8" s="35">
        <v>46118</v>
      </c>
      <c r="P8" s="34">
        <f t="shared" ref="P8:P10" si="15">+M8-N8</f>
        <v>2000</v>
      </c>
      <c r="Q8" s="17">
        <v>46141</v>
      </c>
      <c r="R8" s="34" t="s">
        <v>61</v>
      </c>
      <c r="S8" s="34">
        <v>22000</v>
      </c>
      <c r="T8" s="34" t="s">
        <v>661</v>
      </c>
      <c r="U8" s="35">
        <v>46129</v>
      </c>
      <c r="V8" s="34" t="s">
        <v>28</v>
      </c>
      <c r="W8" s="34">
        <f t="shared" si="2"/>
        <v>3000</v>
      </c>
      <c r="X8" s="34" t="s">
        <v>36</v>
      </c>
      <c r="Y8" s="34" t="s">
        <v>29</v>
      </c>
      <c r="Z8" s="36">
        <f t="shared" si="3"/>
        <v>15.789473684210526</v>
      </c>
      <c r="AA8" s="34"/>
    </row>
    <row r="9" spans="1:27" ht="15.75" customHeight="1">
      <c r="A9" s="34">
        <f>SUBTOTAL(3,C$2:C9)</f>
        <v>8</v>
      </c>
      <c r="B9" s="34" t="s">
        <v>30</v>
      </c>
      <c r="C9" s="37" t="s">
        <v>57</v>
      </c>
      <c r="D9" s="34" t="s">
        <v>32</v>
      </c>
      <c r="E9" s="34" t="s">
        <v>33</v>
      </c>
      <c r="F9" s="34" t="s">
        <v>207</v>
      </c>
      <c r="G9" s="34" t="s">
        <v>59</v>
      </c>
      <c r="H9" s="39">
        <v>16895</v>
      </c>
      <c r="I9" s="35">
        <v>46116</v>
      </c>
      <c r="J9" s="34">
        <f t="shared" ca="1" si="13"/>
        <v>68</v>
      </c>
      <c r="K9" s="34">
        <f>+U9</f>
        <v>46129</v>
      </c>
      <c r="L9" s="34" t="s">
        <v>60</v>
      </c>
      <c r="M9" s="34">
        <v>39000</v>
      </c>
      <c r="N9" s="34">
        <v>34000</v>
      </c>
      <c r="O9" s="35">
        <v>46118</v>
      </c>
      <c r="P9" s="34">
        <f t="shared" si="15"/>
        <v>5000</v>
      </c>
      <c r="Q9" s="17">
        <v>46141</v>
      </c>
      <c r="R9" s="34" t="s">
        <v>61</v>
      </c>
      <c r="S9" s="34">
        <v>46000</v>
      </c>
      <c r="T9" s="34" t="s">
        <v>664</v>
      </c>
      <c r="U9" s="35">
        <v>46129</v>
      </c>
      <c r="V9" s="34" t="s">
        <v>28</v>
      </c>
      <c r="W9" s="34">
        <f t="shared" si="2"/>
        <v>7000</v>
      </c>
      <c r="X9" s="34" t="s">
        <v>36</v>
      </c>
      <c r="Y9" s="34" t="s">
        <v>29</v>
      </c>
      <c r="Z9" s="36">
        <f t="shared" si="3"/>
        <v>17.948717948717949</v>
      </c>
      <c r="AA9" s="34"/>
    </row>
    <row r="10" spans="1:27" ht="15.75" customHeight="1">
      <c r="A10" s="34">
        <f>SUBTOTAL(3,C$2:C10)</f>
        <v>9</v>
      </c>
      <c r="B10" s="34" t="s">
        <v>30</v>
      </c>
      <c r="C10" s="37" t="s">
        <v>44</v>
      </c>
      <c r="D10" s="34" t="s">
        <v>32</v>
      </c>
      <c r="E10" s="34" t="s">
        <v>33</v>
      </c>
      <c r="F10" s="34" t="s">
        <v>225</v>
      </c>
      <c r="G10" s="34" t="s">
        <v>59</v>
      </c>
      <c r="H10" s="39">
        <v>16896</v>
      </c>
      <c r="I10" s="35">
        <v>46114</v>
      </c>
      <c r="J10" s="34">
        <f t="shared" ca="1" si="13"/>
        <v>70</v>
      </c>
      <c r="K10" s="34">
        <f t="shared" ref="K10:K11" si="16">+U10</f>
        <v>46129</v>
      </c>
      <c r="L10" s="34" t="s">
        <v>226</v>
      </c>
      <c r="M10" s="34">
        <v>27500</v>
      </c>
      <c r="N10" s="34">
        <v>24500</v>
      </c>
      <c r="O10" s="35">
        <v>46118</v>
      </c>
      <c r="P10" s="34">
        <f t="shared" si="15"/>
        <v>3000</v>
      </c>
      <c r="Q10" s="17">
        <v>46141</v>
      </c>
      <c r="R10" s="34" t="s">
        <v>61</v>
      </c>
      <c r="S10" s="34">
        <v>32000</v>
      </c>
      <c r="T10" s="34" t="s">
        <v>659</v>
      </c>
      <c r="U10" s="35">
        <v>46129</v>
      </c>
      <c r="V10" s="34" t="s">
        <v>28</v>
      </c>
      <c r="W10" s="34">
        <f t="shared" si="2"/>
        <v>4500</v>
      </c>
      <c r="X10" s="34" t="s">
        <v>36</v>
      </c>
      <c r="Y10" s="34" t="s">
        <v>29</v>
      </c>
      <c r="Z10" s="36">
        <f t="shared" si="3"/>
        <v>16.363636363636363</v>
      </c>
      <c r="AA10" s="34"/>
    </row>
    <row r="11" spans="1:27" ht="15.75" customHeight="1">
      <c r="A11" s="34">
        <f>SUBTOTAL(3,C$2:C11)</f>
        <v>10</v>
      </c>
      <c r="B11" s="34" t="s">
        <v>30</v>
      </c>
      <c r="C11" s="37" t="s">
        <v>31</v>
      </c>
      <c r="D11" s="34" t="s">
        <v>32</v>
      </c>
      <c r="E11" s="34" t="s">
        <v>33</v>
      </c>
      <c r="F11" s="34" t="s">
        <v>253</v>
      </c>
      <c r="G11" s="34" t="s">
        <v>34</v>
      </c>
      <c r="H11" s="39">
        <v>16897</v>
      </c>
      <c r="I11" s="35">
        <v>46118</v>
      </c>
      <c r="J11" s="34">
        <f t="shared" ref="J11" ca="1" si="17">+TODAY()-I11</f>
        <v>66</v>
      </c>
      <c r="K11" s="34">
        <f t="shared" si="16"/>
        <v>46129</v>
      </c>
      <c r="L11" s="34" t="s">
        <v>160</v>
      </c>
      <c r="M11" s="34">
        <v>19000</v>
      </c>
      <c r="N11" s="34">
        <v>17000</v>
      </c>
      <c r="O11" s="35">
        <v>46120</v>
      </c>
      <c r="P11" s="34">
        <f t="shared" ref="P11" si="18">+M11-N11</f>
        <v>2000</v>
      </c>
      <c r="Q11" s="17">
        <v>46141</v>
      </c>
      <c r="R11" s="34" t="s">
        <v>61</v>
      </c>
      <c r="S11" s="34">
        <v>22000</v>
      </c>
      <c r="T11" s="34" t="s">
        <v>661</v>
      </c>
      <c r="U11" s="35">
        <v>46129</v>
      </c>
      <c r="V11" s="34" t="s">
        <v>28</v>
      </c>
      <c r="W11" s="34">
        <f t="shared" si="2"/>
        <v>3000</v>
      </c>
      <c r="X11" s="34" t="s">
        <v>36</v>
      </c>
      <c r="Y11" s="34" t="s">
        <v>29</v>
      </c>
      <c r="Z11" s="36">
        <f t="shared" si="3"/>
        <v>15.789473684210526</v>
      </c>
      <c r="AA11" s="34"/>
    </row>
    <row r="12" spans="1:27" ht="15.75" customHeight="1">
      <c r="A12" s="34">
        <f>SUBTOTAL(3,C$2:C12)</f>
        <v>11</v>
      </c>
      <c r="B12" s="34" t="s">
        <v>30</v>
      </c>
      <c r="C12" s="37" t="s">
        <v>31</v>
      </c>
      <c r="D12" s="34" t="s">
        <v>32</v>
      </c>
      <c r="E12" s="34" t="s">
        <v>33</v>
      </c>
      <c r="F12" s="34" t="s">
        <v>206</v>
      </c>
      <c r="G12" s="34" t="s">
        <v>34</v>
      </c>
      <c r="H12" s="39">
        <v>16898</v>
      </c>
      <c r="I12" s="35">
        <v>46118</v>
      </c>
      <c r="J12" s="34">
        <f t="shared" ref="J12" ca="1" si="19">+TODAY()-I12</f>
        <v>66</v>
      </c>
      <c r="K12" s="34">
        <f t="shared" ref="K12" si="20">+U12</f>
        <v>46129</v>
      </c>
      <c r="L12" s="34" t="s">
        <v>160</v>
      </c>
      <c r="M12" s="34">
        <v>19000</v>
      </c>
      <c r="N12" s="34">
        <v>17000</v>
      </c>
      <c r="O12" s="35">
        <v>46120</v>
      </c>
      <c r="P12" s="34">
        <f t="shared" ref="P12" si="21">+M12-N12</f>
        <v>2000</v>
      </c>
      <c r="Q12" s="17">
        <v>46141</v>
      </c>
      <c r="R12" s="34" t="s">
        <v>61</v>
      </c>
      <c r="S12" s="34">
        <v>22000</v>
      </c>
      <c r="T12" s="34" t="s">
        <v>661</v>
      </c>
      <c r="U12" s="35">
        <v>46129</v>
      </c>
      <c r="V12" s="34" t="s">
        <v>28</v>
      </c>
      <c r="W12" s="34">
        <f t="shared" si="2"/>
        <v>3000</v>
      </c>
      <c r="X12" s="34" t="s">
        <v>36</v>
      </c>
      <c r="Y12" s="34" t="s">
        <v>29</v>
      </c>
      <c r="Z12" s="36">
        <f t="shared" si="3"/>
        <v>15.789473684210526</v>
      </c>
      <c r="AA12" s="34"/>
    </row>
    <row r="13" spans="1:27" ht="15.75" customHeight="1">
      <c r="A13" s="34">
        <f>SUBTOTAL(3,C$2:C13)</f>
        <v>12</v>
      </c>
      <c r="B13" s="34" t="s">
        <v>30</v>
      </c>
      <c r="C13" s="37" t="s">
        <v>31</v>
      </c>
      <c r="D13" s="34" t="s">
        <v>32</v>
      </c>
      <c r="E13" s="34" t="s">
        <v>33</v>
      </c>
      <c r="F13" s="34" t="s">
        <v>254</v>
      </c>
      <c r="G13" s="34" t="s">
        <v>34</v>
      </c>
      <c r="H13" s="39">
        <v>16899</v>
      </c>
      <c r="I13" s="35">
        <v>46119</v>
      </c>
      <c r="J13" s="34">
        <f t="shared" ref="J13" ca="1" si="22">+TODAY()-I13</f>
        <v>65</v>
      </c>
      <c r="K13" s="34">
        <f t="shared" ref="K13" si="23">+U13</f>
        <v>46129</v>
      </c>
      <c r="L13" s="34" t="s">
        <v>160</v>
      </c>
      <c r="M13" s="34">
        <v>19000</v>
      </c>
      <c r="N13" s="34">
        <v>17000</v>
      </c>
      <c r="O13" s="35">
        <v>46120</v>
      </c>
      <c r="P13" s="34">
        <f t="shared" ref="P13" si="24">+M13-N13</f>
        <v>2000</v>
      </c>
      <c r="Q13" s="17">
        <v>46141</v>
      </c>
      <c r="R13" s="34" t="s">
        <v>61</v>
      </c>
      <c r="S13" s="34">
        <v>22000</v>
      </c>
      <c r="T13" s="34" t="s">
        <v>662</v>
      </c>
      <c r="U13" s="35">
        <v>46129</v>
      </c>
      <c r="V13" s="34" t="s">
        <v>28</v>
      </c>
      <c r="W13" s="34">
        <f t="shared" si="2"/>
        <v>3000</v>
      </c>
      <c r="X13" s="34" t="s">
        <v>36</v>
      </c>
      <c r="Y13" s="34" t="s">
        <v>29</v>
      </c>
      <c r="Z13" s="36">
        <f t="shared" si="3"/>
        <v>15.789473684210526</v>
      </c>
      <c r="AA13" s="34"/>
    </row>
    <row r="14" spans="1:27" ht="15.75" customHeight="1">
      <c r="A14" s="34">
        <f>SUBTOTAL(3,C$2:C14)</f>
        <v>13</v>
      </c>
      <c r="B14" s="34" t="s">
        <v>30</v>
      </c>
      <c r="C14" s="37" t="s">
        <v>31</v>
      </c>
      <c r="D14" s="34" t="s">
        <v>32</v>
      </c>
      <c r="E14" s="34" t="s">
        <v>33</v>
      </c>
      <c r="F14" s="34" t="s">
        <v>255</v>
      </c>
      <c r="G14" s="34" t="s">
        <v>34</v>
      </c>
      <c r="H14" s="39">
        <v>16900</v>
      </c>
      <c r="I14" s="35">
        <v>46119</v>
      </c>
      <c r="J14" s="34">
        <f t="shared" ref="J14:J16" ca="1" si="25">+TODAY()-I14</f>
        <v>65</v>
      </c>
      <c r="K14" s="34">
        <f t="shared" ref="K14:K15" si="26">+U14</f>
        <v>46129</v>
      </c>
      <c r="L14" s="34" t="s">
        <v>160</v>
      </c>
      <c r="M14" s="34">
        <v>19000</v>
      </c>
      <c r="N14" s="34">
        <v>17000</v>
      </c>
      <c r="O14" s="35">
        <v>46120</v>
      </c>
      <c r="P14" s="34">
        <f t="shared" ref="P14:P16" si="27">+M14-N14</f>
        <v>2000</v>
      </c>
      <c r="Q14" s="17">
        <v>46141</v>
      </c>
      <c r="R14" s="34" t="s">
        <v>61</v>
      </c>
      <c r="S14" s="34">
        <v>22000</v>
      </c>
      <c r="T14" s="34" t="s">
        <v>662</v>
      </c>
      <c r="U14" s="35">
        <v>46129</v>
      </c>
      <c r="V14" s="34" t="s">
        <v>28</v>
      </c>
      <c r="W14" s="34">
        <f t="shared" si="2"/>
        <v>3000</v>
      </c>
      <c r="X14" s="34" t="s">
        <v>36</v>
      </c>
      <c r="Y14" s="34" t="s">
        <v>29</v>
      </c>
      <c r="Z14" s="36">
        <f t="shared" si="3"/>
        <v>15.789473684210526</v>
      </c>
      <c r="AA14" s="34"/>
    </row>
    <row r="15" spans="1:27" ht="15.75" customHeight="1">
      <c r="A15" s="34">
        <f>SUBTOTAL(3,C$2:C15)</f>
        <v>14</v>
      </c>
      <c r="B15" s="34" t="s">
        <v>30</v>
      </c>
      <c r="C15" s="37" t="s">
        <v>44</v>
      </c>
      <c r="D15" s="34" t="s">
        <v>32</v>
      </c>
      <c r="E15" s="34" t="s">
        <v>33</v>
      </c>
      <c r="F15" s="34" t="s">
        <v>287</v>
      </c>
      <c r="G15" s="34" t="s">
        <v>59</v>
      </c>
      <c r="H15" s="39" t="s">
        <v>286</v>
      </c>
      <c r="I15" s="35">
        <v>46119</v>
      </c>
      <c r="J15" s="34">
        <f t="shared" ca="1" si="25"/>
        <v>65</v>
      </c>
      <c r="K15" s="34">
        <f t="shared" si="26"/>
        <v>46129</v>
      </c>
      <c r="L15" s="34" t="s">
        <v>288</v>
      </c>
      <c r="M15" s="34">
        <v>39000</v>
      </c>
      <c r="N15" s="34">
        <v>34000</v>
      </c>
      <c r="O15" s="35">
        <v>46121</v>
      </c>
      <c r="P15" s="34">
        <f t="shared" si="27"/>
        <v>5000</v>
      </c>
      <c r="Q15" s="17">
        <v>46141</v>
      </c>
      <c r="R15" s="34" t="s">
        <v>61</v>
      </c>
      <c r="S15" s="34">
        <v>46000</v>
      </c>
      <c r="T15" s="34" t="s">
        <v>664</v>
      </c>
      <c r="U15" s="35">
        <v>46129</v>
      </c>
      <c r="V15" s="34" t="s">
        <v>28</v>
      </c>
      <c r="W15" s="34">
        <f t="shared" ref="W15:W16" si="28">+S15-M15</f>
        <v>7000</v>
      </c>
      <c r="X15" s="34" t="s">
        <v>36</v>
      </c>
      <c r="Y15" s="34" t="s">
        <v>29</v>
      </c>
      <c r="Z15" s="36">
        <f t="shared" ref="Z15:Z16" si="29">+W15*100/M15</f>
        <v>17.948717948717949</v>
      </c>
      <c r="AA15" s="34"/>
    </row>
    <row r="16" spans="1:27" ht="15.75" customHeight="1">
      <c r="A16" s="34">
        <f>SUBTOTAL(3,C$2:C16)</f>
        <v>15</v>
      </c>
      <c r="B16" s="34" t="s">
        <v>30</v>
      </c>
      <c r="C16" s="37" t="s">
        <v>57</v>
      </c>
      <c r="D16" s="34" t="s">
        <v>32</v>
      </c>
      <c r="E16" s="34" t="s">
        <v>33</v>
      </c>
      <c r="F16" s="34" t="s">
        <v>225</v>
      </c>
      <c r="G16" s="34" t="s">
        <v>59</v>
      </c>
      <c r="H16" s="39" t="s">
        <v>289</v>
      </c>
      <c r="I16" s="35">
        <v>46119</v>
      </c>
      <c r="J16" s="34">
        <f t="shared" ca="1" si="25"/>
        <v>65</v>
      </c>
      <c r="K16" s="34">
        <f>+U16</f>
        <v>46129</v>
      </c>
      <c r="L16" s="34" t="s">
        <v>288</v>
      </c>
      <c r="M16" s="34">
        <v>39000</v>
      </c>
      <c r="N16" s="34">
        <v>34000</v>
      </c>
      <c r="O16" s="35">
        <v>46121</v>
      </c>
      <c r="P16" s="34">
        <f t="shared" si="27"/>
        <v>5000</v>
      </c>
      <c r="Q16" s="17">
        <v>46141</v>
      </c>
      <c r="R16" s="34" t="s">
        <v>61</v>
      </c>
      <c r="S16" s="34">
        <v>46000</v>
      </c>
      <c r="T16" s="34" t="s">
        <v>665</v>
      </c>
      <c r="U16" s="35">
        <v>46129</v>
      </c>
      <c r="V16" s="34" t="s">
        <v>28</v>
      </c>
      <c r="W16" s="34">
        <f t="shared" si="28"/>
        <v>7000</v>
      </c>
      <c r="X16" s="34" t="s">
        <v>36</v>
      </c>
      <c r="Y16" s="34" t="s">
        <v>29</v>
      </c>
      <c r="Z16" s="36">
        <f t="shared" si="29"/>
        <v>17.948717948717949</v>
      </c>
      <c r="AA16" s="34"/>
    </row>
    <row r="17" spans="1:27" ht="15.75" customHeight="1">
      <c r="A17" s="34">
        <f>SUBTOTAL(3,C$2:C17)</f>
        <v>16</v>
      </c>
      <c r="B17" s="34" t="s">
        <v>30</v>
      </c>
      <c r="C17" s="37" t="s">
        <v>44</v>
      </c>
      <c r="D17" s="34" t="s">
        <v>32</v>
      </c>
      <c r="E17" s="34" t="s">
        <v>33</v>
      </c>
      <c r="F17" s="34" t="s">
        <v>162</v>
      </c>
      <c r="G17" s="34" t="s">
        <v>59</v>
      </c>
      <c r="H17" s="39" t="s">
        <v>290</v>
      </c>
      <c r="I17" s="35">
        <v>46120</v>
      </c>
      <c r="J17" s="34">
        <f t="shared" ref="J17:J18" ca="1" si="30">+TODAY()-I17</f>
        <v>64</v>
      </c>
      <c r="K17" s="34">
        <f t="shared" ref="K17" si="31">+U17</f>
        <v>46129</v>
      </c>
      <c r="L17" s="34" t="s">
        <v>288</v>
      </c>
      <c r="M17" s="34">
        <v>27500</v>
      </c>
      <c r="N17" s="34">
        <v>24500</v>
      </c>
      <c r="O17" s="35">
        <v>46121</v>
      </c>
      <c r="P17" s="34">
        <f t="shared" ref="P17:P18" si="32">+M17-N17</f>
        <v>3000</v>
      </c>
      <c r="Q17" s="17">
        <v>46141</v>
      </c>
      <c r="R17" s="34" t="s">
        <v>61</v>
      </c>
      <c r="S17" s="34">
        <v>32000</v>
      </c>
      <c r="T17" s="34" t="s">
        <v>658</v>
      </c>
      <c r="U17" s="35">
        <v>46129</v>
      </c>
      <c r="V17" s="34" t="s">
        <v>28</v>
      </c>
      <c r="W17" s="34">
        <f t="shared" ref="W17:W18" si="33">+S17-M17</f>
        <v>4500</v>
      </c>
      <c r="X17" s="34" t="s">
        <v>36</v>
      </c>
      <c r="Y17" s="34" t="s">
        <v>29</v>
      </c>
      <c r="Z17" s="36">
        <f t="shared" ref="Z17:Z18" si="34">+W17*100/M17</f>
        <v>16.363636363636363</v>
      </c>
      <c r="AA17" s="34"/>
    </row>
    <row r="18" spans="1:27" ht="15.75" customHeight="1">
      <c r="A18" s="34">
        <f>SUBTOTAL(3,C$2:C18)</f>
        <v>17</v>
      </c>
      <c r="B18" s="34" t="s">
        <v>30</v>
      </c>
      <c r="C18" s="37" t="s">
        <v>31</v>
      </c>
      <c r="D18" s="34" t="s">
        <v>32</v>
      </c>
      <c r="E18" s="34" t="s">
        <v>33</v>
      </c>
      <c r="F18" s="34" t="s">
        <v>306</v>
      </c>
      <c r="G18" s="34" t="s">
        <v>34</v>
      </c>
      <c r="H18" s="55" t="s">
        <v>307</v>
      </c>
      <c r="I18" s="35">
        <v>46120</v>
      </c>
      <c r="J18" s="34">
        <f t="shared" ca="1" si="30"/>
        <v>64</v>
      </c>
      <c r="K18" s="34" t="str">
        <f t="shared" ref="K18" si="35">+U18</f>
        <v>Pending</v>
      </c>
      <c r="L18" s="34" t="s">
        <v>160</v>
      </c>
      <c r="M18" s="34">
        <v>19000</v>
      </c>
      <c r="N18" s="34">
        <v>17000</v>
      </c>
      <c r="O18" s="35">
        <v>46122</v>
      </c>
      <c r="P18" s="34">
        <f t="shared" si="32"/>
        <v>2000</v>
      </c>
      <c r="Q18" s="17" t="s">
        <v>33</v>
      </c>
      <c r="R18" s="34" t="s">
        <v>61</v>
      </c>
      <c r="S18" s="34">
        <v>22000</v>
      </c>
      <c r="T18" s="34" t="str">
        <f>VLOOKUP(H18,'[1]MIS Sanjeev Auto'!$H$1:$T$168,13,0)</f>
        <v>Pending</v>
      </c>
      <c r="U18" s="35" t="str">
        <f>VLOOKUP(H18,'[1]MIS Sanjeev Auto'!$H$1:$U$168,14,0)</f>
        <v>Pending</v>
      </c>
      <c r="V18" s="34" t="s">
        <v>28</v>
      </c>
      <c r="W18" s="34">
        <f t="shared" si="33"/>
        <v>3000</v>
      </c>
      <c r="X18" s="34" t="s">
        <v>36</v>
      </c>
      <c r="Y18" s="34" t="s">
        <v>29</v>
      </c>
      <c r="Z18" s="36">
        <f t="shared" si="34"/>
        <v>15.789473684210526</v>
      </c>
      <c r="AA18" s="34"/>
    </row>
    <row r="19" spans="1:27" ht="15.75" customHeight="1">
      <c r="A19" s="34">
        <f>SUBTOTAL(3,C$2:C19)</f>
        <v>18</v>
      </c>
      <c r="B19" s="34" t="s">
        <v>30</v>
      </c>
      <c r="C19" s="37" t="s">
        <v>31</v>
      </c>
      <c r="D19" s="34" t="s">
        <v>32</v>
      </c>
      <c r="E19" s="34" t="s">
        <v>33</v>
      </c>
      <c r="F19" s="34" t="s">
        <v>89</v>
      </c>
      <c r="G19" s="34" t="s">
        <v>34</v>
      </c>
      <c r="H19" s="39" t="s">
        <v>308</v>
      </c>
      <c r="I19" s="35">
        <v>46120</v>
      </c>
      <c r="J19" s="34">
        <f t="shared" ref="J19:J20" ca="1" si="36">+TODAY()-I19</f>
        <v>64</v>
      </c>
      <c r="K19" s="34">
        <f t="shared" ref="K19" si="37">+U19</f>
        <v>46129</v>
      </c>
      <c r="L19" s="34" t="s">
        <v>160</v>
      </c>
      <c r="M19" s="34">
        <v>19000</v>
      </c>
      <c r="N19" s="34">
        <v>17000</v>
      </c>
      <c r="O19" s="35">
        <v>46122</v>
      </c>
      <c r="P19" s="34">
        <f t="shared" ref="P19:P20" si="38">+M19-N19</f>
        <v>2000</v>
      </c>
      <c r="Q19" s="17">
        <v>46141</v>
      </c>
      <c r="R19" s="34" t="s">
        <v>61</v>
      </c>
      <c r="S19" s="34">
        <v>22000</v>
      </c>
      <c r="T19" s="34" t="s">
        <v>662</v>
      </c>
      <c r="U19" s="35">
        <v>46129</v>
      </c>
      <c r="V19" s="34" t="s">
        <v>28</v>
      </c>
      <c r="W19" s="34">
        <f t="shared" ref="W19:W20" si="39">+S19-M19</f>
        <v>3000</v>
      </c>
      <c r="X19" s="34" t="s">
        <v>36</v>
      </c>
      <c r="Y19" s="34" t="s">
        <v>29</v>
      </c>
      <c r="Z19" s="36">
        <f t="shared" ref="Z19:Z20" si="40">+W19*100/M19</f>
        <v>15.789473684210526</v>
      </c>
      <c r="AA19" s="34"/>
    </row>
    <row r="20" spans="1:27" ht="15.75" customHeight="1">
      <c r="A20" s="34">
        <f>SUBTOTAL(3,C$2:C20)</f>
        <v>19</v>
      </c>
      <c r="B20" s="34" t="s">
        <v>30</v>
      </c>
      <c r="C20" s="37" t="s">
        <v>57</v>
      </c>
      <c r="D20" s="34" t="s">
        <v>32</v>
      </c>
      <c r="E20" s="34" t="s">
        <v>33</v>
      </c>
      <c r="F20" s="34" t="s">
        <v>304</v>
      </c>
      <c r="G20" s="34" t="s">
        <v>59</v>
      </c>
      <c r="H20" s="39" t="s">
        <v>305</v>
      </c>
      <c r="I20" s="35">
        <v>46121</v>
      </c>
      <c r="J20" s="34">
        <f t="shared" ca="1" si="36"/>
        <v>63</v>
      </c>
      <c r="K20" s="34">
        <f>+U20</f>
        <v>46162</v>
      </c>
      <c r="L20" s="34" t="s">
        <v>60</v>
      </c>
      <c r="M20" s="34">
        <v>39000</v>
      </c>
      <c r="N20" s="34">
        <v>34000</v>
      </c>
      <c r="O20" s="35">
        <v>46122</v>
      </c>
      <c r="P20" s="34">
        <f t="shared" si="38"/>
        <v>5000</v>
      </c>
      <c r="Q20" s="17" t="s">
        <v>33</v>
      </c>
      <c r="R20" s="34" t="s">
        <v>61</v>
      </c>
      <c r="S20" s="34">
        <v>46000</v>
      </c>
      <c r="T20" s="34" t="s">
        <v>2171</v>
      </c>
      <c r="U20" s="35">
        <v>46162</v>
      </c>
      <c r="V20" s="34" t="s">
        <v>28</v>
      </c>
      <c r="W20" s="34">
        <f t="shared" si="39"/>
        <v>7000</v>
      </c>
      <c r="X20" s="34" t="s">
        <v>36</v>
      </c>
      <c r="Y20" s="34" t="s">
        <v>29</v>
      </c>
      <c r="Z20" s="36">
        <f t="shared" si="40"/>
        <v>17.948717948717949</v>
      </c>
      <c r="AA20" s="34"/>
    </row>
    <row r="21" spans="1:27" ht="15.75" customHeight="1">
      <c r="A21" s="34">
        <f>SUBTOTAL(3,C$2:C21)</f>
        <v>20</v>
      </c>
      <c r="B21" s="34" t="s">
        <v>30</v>
      </c>
      <c r="C21" s="37" t="s">
        <v>31</v>
      </c>
      <c r="D21" s="34" t="s">
        <v>32</v>
      </c>
      <c r="E21" s="34" t="s">
        <v>33</v>
      </c>
      <c r="F21" s="34" t="s">
        <v>310</v>
      </c>
      <c r="G21" s="34" t="s">
        <v>34</v>
      </c>
      <c r="H21" s="39" t="s">
        <v>309</v>
      </c>
      <c r="I21" s="35">
        <v>46121</v>
      </c>
      <c r="J21" s="34">
        <f t="shared" ref="J21:J22" ca="1" si="41">+TODAY()-I21</f>
        <v>63</v>
      </c>
      <c r="K21" s="34">
        <f t="shared" ref="K21:K22" si="42">+U21</f>
        <v>46162</v>
      </c>
      <c r="L21" s="34" t="s">
        <v>160</v>
      </c>
      <c r="M21" s="34">
        <v>19000</v>
      </c>
      <c r="N21" s="34">
        <v>17000</v>
      </c>
      <c r="O21" s="35">
        <v>46122</v>
      </c>
      <c r="P21" s="34">
        <f t="shared" ref="P21:P22" si="43">+M21-N21</f>
        <v>2000</v>
      </c>
      <c r="Q21" s="17" t="s">
        <v>33</v>
      </c>
      <c r="R21" s="34" t="s">
        <v>61</v>
      </c>
      <c r="S21" s="34">
        <v>22000</v>
      </c>
      <c r="T21" s="34" t="s">
        <v>2159</v>
      </c>
      <c r="U21" s="35">
        <v>46162</v>
      </c>
      <c r="V21" s="34" t="s">
        <v>28</v>
      </c>
      <c r="W21" s="34">
        <f t="shared" ref="W21:W22" si="44">+S21-M21</f>
        <v>3000</v>
      </c>
      <c r="X21" s="34" t="s">
        <v>36</v>
      </c>
      <c r="Y21" s="34" t="s">
        <v>29</v>
      </c>
      <c r="Z21" s="36">
        <f t="shared" ref="Z21:Z22" si="45">+W21*100/M21</f>
        <v>15.789473684210526</v>
      </c>
      <c r="AA21" s="34"/>
    </row>
    <row r="22" spans="1:27" ht="15.75" customHeight="1">
      <c r="A22" s="34">
        <f>SUBTOTAL(3,C$2:C22)</f>
        <v>21</v>
      </c>
      <c r="B22" s="34" t="s">
        <v>30</v>
      </c>
      <c r="C22" s="37" t="s">
        <v>44</v>
      </c>
      <c r="D22" s="34" t="s">
        <v>32</v>
      </c>
      <c r="E22" s="34" t="s">
        <v>33</v>
      </c>
      <c r="F22" s="34" t="s">
        <v>311</v>
      </c>
      <c r="G22" s="34" t="s">
        <v>34</v>
      </c>
      <c r="H22" s="39" t="s">
        <v>312</v>
      </c>
      <c r="I22" s="35">
        <v>46121</v>
      </c>
      <c r="J22" s="34">
        <f t="shared" ca="1" si="41"/>
        <v>63</v>
      </c>
      <c r="K22" s="34">
        <f t="shared" si="42"/>
        <v>46162</v>
      </c>
      <c r="L22" s="34" t="s">
        <v>160</v>
      </c>
      <c r="M22" s="34">
        <v>19000</v>
      </c>
      <c r="N22" s="34">
        <v>17000</v>
      </c>
      <c r="O22" s="35">
        <v>46122</v>
      </c>
      <c r="P22" s="34">
        <f t="shared" si="43"/>
        <v>2000</v>
      </c>
      <c r="Q22" s="17" t="s">
        <v>33</v>
      </c>
      <c r="R22" s="34" t="s">
        <v>61</v>
      </c>
      <c r="S22" s="34">
        <v>22000</v>
      </c>
      <c r="T22" s="34" t="s">
        <v>2159</v>
      </c>
      <c r="U22" s="35">
        <v>46162</v>
      </c>
      <c r="V22" s="34" t="s">
        <v>28</v>
      </c>
      <c r="W22" s="34">
        <f t="shared" si="44"/>
        <v>3000</v>
      </c>
      <c r="X22" s="34" t="s">
        <v>36</v>
      </c>
      <c r="Y22" s="34" t="s">
        <v>29</v>
      </c>
      <c r="Z22" s="36">
        <f t="shared" si="45"/>
        <v>15.789473684210526</v>
      </c>
      <c r="AA22" s="34"/>
    </row>
    <row r="23" spans="1:27" ht="15.75" customHeight="1">
      <c r="A23" s="34">
        <f>SUBTOTAL(3,C$2:C23)</f>
        <v>22</v>
      </c>
      <c r="B23" s="34" t="s">
        <v>30</v>
      </c>
      <c r="C23" s="37" t="s">
        <v>44</v>
      </c>
      <c r="D23" s="34" t="s">
        <v>32</v>
      </c>
      <c r="E23" s="34" t="s">
        <v>33</v>
      </c>
      <c r="F23" s="34" t="s">
        <v>313</v>
      </c>
      <c r="G23" s="34" t="s">
        <v>314</v>
      </c>
      <c r="H23" s="39" t="s">
        <v>315</v>
      </c>
      <c r="I23" s="35">
        <v>46121</v>
      </c>
      <c r="J23" s="34">
        <f t="shared" ref="J23:J26" ca="1" si="46">+TODAY()-I23</f>
        <v>63</v>
      </c>
      <c r="K23" s="34">
        <f t="shared" ref="K23:K26" si="47">+U23</f>
        <v>46129</v>
      </c>
      <c r="L23" s="34" t="s">
        <v>160</v>
      </c>
      <c r="M23" s="34">
        <v>27500</v>
      </c>
      <c r="N23" s="34">
        <v>24500</v>
      </c>
      <c r="O23" s="35">
        <v>46122</v>
      </c>
      <c r="P23" s="34">
        <f t="shared" ref="P23:P26" si="48">+M23-N23</f>
        <v>3000</v>
      </c>
      <c r="Q23" s="17">
        <v>46141</v>
      </c>
      <c r="R23" s="34" t="s">
        <v>61</v>
      </c>
      <c r="S23" s="34">
        <v>32000</v>
      </c>
      <c r="T23" s="34" t="s">
        <v>658</v>
      </c>
      <c r="U23" s="35">
        <v>46129</v>
      </c>
      <c r="V23" s="34" t="s">
        <v>28</v>
      </c>
      <c r="W23" s="34">
        <f t="shared" ref="W23:W26" si="49">+S23-M23</f>
        <v>4500</v>
      </c>
      <c r="X23" s="34" t="s">
        <v>36</v>
      </c>
      <c r="Y23" s="34" t="s">
        <v>29</v>
      </c>
      <c r="Z23" s="36">
        <f t="shared" ref="Z23:Z26" si="50">+W23*100/M23</f>
        <v>16.363636363636363</v>
      </c>
      <c r="AA23" s="34"/>
    </row>
    <row r="24" spans="1:27" ht="15.75" customHeight="1">
      <c r="A24" s="34">
        <f>SUBTOTAL(3,C$2:C24)</f>
        <v>23</v>
      </c>
      <c r="B24" s="34" t="s">
        <v>30</v>
      </c>
      <c r="C24" s="37" t="s">
        <v>80</v>
      </c>
      <c r="D24" s="34" t="s">
        <v>32</v>
      </c>
      <c r="E24" s="34" t="s">
        <v>33</v>
      </c>
      <c r="F24" s="34" t="s">
        <v>316</v>
      </c>
      <c r="G24" s="34" t="s">
        <v>59</v>
      </c>
      <c r="H24" s="55" t="s">
        <v>317</v>
      </c>
      <c r="I24" s="35">
        <v>46122</v>
      </c>
      <c r="J24" s="34">
        <f t="shared" ca="1" si="46"/>
        <v>62</v>
      </c>
      <c r="K24" s="34" t="str">
        <f t="shared" si="47"/>
        <v>Pending</v>
      </c>
      <c r="L24" s="34" t="s">
        <v>160</v>
      </c>
      <c r="M24" s="34">
        <v>39000</v>
      </c>
      <c r="N24" s="34">
        <v>34000</v>
      </c>
      <c r="O24" s="35">
        <v>46122</v>
      </c>
      <c r="P24" s="34">
        <f t="shared" si="48"/>
        <v>5000</v>
      </c>
      <c r="Q24" s="17" t="s">
        <v>33</v>
      </c>
      <c r="R24" s="34" t="s">
        <v>61</v>
      </c>
      <c r="S24" s="34">
        <v>46000</v>
      </c>
      <c r="T24" s="34" t="str">
        <f>VLOOKUP(H24,'[1]MIS Sanjeev Auto'!$H$1:$T$168,13,0)</f>
        <v>Pending</v>
      </c>
      <c r="U24" s="35" t="str">
        <f>VLOOKUP(H24,'[1]MIS Sanjeev Auto'!$H$1:$U$168,14,0)</f>
        <v>Pending</v>
      </c>
      <c r="V24" s="34" t="s">
        <v>28</v>
      </c>
      <c r="W24" s="34">
        <f t="shared" si="49"/>
        <v>7000</v>
      </c>
      <c r="X24" s="34" t="s">
        <v>36</v>
      </c>
      <c r="Y24" s="34" t="s">
        <v>29</v>
      </c>
      <c r="Z24" s="36">
        <f t="shared" si="50"/>
        <v>17.948717948717949</v>
      </c>
      <c r="AA24" s="34"/>
    </row>
    <row r="25" spans="1:27" ht="15.75" customHeight="1">
      <c r="A25" s="34">
        <f>SUBTOTAL(3,C$2:C25)</f>
        <v>24</v>
      </c>
      <c r="B25" s="34" t="s">
        <v>30</v>
      </c>
      <c r="C25" s="37" t="s">
        <v>44</v>
      </c>
      <c r="D25" s="34" t="s">
        <v>32</v>
      </c>
      <c r="E25" s="34" t="s">
        <v>33</v>
      </c>
      <c r="F25" s="34" t="s">
        <v>225</v>
      </c>
      <c r="G25" s="34" t="s">
        <v>314</v>
      </c>
      <c r="H25" s="39" t="s">
        <v>339</v>
      </c>
      <c r="I25" s="35">
        <v>46122</v>
      </c>
      <c r="J25" s="34">
        <f t="shared" ca="1" si="46"/>
        <v>62</v>
      </c>
      <c r="K25" s="34">
        <f t="shared" si="47"/>
        <v>46148</v>
      </c>
      <c r="L25" s="34" t="s">
        <v>160</v>
      </c>
      <c r="M25" s="34">
        <v>27500</v>
      </c>
      <c r="N25" s="34">
        <v>24500</v>
      </c>
      <c r="O25" s="35">
        <v>46123</v>
      </c>
      <c r="P25" s="34">
        <f t="shared" si="48"/>
        <v>3000</v>
      </c>
      <c r="Q25" s="17" t="s">
        <v>33</v>
      </c>
      <c r="R25" s="34" t="s">
        <v>61</v>
      </c>
      <c r="S25" s="34">
        <v>32000</v>
      </c>
      <c r="T25" s="34" t="s">
        <v>1322</v>
      </c>
      <c r="U25" s="35">
        <v>46148</v>
      </c>
      <c r="V25" s="34" t="s">
        <v>28</v>
      </c>
      <c r="W25" s="34">
        <f t="shared" si="49"/>
        <v>4500</v>
      </c>
      <c r="X25" s="34" t="s">
        <v>36</v>
      </c>
      <c r="Y25" s="34" t="s">
        <v>29</v>
      </c>
      <c r="Z25" s="36">
        <f t="shared" si="50"/>
        <v>16.363636363636363</v>
      </c>
      <c r="AA25" s="34"/>
    </row>
    <row r="26" spans="1:27" ht="15.75" customHeight="1">
      <c r="A26" s="34">
        <f>SUBTOTAL(3,C$2:C26)</f>
        <v>25</v>
      </c>
      <c r="B26" s="34" t="s">
        <v>30</v>
      </c>
      <c r="C26" s="37" t="s">
        <v>31</v>
      </c>
      <c r="D26" s="34" t="s">
        <v>32</v>
      </c>
      <c r="E26" s="34" t="s">
        <v>33</v>
      </c>
      <c r="F26" s="34" t="s">
        <v>334</v>
      </c>
      <c r="G26" s="34" t="s">
        <v>34</v>
      </c>
      <c r="H26" s="55" t="s">
        <v>335</v>
      </c>
      <c r="I26" s="35">
        <v>46122</v>
      </c>
      <c r="J26" s="34">
        <f t="shared" ca="1" si="46"/>
        <v>62</v>
      </c>
      <c r="K26" s="34" t="str">
        <f t="shared" si="47"/>
        <v>Pending</v>
      </c>
      <c r="L26" s="34" t="s">
        <v>336</v>
      </c>
      <c r="M26" s="34">
        <v>19000</v>
      </c>
      <c r="N26" s="34">
        <v>17000</v>
      </c>
      <c r="O26" s="35">
        <v>46123</v>
      </c>
      <c r="P26" s="34">
        <f t="shared" si="48"/>
        <v>2000</v>
      </c>
      <c r="Q26" s="17" t="s">
        <v>33</v>
      </c>
      <c r="R26" s="34" t="s">
        <v>61</v>
      </c>
      <c r="S26" s="34">
        <v>22000</v>
      </c>
      <c r="T26" s="34" t="str">
        <f>VLOOKUP(H26,'[1]MIS Sanjeev Auto'!$H$1:$T$168,13,0)</f>
        <v>Pending</v>
      </c>
      <c r="U26" s="35" t="str">
        <f>VLOOKUP(H26,'[1]MIS Sanjeev Auto'!$H$1:$U$168,14,0)</f>
        <v>Pending</v>
      </c>
      <c r="V26" s="34" t="s">
        <v>28</v>
      </c>
      <c r="W26" s="34">
        <f t="shared" si="49"/>
        <v>3000</v>
      </c>
      <c r="X26" s="34" t="s">
        <v>36</v>
      </c>
      <c r="Y26" s="34" t="s">
        <v>29</v>
      </c>
      <c r="Z26" s="36">
        <f t="shared" si="50"/>
        <v>15.789473684210526</v>
      </c>
      <c r="AA26" s="34"/>
    </row>
    <row r="27" spans="1:27" ht="15.75" customHeight="1">
      <c r="A27" s="34">
        <f>SUBTOTAL(3,C$2:C27)</f>
        <v>26</v>
      </c>
      <c r="B27" s="34" t="s">
        <v>30</v>
      </c>
      <c r="C27" s="37" t="s">
        <v>31</v>
      </c>
      <c r="D27" s="34" t="s">
        <v>32</v>
      </c>
      <c r="E27" s="34" t="s">
        <v>33</v>
      </c>
      <c r="F27" s="34" t="s">
        <v>337</v>
      </c>
      <c r="G27" s="34" t="s">
        <v>34</v>
      </c>
      <c r="H27" s="55" t="s">
        <v>338</v>
      </c>
      <c r="I27" s="35">
        <v>46122</v>
      </c>
      <c r="J27" s="34">
        <f t="shared" ref="J27:J31" ca="1" si="51">+TODAY()-I27</f>
        <v>62</v>
      </c>
      <c r="K27" s="34" t="str">
        <f t="shared" ref="K27" si="52">+U27</f>
        <v>Pending</v>
      </c>
      <c r="L27" s="34" t="s">
        <v>336</v>
      </c>
      <c r="M27" s="34">
        <v>19000</v>
      </c>
      <c r="N27" s="34">
        <v>17000</v>
      </c>
      <c r="O27" s="35">
        <v>46123</v>
      </c>
      <c r="P27" s="34">
        <f t="shared" ref="P27:P31" si="53">+M27-N27</f>
        <v>2000</v>
      </c>
      <c r="Q27" s="17" t="s">
        <v>33</v>
      </c>
      <c r="R27" s="34" t="s">
        <v>61</v>
      </c>
      <c r="S27" s="34">
        <v>22000</v>
      </c>
      <c r="T27" s="34" t="str">
        <f>VLOOKUP(H27,'[1]MIS Sanjeev Auto'!$H$1:$T$168,13,0)</f>
        <v>Pending</v>
      </c>
      <c r="U27" s="35" t="str">
        <f>VLOOKUP(H27,'[1]MIS Sanjeev Auto'!$H$1:$U$168,14,0)</f>
        <v>Pending</v>
      </c>
      <c r="V27" s="34" t="s">
        <v>28</v>
      </c>
      <c r="W27" s="34">
        <f t="shared" ref="W27:W31" si="54">+S27-M27</f>
        <v>3000</v>
      </c>
      <c r="X27" s="34" t="s">
        <v>36</v>
      </c>
      <c r="Y27" s="34" t="s">
        <v>29</v>
      </c>
      <c r="Z27" s="36">
        <f t="shared" ref="Z27:Z31" si="55">+W27*100/M27</f>
        <v>15.789473684210526</v>
      </c>
      <c r="AA27" s="34"/>
    </row>
    <row r="28" spans="1:27" ht="15.75" customHeight="1">
      <c r="A28" s="34">
        <f>SUBTOTAL(3,C$2:C28)</f>
        <v>27</v>
      </c>
      <c r="B28" s="34" t="s">
        <v>30</v>
      </c>
      <c r="C28" s="37" t="s">
        <v>57</v>
      </c>
      <c r="D28" s="34" t="s">
        <v>32</v>
      </c>
      <c r="E28" s="34" t="s">
        <v>33</v>
      </c>
      <c r="F28" s="34" t="s">
        <v>340</v>
      </c>
      <c r="G28" s="34" t="s">
        <v>59</v>
      </c>
      <c r="H28" s="39" t="s">
        <v>341</v>
      </c>
      <c r="I28" s="35">
        <v>46123</v>
      </c>
      <c r="J28" s="34">
        <f t="shared" ca="1" si="51"/>
        <v>61</v>
      </c>
      <c r="K28" s="34">
        <f>+U28</f>
        <v>46162</v>
      </c>
      <c r="L28" s="34" t="s">
        <v>160</v>
      </c>
      <c r="M28" s="34">
        <v>39000</v>
      </c>
      <c r="N28" s="34">
        <v>34000</v>
      </c>
      <c r="O28" s="35">
        <v>46123</v>
      </c>
      <c r="P28" s="34">
        <f t="shared" si="53"/>
        <v>5000</v>
      </c>
      <c r="Q28" s="17" t="s">
        <v>33</v>
      </c>
      <c r="R28" s="34" t="s">
        <v>61</v>
      </c>
      <c r="S28" s="34">
        <v>46000</v>
      </c>
      <c r="T28" s="34" t="s">
        <v>2171</v>
      </c>
      <c r="U28" s="35">
        <v>46162</v>
      </c>
      <c r="V28" s="34" t="s">
        <v>28</v>
      </c>
      <c r="W28" s="34">
        <f t="shared" si="54"/>
        <v>7000</v>
      </c>
      <c r="X28" s="34" t="s">
        <v>36</v>
      </c>
      <c r="Y28" s="34" t="s">
        <v>29</v>
      </c>
      <c r="Z28" s="36">
        <f t="shared" si="55"/>
        <v>17.948717948717949</v>
      </c>
      <c r="AA28" s="34"/>
    </row>
    <row r="29" spans="1:27" ht="15.75" customHeight="1">
      <c r="A29" s="34">
        <f>SUBTOTAL(3,C$2:C29)</f>
        <v>28</v>
      </c>
      <c r="B29" s="34" t="s">
        <v>30</v>
      </c>
      <c r="C29" s="37" t="s">
        <v>31</v>
      </c>
      <c r="D29" s="34" t="s">
        <v>32</v>
      </c>
      <c r="E29" s="34" t="s">
        <v>33</v>
      </c>
      <c r="F29" s="34" t="s">
        <v>87</v>
      </c>
      <c r="G29" s="34" t="s">
        <v>34</v>
      </c>
      <c r="H29" s="39" t="s">
        <v>364</v>
      </c>
      <c r="I29" s="35">
        <v>46123</v>
      </c>
      <c r="J29" s="34">
        <f t="shared" ca="1" si="51"/>
        <v>61</v>
      </c>
      <c r="K29" s="34">
        <f t="shared" ref="K29:K30" si="56">+U29</f>
        <v>46162</v>
      </c>
      <c r="L29" s="34" t="s">
        <v>336</v>
      </c>
      <c r="M29" s="34">
        <v>19000</v>
      </c>
      <c r="N29" s="34">
        <v>17000</v>
      </c>
      <c r="O29" s="35">
        <v>46125</v>
      </c>
      <c r="P29" s="34">
        <f t="shared" si="53"/>
        <v>2000</v>
      </c>
      <c r="Q29" s="17" t="s">
        <v>33</v>
      </c>
      <c r="R29" s="34" t="s">
        <v>61</v>
      </c>
      <c r="S29" s="34">
        <v>22000</v>
      </c>
      <c r="T29" s="34" t="s">
        <v>2160</v>
      </c>
      <c r="U29" s="35">
        <v>46162</v>
      </c>
      <c r="V29" s="34" t="s">
        <v>28</v>
      </c>
      <c r="W29" s="34">
        <f t="shared" si="54"/>
        <v>3000</v>
      </c>
      <c r="X29" s="34" t="s">
        <v>36</v>
      </c>
      <c r="Y29" s="34" t="s">
        <v>29</v>
      </c>
      <c r="Z29" s="36">
        <f t="shared" si="55"/>
        <v>15.789473684210526</v>
      </c>
      <c r="AA29" s="34"/>
    </row>
    <row r="30" spans="1:27" ht="15.75" customHeight="1">
      <c r="A30" s="34">
        <f>SUBTOTAL(3,C$2:C30)</f>
        <v>29</v>
      </c>
      <c r="B30" s="34" t="s">
        <v>30</v>
      </c>
      <c r="C30" s="37" t="s">
        <v>57</v>
      </c>
      <c r="D30" s="34" t="s">
        <v>32</v>
      </c>
      <c r="E30" s="34" t="s">
        <v>33</v>
      </c>
      <c r="F30" s="34" t="s">
        <v>362</v>
      </c>
      <c r="G30" s="34" t="s">
        <v>314</v>
      </c>
      <c r="H30" s="39" t="s">
        <v>363</v>
      </c>
      <c r="I30" s="35">
        <v>46124</v>
      </c>
      <c r="J30" s="34">
        <f t="shared" ca="1" si="51"/>
        <v>60</v>
      </c>
      <c r="K30" s="34">
        <f t="shared" si="56"/>
        <v>46162</v>
      </c>
      <c r="L30" s="34" t="s">
        <v>160</v>
      </c>
      <c r="M30" s="34">
        <v>39000</v>
      </c>
      <c r="N30" s="34">
        <v>34000</v>
      </c>
      <c r="O30" s="35">
        <v>46125</v>
      </c>
      <c r="P30" s="34">
        <f t="shared" si="53"/>
        <v>5000</v>
      </c>
      <c r="Q30" s="17" t="s">
        <v>33</v>
      </c>
      <c r="R30" s="34" t="s">
        <v>61</v>
      </c>
      <c r="S30" s="34">
        <v>46000</v>
      </c>
      <c r="T30" s="34" t="s">
        <v>2172</v>
      </c>
      <c r="U30" s="35">
        <v>46162</v>
      </c>
      <c r="V30" s="34" t="s">
        <v>28</v>
      </c>
      <c r="W30" s="34">
        <f t="shared" si="54"/>
        <v>7000</v>
      </c>
      <c r="X30" s="34" t="s">
        <v>36</v>
      </c>
      <c r="Y30" s="34" t="s">
        <v>29</v>
      </c>
      <c r="Z30" s="36">
        <f t="shared" si="55"/>
        <v>17.948717948717949</v>
      </c>
      <c r="AA30" s="34"/>
    </row>
    <row r="31" spans="1:27" ht="15.75" customHeight="1">
      <c r="A31" s="34">
        <f>SUBTOTAL(3,C$2:C31)</f>
        <v>30</v>
      </c>
      <c r="B31" s="34" t="s">
        <v>30</v>
      </c>
      <c r="C31" s="37" t="s">
        <v>44</v>
      </c>
      <c r="D31" s="34" t="s">
        <v>32</v>
      </c>
      <c r="E31" s="34" t="s">
        <v>33</v>
      </c>
      <c r="F31" s="34" t="s">
        <v>126</v>
      </c>
      <c r="G31" s="34" t="s">
        <v>314</v>
      </c>
      <c r="H31" s="39" t="s">
        <v>361</v>
      </c>
      <c r="I31" s="35">
        <v>46123</v>
      </c>
      <c r="J31" s="34">
        <f t="shared" ca="1" si="51"/>
        <v>61</v>
      </c>
      <c r="K31" s="34">
        <f t="shared" ref="K31" si="57">+U31</f>
        <v>46148</v>
      </c>
      <c r="L31" s="34" t="s">
        <v>160</v>
      </c>
      <c r="M31" s="34">
        <v>27500</v>
      </c>
      <c r="N31" s="34">
        <v>24500</v>
      </c>
      <c r="O31" s="35">
        <v>46125</v>
      </c>
      <c r="P31" s="34">
        <f t="shared" si="53"/>
        <v>3000</v>
      </c>
      <c r="Q31" s="17" t="s">
        <v>33</v>
      </c>
      <c r="R31" s="34" t="s">
        <v>61</v>
      </c>
      <c r="S31" s="34">
        <v>32000</v>
      </c>
      <c r="T31" s="34" t="s">
        <v>1322</v>
      </c>
      <c r="U31" s="35">
        <v>46148</v>
      </c>
      <c r="V31" s="34" t="s">
        <v>28</v>
      </c>
      <c r="W31" s="34">
        <f t="shared" si="54"/>
        <v>4500</v>
      </c>
      <c r="X31" s="34" t="s">
        <v>36</v>
      </c>
      <c r="Y31" s="34" t="s">
        <v>29</v>
      </c>
      <c r="Z31" s="36">
        <f t="shared" si="55"/>
        <v>16.363636363636363</v>
      </c>
      <c r="AA31" s="34"/>
    </row>
    <row r="32" spans="1:27" ht="15.75" customHeight="1">
      <c r="A32" s="34">
        <f>SUBTOTAL(3,C$2:C32)</f>
        <v>31</v>
      </c>
      <c r="B32" s="34" t="s">
        <v>30</v>
      </c>
      <c r="C32" s="37" t="s">
        <v>31</v>
      </c>
      <c r="D32" s="34" t="s">
        <v>32</v>
      </c>
      <c r="E32" s="34" t="s">
        <v>33</v>
      </c>
      <c r="F32" s="34" t="s">
        <v>89</v>
      </c>
      <c r="G32" s="34" t="s">
        <v>34</v>
      </c>
      <c r="H32" s="39" t="s">
        <v>365</v>
      </c>
      <c r="I32" s="35">
        <v>46125</v>
      </c>
      <c r="J32" s="34">
        <f t="shared" ref="J32" ca="1" si="58">+TODAY()-I32</f>
        <v>59</v>
      </c>
      <c r="K32" s="34">
        <f t="shared" ref="K32" si="59">+U32</f>
        <v>46162</v>
      </c>
      <c r="L32" s="34" t="s">
        <v>336</v>
      </c>
      <c r="M32" s="34">
        <v>19000</v>
      </c>
      <c r="N32" s="34">
        <v>17000</v>
      </c>
      <c r="O32" s="35">
        <v>46125</v>
      </c>
      <c r="P32" s="34">
        <f t="shared" ref="P32" si="60">+M32-N32</f>
        <v>2000</v>
      </c>
      <c r="Q32" s="17" t="s">
        <v>33</v>
      </c>
      <c r="R32" s="34" t="s">
        <v>61</v>
      </c>
      <c r="S32" s="34">
        <v>22000</v>
      </c>
      <c r="T32" s="34" t="s">
        <v>2160</v>
      </c>
      <c r="U32" s="35">
        <v>46162</v>
      </c>
      <c r="V32" s="34" t="s">
        <v>28</v>
      </c>
      <c r="W32" s="34">
        <f t="shared" ref="W32" si="61">+S32-M32</f>
        <v>3000</v>
      </c>
      <c r="X32" s="34" t="s">
        <v>36</v>
      </c>
      <c r="Y32" s="34" t="s">
        <v>29</v>
      </c>
      <c r="Z32" s="36">
        <f t="shared" ref="Z32" si="62">+W32*100/M32</f>
        <v>15.789473684210526</v>
      </c>
      <c r="AA32" s="34"/>
    </row>
    <row r="33" spans="1:27" ht="15.75" customHeight="1">
      <c r="A33" s="34">
        <f>SUBTOTAL(3,C$2:C33)</f>
        <v>32</v>
      </c>
      <c r="B33" s="34" t="s">
        <v>30</v>
      </c>
      <c r="C33" s="37" t="s">
        <v>31</v>
      </c>
      <c r="D33" s="34" t="s">
        <v>32</v>
      </c>
      <c r="E33" s="34" t="s">
        <v>33</v>
      </c>
      <c r="F33" s="34" t="s">
        <v>395</v>
      </c>
      <c r="G33" s="34" t="s">
        <v>34</v>
      </c>
      <c r="H33" s="39" t="s">
        <v>396</v>
      </c>
      <c r="I33" s="35">
        <v>46125</v>
      </c>
      <c r="J33" s="34">
        <f t="shared" ref="J33" ca="1" si="63">+TODAY()-I33</f>
        <v>59</v>
      </c>
      <c r="K33" s="34">
        <f t="shared" ref="K33" si="64">+U33</f>
        <v>46162</v>
      </c>
      <c r="L33" s="34" t="s">
        <v>397</v>
      </c>
      <c r="M33" s="34">
        <v>19000</v>
      </c>
      <c r="N33" s="34">
        <v>17000</v>
      </c>
      <c r="O33" s="35">
        <v>46127</v>
      </c>
      <c r="P33" s="34">
        <f t="shared" ref="P33" si="65">+M33-N33</f>
        <v>2000</v>
      </c>
      <c r="Q33" s="17" t="s">
        <v>33</v>
      </c>
      <c r="R33" s="34" t="s">
        <v>61</v>
      </c>
      <c r="S33" s="34">
        <v>22000</v>
      </c>
      <c r="T33" s="34" t="s">
        <v>2161</v>
      </c>
      <c r="U33" s="35">
        <v>46162</v>
      </c>
      <c r="V33" s="34" t="s">
        <v>28</v>
      </c>
      <c r="W33" s="34">
        <f t="shared" ref="W33" si="66">+S33-M33</f>
        <v>3000</v>
      </c>
      <c r="X33" s="34" t="s">
        <v>36</v>
      </c>
      <c r="Y33" s="34" t="s">
        <v>29</v>
      </c>
      <c r="Z33" s="36">
        <f t="shared" ref="Z33" si="67">+W33*100/M33</f>
        <v>15.789473684210526</v>
      </c>
      <c r="AA33" s="34"/>
    </row>
    <row r="34" spans="1:27" ht="15.75" customHeight="1">
      <c r="A34" s="34">
        <f>SUBTOTAL(3,C$2:C34)</f>
        <v>33</v>
      </c>
      <c r="B34" s="34" t="s">
        <v>30</v>
      </c>
      <c r="C34" s="37" t="s">
        <v>31</v>
      </c>
      <c r="D34" s="34" t="s">
        <v>32</v>
      </c>
      <c r="E34" s="34" t="s">
        <v>33</v>
      </c>
      <c r="F34" s="34" t="s">
        <v>416</v>
      </c>
      <c r="G34" s="34" t="s">
        <v>34</v>
      </c>
      <c r="H34" s="39" t="s">
        <v>417</v>
      </c>
      <c r="I34" s="35">
        <v>46127</v>
      </c>
      <c r="J34" s="34">
        <f t="shared" ref="J34:J35" ca="1" si="68">+TODAY()-I34</f>
        <v>57</v>
      </c>
      <c r="K34" s="34">
        <f t="shared" ref="K34:K35" si="69">+U34</f>
        <v>46162</v>
      </c>
      <c r="L34" s="34" t="s">
        <v>397</v>
      </c>
      <c r="M34" s="34">
        <v>19000</v>
      </c>
      <c r="N34" s="34">
        <v>17000</v>
      </c>
      <c r="O34" s="35">
        <v>46127</v>
      </c>
      <c r="P34" s="34">
        <f t="shared" ref="P34:P35" si="70">+M34-N34</f>
        <v>2000</v>
      </c>
      <c r="Q34" s="17" t="s">
        <v>33</v>
      </c>
      <c r="R34" s="34" t="s">
        <v>61</v>
      </c>
      <c r="S34" s="34">
        <v>22000</v>
      </c>
      <c r="T34" s="34" t="s">
        <v>2162</v>
      </c>
      <c r="U34" s="35">
        <v>46162</v>
      </c>
      <c r="V34" s="34" t="s">
        <v>28</v>
      </c>
      <c r="W34" s="34">
        <f t="shared" ref="W34:W35" si="71">+S34-M34</f>
        <v>3000</v>
      </c>
      <c r="X34" s="34" t="s">
        <v>36</v>
      </c>
      <c r="Y34" s="34" t="s">
        <v>29</v>
      </c>
      <c r="Z34" s="36">
        <f t="shared" ref="Z34:Z35" si="72">+W34*100/M34</f>
        <v>15.789473684210526</v>
      </c>
      <c r="AA34" s="34"/>
    </row>
    <row r="35" spans="1:27" ht="15.75" customHeight="1">
      <c r="A35" s="34">
        <f>SUBTOTAL(3,C$2:C35)</f>
        <v>34</v>
      </c>
      <c r="B35" s="34" t="s">
        <v>30</v>
      </c>
      <c r="C35" s="37" t="s">
        <v>57</v>
      </c>
      <c r="D35" s="34" t="s">
        <v>32</v>
      </c>
      <c r="E35" s="34" t="s">
        <v>33</v>
      </c>
      <c r="F35" s="34" t="s">
        <v>58</v>
      </c>
      <c r="G35" s="34" t="s">
        <v>314</v>
      </c>
      <c r="H35" s="39" t="s">
        <v>428</v>
      </c>
      <c r="I35" s="35">
        <v>46126</v>
      </c>
      <c r="J35" s="34">
        <f t="shared" ca="1" si="68"/>
        <v>58</v>
      </c>
      <c r="K35" s="34">
        <f t="shared" si="69"/>
        <v>46162</v>
      </c>
      <c r="L35" s="34" t="s">
        <v>160</v>
      </c>
      <c r="M35" s="34">
        <v>39000</v>
      </c>
      <c r="N35" s="34">
        <v>34000</v>
      </c>
      <c r="O35" s="35">
        <v>46127</v>
      </c>
      <c r="P35" s="34">
        <f t="shared" si="70"/>
        <v>5000</v>
      </c>
      <c r="Q35" s="17" t="s">
        <v>33</v>
      </c>
      <c r="R35" s="34" t="s">
        <v>61</v>
      </c>
      <c r="S35" s="34">
        <v>46000</v>
      </c>
      <c r="T35" s="34" t="s">
        <v>2172</v>
      </c>
      <c r="U35" s="35">
        <v>46162</v>
      </c>
      <c r="V35" s="34" t="s">
        <v>28</v>
      </c>
      <c r="W35" s="34">
        <f t="shared" si="71"/>
        <v>7000</v>
      </c>
      <c r="X35" s="34" t="s">
        <v>36</v>
      </c>
      <c r="Y35" s="34" t="s">
        <v>29</v>
      </c>
      <c r="Z35" s="36">
        <f t="shared" si="72"/>
        <v>17.948717948717949</v>
      </c>
      <c r="AA35" s="34"/>
    </row>
    <row r="36" spans="1:27" ht="15.75" customHeight="1">
      <c r="A36" s="34">
        <f>SUBTOTAL(3,C$2:C36)</f>
        <v>35</v>
      </c>
      <c r="B36" s="34" t="s">
        <v>30</v>
      </c>
      <c r="C36" s="37" t="s">
        <v>57</v>
      </c>
      <c r="D36" s="34" t="s">
        <v>32</v>
      </c>
      <c r="E36" s="34" t="s">
        <v>33</v>
      </c>
      <c r="F36" s="34" t="s">
        <v>429</v>
      </c>
      <c r="G36" s="34" t="s">
        <v>314</v>
      </c>
      <c r="H36" s="39" t="s">
        <v>430</v>
      </c>
      <c r="I36" s="35">
        <v>46127</v>
      </c>
      <c r="J36" s="34">
        <f t="shared" ref="J36:J38" ca="1" si="73">+TODAY()-I36</f>
        <v>57</v>
      </c>
      <c r="K36" s="34">
        <f t="shared" ref="K36:K38" si="74">+U36</f>
        <v>46162</v>
      </c>
      <c r="L36" s="34" t="s">
        <v>160</v>
      </c>
      <c r="M36" s="34">
        <v>39000</v>
      </c>
      <c r="N36" s="34">
        <v>34000</v>
      </c>
      <c r="O36" s="35">
        <v>46127</v>
      </c>
      <c r="P36" s="34">
        <f t="shared" ref="P36:P38" si="75">+M36-N36</f>
        <v>5000</v>
      </c>
      <c r="Q36" s="17" t="s">
        <v>33</v>
      </c>
      <c r="R36" s="34" t="s">
        <v>61</v>
      </c>
      <c r="S36" s="34">
        <v>46000</v>
      </c>
      <c r="T36" s="34" t="s">
        <v>2173</v>
      </c>
      <c r="U36" s="35">
        <v>46162</v>
      </c>
      <c r="V36" s="34" t="s">
        <v>28</v>
      </c>
      <c r="W36" s="34">
        <f t="shared" ref="W36:W38" si="76">+S36-M36</f>
        <v>7000</v>
      </c>
      <c r="X36" s="34" t="s">
        <v>36</v>
      </c>
      <c r="Y36" s="34" t="s">
        <v>29</v>
      </c>
      <c r="Z36" s="36">
        <f t="shared" ref="Z36:Z38" si="77">+W36*100/M36</f>
        <v>17.948717948717949</v>
      </c>
      <c r="AA36" s="34"/>
    </row>
    <row r="37" spans="1:27" ht="15.75" customHeight="1">
      <c r="A37" s="34">
        <f>SUBTOTAL(3,C$2:C37)</f>
        <v>36</v>
      </c>
      <c r="B37" s="34" t="s">
        <v>30</v>
      </c>
      <c r="C37" s="37" t="s">
        <v>44</v>
      </c>
      <c r="D37" s="34" t="s">
        <v>32</v>
      </c>
      <c r="E37" s="34" t="s">
        <v>33</v>
      </c>
      <c r="F37" s="34" t="s">
        <v>431</v>
      </c>
      <c r="G37" s="34" t="s">
        <v>314</v>
      </c>
      <c r="H37" s="39" t="s">
        <v>432</v>
      </c>
      <c r="I37" s="35">
        <v>46126</v>
      </c>
      <c r="J37" s="34">
        <f t="shared" ca="1" si="73"/>
        <v>58</v>
      </c>
      <c r="K37" s="34" t="str">
        <f t="shared" si="74"/>
        <v>Pending</v>
      </c>
      <c r="L37" s="34" t="s">
        <v>160</v>
      </c>
      <c r="M37" s="34">
        <v>27500</v>
      </c>
      <c r="N37" s="34">
        <v>24500</v>
      </c>
      <c r="O37" s="35">
        <v>46127</v>
      </c>
      <c r="P37" s="34">
        <f t="shared" si="75"/>
        <v>3000</v>
      </c>
      <c r="Q37" s="17" t="s">
        <v>33</v>
      </c>
      <c r="R37" s="34" t="s">
        <v>61</v>
      </c>
      <c r="S37" s="34">
        <v>32000</v>
      </c>
      <c r="T37" s="34" t="str">
        <f>VLOOKUP(H37,'[1]MIS Sanjeev Auto'!$H$1:$T$168,13,0)</f>
        <v>Pending</v>
      </c>
      <c r="U37" s="35" t="str">
        <f>VLOOKUP(H37,'[1]MIS Sanjeev Auto'!$H$1:$U$168,14,0)</f>
        <v>Pending</v>
      </c>
      <c r="V37" s="34" t="s">
        <v>28</v>
      </c>
      <c r="W37" s="34">
        <f t="shared" si="76"/>
        <v>4500</v>
      </c>
      <c r="X37" s="34" t="s">
        <v>36</v>
      </c>
      <c r="Y37" s="34" t="s">
        <v>29</v>
      </c>
      <c r="Z37" s="36">
        <f t="shared" si="77"/>
        <v>16.363636363636363</v>
      </c>
      <c r="AA37" s="34"/>
    </row>
    <row r="38" spans="1:27" ht="15.75" customHeight="1">
      <c r="A38" s="34">
        <f>SUBTOTAL(3,C$2:C38)</f>
        <v>37</v>
      </c>
      <c r="B38" s="34" t="s">
        <v>30</v>
      </c>
      <c r="C38" s="37" t="s">
        <v>31</v>
      </c>
      <c r="D38" s="34" t="s">
        <v>32</v>
      </c>
      <c r="E38" s="34" t="s">
        <v>33</v>
      </c>
      <c r="F38" s="34" t="s">
        <v>159</v>
      </c>
      <c r="G38" s="34" t="s">
        <v>34</v>
      </c>
      <c r="H38" s="39" t="s">
        <v>454</v>
      </c>
      <c r="I38" s="35">
        <v>46127</v>
      </c>
      <c r="J38" s="34">
        <f t="shared" ca="1" si="73"/>
        <v>57</v>
      </c>
      <c r="K38" s="34">
        <f t="shared" si="74"/>
        <v>46162</v>
      </c>
      <c r="L38" s="34" t="s">
        <v>397</v>
      </c>
      <c r="M38" s="34">
        <v>19000</v>
      </c>
      <c r="N38" s="34">
        <v>17000</v>
      </c>
      <c r="O38" s="35">
        <v>46128</v>
      </c>
      <c r="P38" s="34">
        <f t="shared" si="75"/>
        <v>2000</v>
      </c>
      <c r="Q38" s="17" t="s">
        <v>33</v>
      </c>
      <c r="R38" s="34" t="s">
        <v>61</v>
      </c>
      <c r="S38" s="34">
        <v>22000</v>
      </c>
      <c r="T38" s="34" t="s">
        <v>2162</v>
      </c>
      <c r="U38" s="35">
        <v>46162</v>
      </c>
      <c r="V38" s="34" t="s">
        <v>28</v>
      </c>
      <c r="W38" s="34">
        <f t="shared" si="76"/>
        <v>3000</v>
      </c>
      <c r="X38" s="34" t="s">
        <v>36</v>
      </c>
      <c r="Y38" s="34" t="s">
        <v>29</v>
      </c>
      <c r="Z38" s="36">
        <f t="shared" si="77"/>
        <v>15.789473684210526</v>
      </c>
      <c r="AA38" s="34"/>
    </row>
    <row r="39" spans="1:27" ht="15.75" customHeight="1">
      <c r="A39" s="34">
        <f>SUBTOTAL(3,C$2:C39)</f>
        <v>38</v>
      </c>
      <c r="B39" s="34" t="s">
        <v>30</v>
      </c>
      <c r="C39" s="37" t="s">
        <v>31</v>
      </c>
      <c r="D39" s="34" t="s">
        <v>32</v>
      </c>
      <c r="E39" s="34" t="s">
        <v>33</v>
      </c>
      <c r="F39" s="34" t="s">
        <v>455</v>
      </c>
      <c r="G39" s="34" t="s">
        <v>34</v>
      </c>
      <c r="H39" s="39" t="s">
        <v>456</v>
      </c>
      <c r="I39" s="35">
        <v>46127</v>
      </c>
      <c r="J39" s="34">
        <f t="shared" ref="J39:J40" ca="1" si="78">+TODAY()-I39</f>
        <v>57</v>
      </c>
      <c r="K39" s="34">
        <f t="shared" ref="K39:K40" si="79">+U39</f>
        <v>46162</v>
      </c>
      <c r="L39" s="34" t="s">
        <v>397</v>
      </c>
      <c r="M39" s="34">
        <v>19000</v>
      </c>
      <c r="N39" s="34">
        <v>17000</v>
      </c>
      <c r="O39" s="35">
        <v>46128</v>
      </c>
      <c r="P39" s="34">
        <f t="shared" ref="P39:P40" si="80">+M39-N39</f>
        <v>2000</v>
      </c>
      <c r="Q39" s="17" t="s">
        <v>33</v>
      </c>
      <c r="R39" s="34" t="s">
        <v>61</v>
      </c>
      <c r="S39" s="34">
        <v>22000</v>
      </c>
      <c r="T39" s="34" t="s">
        <v>2161</v>
      </c>
      <c r="U39" s="35">
        <v>46162</v>
      </c>
      <c r="V39" s="34" t="s">
        <v>28</v>
      </c>
      <c r="W39" s="34">
        <f t="shared" ref="W39:W40" si="81">+S39-M39</f>
        <v>3000</v>
      </c>
      <c r="X39" s="34" t="s">
        <v>36</v>
      </c>
      <c r="Y39" s="34" t="s">
        <v>29</v>
      </c>
      <c r="Z39" s="36">
        <f t="shared" ref="Z39:Z40" si="82">+W39*100/M39</f>
        <v>15.789473684210526</v>
      </c>
      <c r="AA39" s="34"/>
    </row>
    <row r="40" spans="1:27" ht="15.75" customHeight="1">
      <c r="A40" s="34">
        <f>SUBTOTAL(3,C$2:C40)</f>
        <v>39</v>
      </c>
      <c r="B40" s="34" t="s">
        <v>30</v>
      </c>
      <c r="C40" s="37" t="s">
        <v>44</v>
      </c>
      <c r="D40" s="34" t="s">
        <v>32</v>
      </c>
      <c r="E40" s="34" t="s">
        <v>33</v>
      </c>
      <c r="F40" s="34" t="s">
        <v>457</v>
      </c>
      <c r="G40" s="34" t="s">
        <v>314</v>
      </c>
      <c r="H40" s="39" t="s">
        <v>458</v>
      </c>
      <c r="I40" s="35">
        <v>46128</v>
      </c>
      <c r="J40" s="34">
        <f t="shared" ca="1" si="78"/>
        <v>56</v>
      </c>
      <c r="K40" s="34">
        <f t="shared" si="79"/>
        <v>46162</v>
      </c>
      <c r="L40" s="34" t="s">
        <v>459</v>
      </c>
      <c r="M40" s="34">
        <v>39000</v>
      </c>
      <c r="N40" s="34">
        <v>34000</v>
      </c>
      <c r="O40" s="35">
        <v>46128</v>
      </c>
      <c r="P40" s="34">
        <f t="shared" si="80"/>
        <v>5000</v>
      </c>
      <c r="Q40" s="17" t="s">
        <v>33</v>
      </c>
      <c r="R40" s="34" t="s">
        <v>61</v>
      </c>
      <c r="S40" s="34">
        <v>46000</v>
      </c>
      <c r="T40" s="34" t="s">
        <v>2174</v>
      </c>
      <c r="U40" s="35">
        <v>46162</v>
      </c>
      <c r="V40" s="34" t="s">
        <v>28</v>
      </c>
      <c r="W40" s="34">
        <f t="shared" si="81"/>
        <v>7000</v>
      </c>
      <c r="X40" s="34" t="s">
        <v>36</v>
      </c>
      <c r="Y40" s="34" t="s">
        <v>29</v>
      </c>
      <c r="Z40" s="36">
        <f t="shared" si="82"/>
        <v>17.948717948717949</v>
      </c>
      <c r="AA40" s="34"/>
    </row>
    <row r="41" spans="1:27" ht="15.75" customHeight="1">
      <c r="A41" s="34">
        <f>SUBTOTAL(3,C$2:C41)</f>
        <v>40</v>
      </c>
      <c r="B41" s="34" t="s">
        <v>30</v>
      </c>
      <c r="C41" s="37" t="s">
        <v>31</v>
      </c>
      <c r="D41" s="34" t="s">
        <v>32</v>
      </c>
      <c r="E41" s="34" t="s">
        <v>33</v>
      </c>
      <c r="F41" s="34" t="s">
        <v>493</v>
      </c>
      <c r="G41" s="34" t="s">
        <v>34</v>
      </c>
      <c r="H41" s="39" t="s">
        <v>494</v>
      </c>
      <c r="I41" s="35">
        <v>46128</v>
      </c>
      <c r="J41" s="34">
        <f t="shared" ref="J41" ca="1" si="83">+TODAY()-I41</f>
        <v>56</v>
      </c>
      <c r="K41" s="34">
        <f t="shared" ref="K41" si="84">+U41</f>
        <v>46162</v>
      </c>
      <c r="L41" s="34" t="s">
        <v>397</v>
      </c>
      <c r="M41" s="34">
        <v>19000</v>
      </c>
      <c r="N41" s="34">
        <v>17000</v>
      </c>
      <c r="O41" s="35">
        <v>46129</v>
      </c>
      <c r="P41" s="34">
        <f t="shared" ref="P41" si="85">+M41-N41</f>
        <v>2000</v>
      </c>
      <c r="Q41" s="17" t="s">
        <v>33</v>
      </c>
      <c r="R41" s="34" t="s">
        <v>61</v>
      </c>
      <c r="S41" s="34">
        <v>22000</v>
      </c>
      <c r="T41" s="34" t="s">
        <v>2163</v>
      </c>
      <c r="U41" s="35">
        <v>46162</v>
      </c>
      <c r="V41" s="34" t="s">
        <v>28</v>
      </c>
      <c r="W41" s="34">
        <f t="shared" ref="W41" si="86">+S41-M41</f>
        <v>3000</v>
      </c>
      <c r="X41" s="34" t="s">
        <v>36</v>
      </c>
      <c r="Y41" s="34" t="s">
        <v>29</v>
      </c>
      <c r="Z41" s="36">
        <f t="shared" ref="Z41" si="87">+W41*100/M41</f>
        <v>15.789473684210526</v>
      </c>
      <c r="AA41" s="34"/>
    </row>
    <row r="42" spans="1:27" ht="15.75" customHeight="1">
      <c r="A42" s="34">
        <f>SUBTOTAL(3,C$2:C42)</f>
        <v>41</v>
      </c>
      <c r="B42" s="34" t="s">
        <v>30</v>
      </c>
      <c r="C42" s="37" t="s">
        <v>31</v>
      </c>
      <c r="D42" s="34" t="s">
        <v>32</v>
      </c>
      <c r="E42" s="34" t="s">
        <v>33</v>
      </c>
      <c r="F42" s="34" t="s">
        <v>495</v>
      </c>
      <c r="G42" s="34" t="s">
        <v>34</v>
      </c>
      <c r="H42" s="39" t="s">
        <v>496</v>
      </c>
      <c r="I42" s="35">
        <v>46128</v>
      </c>
      <c r="J42" s="34">
        <f t="shared" ref="J42:J43" ca="1" si="88">+TODAY()-I42</f>
        <v>56</v>
      </c>
      <c r="K42" s="34">
        <f t="shared" ref="K42:K43" si="89">+U42</f>
        <v>46162</v>
      </c>
      <c r="L42" s="34" t="s">
        <v>397</v>
      </c>
      <c r="M42" s="34">
        <v>19000</v>
      </c>
      <c r="N42" s="34">
        <v>17000</v>
      </c>
      <c r="O42" s="35">
        <v>46129</v>
      </c>
      <c r="P42" s="34">
        <f t="shared" ref="P42:P43" si="90">+M42-N42</f>
        <v>2000</v>
      </c>
      <c r="Q42" s="17" t="s">
        <v>33</v>
      </c>
      <c r="R42" s="34" t="s">
        <v>61</v>
      </c>
      <c r="S42" s="34">
        <v>22000</v>
      </c>
      <c r="T42" s="34" t="s">
        <v>2163</v>
      </c>
      <c r="U42" s="35">
        <v>46162</v>
      </c>
      <c r="V42" s="34" t="s">
        <v>28</v>
      </c>
      <c r="W42" s="34">
        <f t="shared" ref="W42:W43" si="91">+S42-M42</f>
        <v>3000</v>
      </c>
      <c r="X42" s="34" t="s">
        <v>36</v>
      </c>
      <c r="Y42" s="34" t="s">
        <v>29</v>
      </c>
      <c r="Z42" s="36">
        <f t="shared" ref="Z42:Z43" si="92">+W42*100/M42</f>
        <v>15.789473684210526</v>
      </c>
      <c r="AA42" s="34"/>
    </row>
    <row r="43" spans="1:27" ht="15.75" customHeight="1">
      <c r="A43" s="34">
        <f>SUBTOTAL(3,C$2:C43)</f>
        <v>42</v>
      </c>
      <c r="B43" s="34" t="s">
        <v>30</v>
      </c>
      <c r="C43" s="37" t="s">
        <v>57</v>
      </c>
      <c r="D43" s="34" t="s">
        <v>32</v>
      </c>
      <c r="E43" s="34" t="s">
        <v>33</v>
      </c>
      <c r="F43" s="34" t="s">
        <v>429</v>
      </c>
      <c r="G43" s="34" t="s">
        <v>314</v>
      </c>
      <c r="H43" s="39" t="s">
        <v>526</v>
      </c>
      <c r="I43" s="35">
        <v>46129</v>
      </c>
      <c r="J43" s="34">
        <f t="shared" ca="1" si="88"/>
        <v>55</v>
      </c>
      <c r="K43" s="34">
        <f t="shared" si="89"/>
        <v>46162</v>
      </c>
      <c r="L43" s="34" t="s">
        <v>160</v>
      </c>
      <c r="M43" s="34">
        <v>39000</v>
      </c>
      <c r="N43" s="34">
        <v>34000</v>
      </c>
      <c r="O43" s="35">
        <v>46130</v>
      </c>
      <c r="P43" s="34">
        <f t="shared" si="90"/>
        <v>5000</v>
      </c>
      <c r="Q43" s="17" t="s">
        <v>33</v>
      </c>
      <c r="R43" s="34" t="s">
        <v>61</v>
      </c>
      <c r="S43" s="34">
        <v>46000</v>
      </c>
      <c r="T43" s="34" t="s">
        <v>2174</v>
      </c>
      <c r="U43" s="35">
        <v>46162</v>
      </c>
      <c r="V43" s="34" t="s">
        <v>28</v>
      </c>
      <c r="W43" s="34">
        <f t="shared" si="91"/>
        <v>7000</v>
      </c>
      <c r="X43" s="34" t="s">
        <v>36</v>
      </c>
      <c r="Y43" s="34" t="s">
        <v>29</v>
      </c>
      <c r="Z43" s="36">
        <f t="shared" si="92"/>
        <v>17.948717948717949</v>
      </c>
      <c r="AA43" s="34"/>
    </row>
    <row r="44" spans="1:27" ht="15.75" customHeight="1">
      <c r="A44" s="34">
        <f>SUBTOTAL(3,C$2:C44)</f>
        <v>43</v>
      </c>
      <c r="B44" s="34" t="s">
        <v>30</v>
      </c>
      <c r="C44" s="37" t="s">
        <v>31</v>
      </c>
      <c r="D44" s="34" t="s">
        <v>32</v>
      </c>
      <c r="E44" s="34" t="s">
        <v>33</v>
      </c>
      <c r="F44" s="34" t="s">
        <v>544</v>
      </c>
      <c r="G44" s="34" t="s">
        <v>34</v>
      </c>
      <c r="H44" s="39" t="s">
        <v>545</v>
      </c>
      <c r="I44" s="35">
        <v>46130</v>
      </c>
      <c r="J44" s="34">
        <f t="shared" ref="J44:J45" ca="1" si="93">+TODAY()-I44</f>
        <v>54</v>
      </c>
      <c r="K44" s="34">
        <f t="shared" ref="K44:K45" si="94">+U44</f>
        <v>46162</v>
      </c>
      <c r="L44" s="34" t="s">
        <v>397</v>
      </c>
      <c r="M44" s="34">
        <v>19000</v>
      </c>
      <c r="N44" s="34">
        <v>17000</v>
      </c>
      <c r="O44" s="35">
        <v>46130</v>
      </c>
      <c r="P44" s="34">
        <f t="shared" ref="P44:P45" si="95">+M44-N44</f>
        <v>2000</v>
      </c>
      <c r="Q44" s="17" t="s">
        <v>33</v>
      </c>
      <c r="R44" s="34" t="s">
        <v>61</v>
      </c>
      <c r="S44" s="34">
        <v>22000</v>
      </c>
      <c r="T44" s="34" t="s">
        <v>2165</v>
      </c>
      <c r="U44" s="35">
        <v>46162</v>
      </c>
      <c r="V44" s="34" t="s">
        <v>28</v>
      </c>
      <c r="W44" s="34">
        <f t="shared" ref="W44:W45" si="96">+S44-M44</f>
        <v>3000</v>
      </c>
      <c r="X44" s="34" t="s">
        <v>36</v>
      </c>
      <c r="Y44" s="34" t="s">
        <v>29</v>
      </c>
      <c r="Z44" s="36">
        <f t="shared" ref="Z44:Z45" si="97">+W44*100/M44</f>
        <v>15.789473684210526</v>
      </c>
      <c r="AA44" s="34"/>
    </row>
    <row r="45" spans="1:27" ht="15.75" customHeight="1">
      <c r="A45" s="34">
        <f>SUBTOTAL(3,C$2:C45)</f>
        <v>44</v>
      </c>
      <c r="B45" s="34" t="s">
        <v>30</v>
      </c>
      <c r="C45" s="37" t="s">
        <v>44</v>
      </c>
      <c r="D45" s="34" t="s">
        <v>32</v>
      </c>
      <c r="E45" s="34" t="s">
        <v>33</v>
      </c>
      <c r="F45" s="34" t="s">
        <v>547</v>
      </c>
      <c r="G45" s="34" t="s">
        <v>314</v>
      </c>
      <c r="H45" s="39" t="s">
        <v>548</v>
      </c>
      <c r="I45" s="35">
        <v>46129</v>
      </c>
      <c r="J45" s="34">
        <f t="shared" ca="1" si="93"/>
        <v>55</v>
      </c>
      <c r="K45" s="34">
        <f t="shared" si="94"/>
        <v>46148</v>
      </c>
      <c r="L45" s="34" t="s">
        <v>549</v>
      </c>
      <c r="M45" s="34">
        <v>27500</v>
      </c>
      <c r="N45" s="34">
        <v>24500</v>
      </c>
      <c r="O45" s="35">
        <v>46130</v>
      </c>
      <c r="P45" s="34">
        <f t="shared" si="95"/>
        <v>3000</v>
      </c>
      <c r="Q45" s="17" t="s">
        <v>33</v>
      </c>
      <c r="R45" s="34" t="s">
        <v>61</v>
      </c>
      <c r="S45" s="34">
        <v>32000</v>
      </c>
      <c r="T45" s="34" t="s">
        <v>1322</v>
      </c>
      <c r="U45" s="35">
        <v>46148</v>
      </c>
      <c r="V45" s="34" t="s">
        <v>28</v>
      </c>
      <c r="W45" s="34">
        <f t="shared" si="96"/>
        <v>4500</v>
      </c>
      <c r="X45" s="34" t="s">
        <v>36</v>
      </c>
      <c r="Y45" s="34" t="s">
        <v>29</v>
      </c>
      <c r="Z45" s="36">
        <f t="shared" si="97"/>
        <v>16.363636363636363</v>
      </c>
      <c r="AA45" s="34"/>
    </row>
    <row r="46" spans="1:27" ht="15.75" customHeight="1">
      <c r="A46" s="34">
        <f>SUBTOTAL(3,C$2:C46)</f>
        <v>45</v>
      </c>
      <c r="B46" s="34" t="s">
        <v>30</v>
      </c>
      <c r="C46" s="37" t="s">
        <v>31</v>
      </c>
      <c r="D46" s="34" t="s">
        <v>32</v>
      </c>
      <c r="E46" s="34" t="s">
        <v>33</v>
      </c>
      <c r="F46" s="34" t="s">
        <v>92</v>
      </c>
      <c r="G46" s="34" t="s">
        <v>34</v>
      </c>
      <c r="H46" s="39" t="s">
        <v>546</v>
      </c>
      <c r="I46" s="35">
        <v>46128</v>
      </c>
      <c r="J46" s="34">
        <f t="shared" ref="J46:J47" ca="1" si="98">+TODAY()-I46</f>
        <v>56</v>
      </c>
      <c r="K46" s="34">
        <f t="shared" ref="K46:K47" si="99">+U46</f>
        <v>46162</v>
      </c>
      <c r="L46" s="34" t="s">
        <v>397</v>
      </c>
      <c r="M46" s="34">
        <v>19000</v>
      </c>
      <c r="N46" s="34">
        <v>17000</v>
      </c>
      <c r="O46" s="35">
        <v>46130</v>
      </c>
      <c r="P46" s="34">
        <f t="shared" ref="P46:P47" si="100">+M46-N46</f>
        <v>2000</v>
      </c>
      <c r="Q46" s="17" t="s">
        <v>33</v>
      </c>
      <c r="R46" s="34" t="s">
        <v>61</v>
      </c>
      <c r="S46" s="34">
        <v>22000</v>
      </c>
      <c r="T46" s="34" t="s">
        <v>2164</v>
      </c>
      <c r="U46" s="35">
        <v>46162</v>
      </c>
      <c r="V46" s="34" t="s">
        <v>28</v>
      </c>
      <c r="W46" s="34">
        <f t="shared" ref="W46:W47" si="101">+S46-M46</f>
        <v>3000</v>
      </c>
      <c r="X46" s="34" t="s">
        <v>36</v>
      </c>
      <c r="Y46" s="34" t="s">
        <v>29</v>
      </c>
      <c r="Z46" s="36">
        <f t="shared" ref="Z46:Z47" si="102">+W46*100/M46</f>
        <v>15.789473684210526</v>
      </c>
      <c r="AA46" s="34"/>
    </row>
    <row r="47" spans="1:27" ht="15.75" customHeight="1">
      <c r="A47" s="34">
        <f>SUBTOTAL(3,C$2:C47)</f>
        <v>46</v>
      </c>
      <c r="B47" s="34" t="s">
        <v>30</v>
      </c>
      <c r="C47" s="37" t="s">
        <v>80</v>
      </c>
      <c r="D47" s="34" t="s">
        <v>32</v>
      </c>
      <c r="E47" s="34" t="s">
        <v>33</v>
      </c>
      <c r="F47" s="34" t="s">
        <v>613</v>
      </c>
      <c r="G47" s="34" t="s">
        <v>59</v>
      </c>
      <c r="H47" s="39" t="s">
        <v>614</v>
      </c>
      <c r="I47" s="35">
        <v>46130</v>
      </c>
      <c r="J47" s="34">
        <f t="shared" ca="1" si="98"/>
        <v>54</v>
      </c>
      <c r="K47" s="34">
        <f t="shared" si="99"/>
        <v>46162</v>
      </c>
      <c r="L47" s="34" t="s">
        <v>270</v>
      </c>
      <c r="M47" s="34">
        <v>39000</v>
      </c>
      <c r="N47" s="34">
        <v>34000</v>
      </c>
      <c r="O47" s="35">
        <v>46132</v>
      </c>
      <c r="P47" s="34">
        <f t="shared" si="100"/>
        <v>5000</v>
      </c>
      <c r="Q47" s="17" t="s">
        <v>33</v>
      </c>
      <c r="R47" s="34" t="s">
        <v>61</v>
      </c>
      <c r="S47" s="34">
        <v>46000</v>
      </c>
      <c r="T47" s="34" t="s">
        <v>2173</v>
      </c>
      <c r="U47" s="35">
        <v>46162</v>
      </c>
      <c r="V47" s="34" t="s">
        <v>28</v>
      </c>
      <c r="W47" s="34">
        <f t="shared" si="101"/>
        <v>7000</v>
      </c>
      <c r="X47" s="34" t="s">
        <v>36</v>
      </c>
      <c r="Y47" s="34" t="s">
        <v>29</v>
      </c>
      <c r="Z47" s="36">
        <f t="shared" si="102"/>
        <v>17.948717948717949</v>
      </c>
      <c r="AA47" s="34"/>
    </row>
    <row r="48" spans="1:27" ht="15.75" customHeight="1">
      <c r="A48" s="34">
        <f>SUBTOTAL(3,C$2:C48)</f>
        <v>47</v>
      </c>
      <c r="B48" s="34" t="s">
        <v>30</v>
      </c>
      <c r="C48" s="37" t="s">
        <v>31</v>
      </c>
      <c r="D48" s="34" t="s">
        <v>32</v>
      </c>
      <c r="E48" s="34" t="s">
        <v>33</v>
      </c>
      <c r="F48" s="34" t="s">
        <v>615</v>
      </c>
      <c r="G48" s="34" t="s">
        <v>34</v>
      </c>
      <c r="H48" s="39" t="s">
        <v>616</v>
      </c>
      <c r="I48" s="35">
        <v>46130</v>
      </c>
      <c r="J48" s="34">
        <f t="shared" ref="J48:J50" ca="1" si="103">+TODAY()-I48</f>
        <v>54</v>
      </c>
      <c r="K48" s="34">
        <f t="shared" ref="K48:K50" si="104">+U48</f>
        <v>46162</v>
      </c>
      <c r="L48" s="34" t="s">
        <v>397</v>
      </c>
      <c r="M48" s="34">
        <v>19000</v>
      </c>
      <c r="N48" s="34">
        <v>17000</v>
      </c>
      <c r="O48" s="35">
        <v>46132</v>
      </c>
      <c r="P48" s="34">
        <f t="shared" ref="P48:P50" si="105">+M48-N48</f>
        <v>2000</v>
      </c>
      <c r="Q48" s="17" t="s">
        <v>33</v>
      </c>
      <c r="R48" s="34" t="s">
        <v>61</v>
      </c>
      <c r="S48" s="34">
        <v>22000</v>
      </c>
      <c r="T48" s="34" t="s">
        <v>2164</v>
      </c>
      <c r="U48" s="35">
        <v>46162</v>
      </c>
      <c r="V48" s="34" t="s">
        <v>28</v>
      </c>
      <c r="W48" s="34">
        <f t="shared" ref="W48:W50" si="106">+S48-M48</f>
        <v>3000</v>
      </c>
      <c r="X48" s="34" t="s">
        <v>36</v>
      </c>
      <c r="Y48" s="34" t="s">
        <v>29</v>
      </c>
      <c r="Z48" s="36">
        <f t="shared" ref="Z48:Z50" si="107">+W48*100/M48</f>
        <v>15.789473684210526</v>
      </c>
      <c r="AA48" s="34"/>
    </row>
    <row r="49" spans="1:27" ht="15.75" customHeight="1">
      <c r="A49" s="34">
        <f>SUBTOTAL(3,C$2:C49)</f>
        <v>48</v>
      </c>
      <c r="B49" s="34" t="s">
        <v>30</v>
      </c>
      <c r="C49" s="37" t="s">
        <v>57</v>
      </c>
      <c r="D49" s="34" t="s">
        <v>32</v>
      </c>
      <c r="E49" s="34" t="s">
        <v>33</v>
      </c>
      <c r="F49" s="34" t="s">
        <v>58</v>
      </c>
      <c r="G49" s="34" t="s">
        <v>314</v>
      </c>
      <c r="H49" s="39" t="s">
        <v>617</v>
      </c>
      <c r="I49" s="35">
        <v>46131</v>
      </c>
      <c r="J49" s="34">
        <f t="shared" ca="1" si="103"/>
        <v>53</v>
      </c>
      <c r="K49" s="34">
        <f t="shared" si="104"/>
        <v>46162</v>
      </c>
      <c r="L49" s="34" t="s">
        <v>60</v>
      </c>
      <c r="M49" s="34">
        <v>39000</v>
      </c>
      <c r="N49" s="34">
        <v>34000</v>
      </c>
      <c r="O49" s="35">
        <v>46132</v>
      </c>
      <c r="P49" s="34">
        <f t="shared" si="105"/>
        <v>5000</v>
      </c>
      <c r="Q49" s="17" t="s">
        <v>33</v>
      </c>
      <c r="R49" s="34" t="s">
        <v>61</v>
      </c>
      <c r="S49" s="34">
        <v>46000</v>
      </c>
      <c r="T49" s="34" t="s">
        <v>2175</v>
      </c>
      <c r="U49" s="35">
        <v>46162</v>
      </c>
      <c r="V49" s="34" t="s">
        <v>28</v>
      </c>
      <c r="W49" s="34">
        <f t="shared" si="106"/>
        <v>7000</v>
      </c>
      <c r="X49" s="34" t="s">
        <v>36</v>
      </c>
      <c r="Y49" s="34" t="s">
        <v>29</v>
      </c>
      <c r="Z49" s="36">
        <f t="shared" si="107"/>
        <v>17.948717948717949</v>
      </c>
      <c r="AA49" s="34"/>
    </row>
    <row r="50" spans="1:27" ht="15.75" customHeight="1">
      <c r="A50" s="34">
        <f>SUBTOTAL(3,C$2:C50)</f>
        <v>49</v>
      </c>
      <c r="B50" s="34" t="s">
        <v>30</v>
      </c>
      <c r="C50" s="37" t="s">
        <v>44</v>
      </c>
      <c r="D50" s="34" t="s">
        <v>32</v>
      </c>
      <c r="E50" s="34" t="s">
        <v>33</v>
      </c>
      <c r="F50" s="34" t="s">
        <v>126</v>
      </c>
      <c r="G50" s="34" t="s">
        <v>314</v>
      </c>
      <c r="H50" s="39" t="s">
        <v>618</v>
      </c>
      <c r="I50" s="35">
        <v>46130</v>
      </c>
      <c r="J50" s="34">
        <f t="shared" ca="1" si="103"/>
        <v>54</v>
      </c>
      <c r="K50" s="34">
        <f t="shared" si="104"/>
        <v>46148</v>
      </c>
      <c r="L50" s="34" t="s">
        <v>549</v>
      </c>
      <c r="M50" s="34">
        <v>27500</v>
      </c>
      <c r="N50" s="34">
        <v>24500</v>
      </c>
      <c r="O50" s="35">
        <v>46132</v>
      </c>
      <c r="P50" s="34">
        <f t="shared" si="105"/>
        <v>3000</v>
      </c>
      <c r="Q50" s="17" t="s">
        <v>33</v>
      </c>
      <c r="R50" s="34" t="s">
        <v>61</v>
      </c>
      <c r="S50" s="34">
        <v>32000</v>
      </c>
      <c r="T50" s="34" t="s">
        <v>1331</v>
      </c>
      <c r="U50" s="35">
        <v>46148</v>
      </c>
      <c r="V50" s="34" t="s">
        <v>28</v>
      </c>
      <c r="W50" s="34">
        <f t="shared" si="106"/>
        <v>4500</v>
      </c>
      <c r="X50" s="34" t="s">
        <v>36</v>
      </c>
      <c r="Y50" s="34" t="s">
        <v>29</v>
      </c>
      <c r="Z50" s="36">
        <f t="shared" si="107"/>
        <v>16.363636363636363</v>
      </c>
      <c r="AA50" s="34"/>
    </row>
    <row r="51" spans="1:27" ht="15.75" customHeight="1">
      <c r="A51" s="34">
        <f>SUBTOTAL(3,C$2:C51)</f>
        <v>50</v>
      </c>
      <c r="B51" s="34" t="s">
        <v>30</v>
      </c>
      <c r="C51" s="37" t="s">
        <v>31</v>
      </c>
      <c r="D51" s="34" t="s">
        <v>32</v>
      </c>
      <c r="E51" s="34" t="s">
        <v>33</v>
      </c>
      <c r="F51" s="34" t="s">
        <v>271</v>
      </c>
      <c r="G51" s="34" t="s">
        <v>34</v>
      </c>
      <c r="H51" s="39" t="s">
        <v>644</v>
      </c>
      <c r="I51" s="35">
        <v>46132</v>
      </c>
      <c r="J51" s="34">
        <f t="shared" ref="J51:J52" ca="1" si="108">+TODAY()-I51</f>
        <v>52</v>
      </c>
      <c r="K51" s="34">
        <f t="shared" ref="K51:K52" si="109">+U51</f>
        <v>46162</v>
      </c>
      <c r="L51" s="34" t="s">
        <v>397</v>
      </c>
      <c r="M51" s="34">
        <v>19000</v>
      </c>
      <c r="N51" s="34">
        <v>17000</v>
      </c>
      <c r="O51" s="35">
        <v>46133</v>
      </c>
      <c r="P51" s="34">
        <f t="shared" ref="P51:P52" si="110">+M51-N51</f>
        <v>2000</v>
      </c>
      <c r="Q51" s="17" t="s">
        <v>33</v>
      </c>
      <c r="R51" s="34" t="s">
        <v>61</v>
      </c>
      <c r="S51" s="34">
        <v>22000</v>
      </c>
      <c r="T51" s="34" t="s">
        <v>2158</v>
      </c>
      <c r="U51" s="35">
        <v>46162</v>
      </c>
      <c r="V51" s="34" t="s">
        <v>28</v>
      </c>
      <c r="W51" s="34">
        <f t="shared" ref="W51:W52" si="111">+S51-M51</f>
        <v>3000</v>
      </c>
      <c r="X51" s="34" t="s">
        <v>36</v>
      </c>
      <c r="Y51" s="34" t="s">
        <v>29</v>
      </c>
      <c r="Z51" s="36">
        <f t="shared" ref="Z51:Z52" si="112">+W51*100/M51</f>
        <v>15.789473684210526</v>
      </c>
      <c r="AA51" s="34"/>
    </row>
    <row r="52" spans="1:27" ht="15.75" customHeight="1">
      <c r="A52" s="34">
        <f>SUBTOTAL(3,C$2:C52)</f>
        <v>51</v>
      </c>
      <c r="B52" s="34" t="s">
        <v>30</v>
      </c>
      <c r="C52" s="37" t="s">
        <v>44</v>
      </c>
      <c r="D52" s="34" t="s">
        <v>32</v>
      </c>
      <c r="E52" s="34" t="s">
        <v>33</v>
      </c>
      <c r="F52" s="34" t="s">
        <v>645</v>
      </c>
      <c r="G52" s="34" t="s">
        <v>314</v>
      </c>
      <c r="H52" s="39" t="s">
        <v>646</v>
      </c>
      <c r="I52" s="35">
        <v>46133</v>
      </c>
      <c r="J52" s="34">
        <f t="shared" ca="1" si="108"/>
        <v>51</v>
      </c>
      <c r="K52" s="34">
        <f t="shared" si="109"/>
        <v>46162</v>
      </c>
      <c r="L52" s="34" t="s">
        <v>397</v>
      </c>
      <c r="M52" s="34">
        <v>39000</v>
      </c>
      <c r="N52" s="34">
        <v>34000</v>
      </c>
      <c r="O52" s="35">
        <v>46133</v>
      </c>
      <c r="P52" s="34">
        <f t="shared" si="110"/>
        <v>5000</v>
      </c>
      <c r="Q52" s="17" t="s">
        <v>33</v>
      </c>
      <c r="R52" s="34" t="s">
        <v>61</v>
      </c>
      <c r="S52" s="34">
        <v>46000</v>
      </c>
      <c r="T52" s="34" t="s">
        <v>2175</v>
      </c>
      <c r="U52" s="35">
        <v>46162</v>
      </c>
      <c r="V52" s="34" t="s">
        <v>28</v>
      </c>
      <c r="W52" s="34">
        <f t="shared" si="111"/>
        <v>7000</v>
      </c>
      <c r="X52" s="34" t="s">
        <v>36</v>
      </c>
      <c r="Y52" s="34" t="s">
        <v>29</v>
      </c>
      <c r="Z52" s="36">
        <f t="shared" si="112"/>
        <v>17.948717948717949</v>
      </c>
      <c r="AA52" s="34"/>
    </row>
    <row r="53" spans="1:27" ht="15.75" customHeight="1">
      <c r="A53" s="34">
        <f>SUBTOTAL(3,C$2:C53)</f>
        <v>52</v>
      </c>
      <c r="B53" s="34" t="s">
        <v>30</v>
      </c>
      <c r="C53" s="37" t="s">
        <v>31</v>
      </c>
      <c r="D53" s="34" t="s">
        <v>32</v>
      </c>
      <c r="E53" s="34" t="s">
        <v>33</v>
      </c>
      <c r="F53" s="34" t="s">
        <v>87</v>
      </c>
      <c r="G53" s="34" t="s">
        <v>34</v>
      </c>
      <c r="H53" s="39" t="s">
        <v>701</v>
      </c>
      <c r="I53" s="35">
        <v>46133</v>
      </c>
      <c r="J53" s="34">
        <f t="shared" ref="J53" ca="1" si="113">+TODAY()-I53</f>
        <v>51</v>
      </c>
      <c r="K53" s="34">
        <f t="shared" ref="K53" si="114">+U53</f>
        <v>46162</v>
      </c>
      <c r="L53" s="34" t="s">
        <v>397</v>
      </c>
      <c r="M53" s="34">
        <v>19000</v>
      </c>
      <c r="N53" s="34">
        <v>17000</v>
      </c>
      <c r="O53" s="35">
        <v>46134</v>
      </c>
      <c r="P53" s="34">
        <f t="shared" ref="P53" si="115">+M53-N53</f>
        <v>2000</v>
      </c>
      <c r="Q53" s="17" t="s">
        <v>33</v>
      </c>
      <c r="R53" s="34" t="s">
        <v>61</v>
      </c>
      <c r="S53" s="34">
        <v>22000</v>
      </c>
      <c r="T53" s="34" t="s">
        <v>2165</v>
      </c>
      <c r="U53" s="35">
        <v>46162</v>
      </c>
      <c r="V53" s="34" t="s">
        <v>28</v>
      </c>
      <c r="W53" s="34">
        <f t="shared" ref="W53" si="116">+S53-M53</f>
        <v>3000</v>
      </c>
      <c r="X53" s="34" t="s">
        <v>36</v>
      </c>
      <c r="Y53" s="34" t="s">
        <v>29</v>
      </c>
      <c r="Z53" s="36">
        <f t="shared" ref="Z53" si="117">+W53*100/M53</f>
        <v>15.789473684210526</v>
      </c>
      <c r="AA53" s="34"/>
    </row>
    <row r="54" spans="1:27" ht="15.75" customHeight="1">
      <c r="A54" s="34">
        <f>SUBTOTAL(3,C$2:C54)</f>
        <v>53</v>
      </c>
      <c r="B54" s="34" t="s">
        <v>30</v>
      </c>
      <c r="C54" s="37" t="s">
        <v>31</v>
      </c>
      <c r="D54" s="34" t="s">
        <v>32</v>
      </c>
      <c r="E54" s="34" t="s">
        <v>33</v>
      </c>
      <c r="F54" s="34" t="s">
        <v>125</v>
      </c>
      <c r="G54" s="34" t="s">
        <v>34</v>
      </c>
      <c r="H54" s="55" t="s">
        <v>702</v>
      </c>
      <c r="I54" s="35">
        <v>46133</v>
      </c>
      <c r="J54" s="34">
        <f t="shared" ref="J54:J56" ca="1" si="118">+TODAY()-I54</f>
        <v>51</v>
      </c>
      <c r="K54" s="34" t="str">
        <f t="shared" ref="K54:K56" si="119">+U54</f>
        <v>Pending</v>
      </c>
      <c r="L54" s="34" t="s">
        <v>397</v>
      </c>
      <c r="M54" s="34">
        <v>19000</v>
      </c>
      <c r="N54" s="34">
        <v>17000</v>
      </c>
      <c r="O54" s="35">
        <v>46134</v>
      </c>
      <c r="P54" s="34">
        <f t="shared" ref="P54:P56" si="120">+M54-N54</f>
        <v>2000</v>
      </c>
      <c r="Q54" s="17" t="s">
        <v>33</v>
      </c>
      <c r="R54" s="34" t="s">
        <v>61</v>
      </c>
      <c r="S54" s="34">
        <v>22000</v>
      </c>
      <c r="T54" s="34" t="str">
        <f>VLOOKUP(H54,'[1]MIS Sanjeev Auto'!$H$1:$T$168,13,0)</f>
        <v>Pending</v>
      </c>
      <c r="U54" s="35" t="str">
        <f>VLOOKUP(H54,'[1]MIS Sanjeev Auto'!$H$1:$U$168,14,0)</f>
        <v>Pending</v>
      </c>
      <c r="V54" s="34" t="s">
        <v>28</v>
      </c>
      <c r="W54" s="34">
        <f t="shared" ref="W54:W56" si="121">+S54-M54</f>
        <v>3000</v>
      </c>
      <c r="X54" s="34" t="s">
        <v>36</v>
      </c>
      <c r="Y54" s="34" t="s">
        <v>29</v>
      </c>
      <c r="Z54" s="36">
        <f t="shared" ref="Z54:Z56" si="122">+W54*100/M54</f>
        <v>15.789473684210526</v>
      </c>
      <c r="AA54" s="34"/>
    </row>
    <row r="55" spans="1:27" ht="15.75" customHeight="1">
      <c r="A55" s="34">
        <f>SUBTOTAL(3,C$2:C55)</f>
        <v>54</v>
      </c>
      <c r="B55" s="34" t="s">
        <v>30</v>
      </c>
      <c r="C55" s="37" t="s">
        <v>44</v>
      </c>
      <c r="D55" s="34" t="s">
        <v>32</v>
      </c>
      <c r="E55" s="34" t="s">
        <v>33</v>
      </c>
      <c r="F55" s="34" t="s">
        <v>703</v>
      </c>
      <c r="G55" s="34" t="s">
        <v>314</v>
      </c>
      <c r="H55" s="39" t="s">
        <v>704</v>
      </c>
      <c r="I55" s="35">
        <v>46133</v>
      </c>
      <c r="J55" s="34">
        <f t="shared" ca="1" si="118"/>
        <v>51</v>
      </c>
      <c r="K55" s="34">
        <f t="shared" si="119"/>
        <v>46148</v>
      </c>
      <c r="L55" s="34" t="s">
        <v>705</v>
      </c>
      <c r="M55" s="34">
        <v>27500</v>
      </c>
      <c r="N55" s="34">
        <v>24500</v>
      </c>
      <c r="O55" s="35">
        <v>46134</v>
      </c>
      <c r="P55" s="34">
        <f t="shared" si="120"/>
        <v>3000</v>
      </c>
      <c r="Q55" s="17" t="s">
        <v>33</v>
      </c>
      <c r="R55" s="34" t="s">
        <v>61</v>
      </c>
      <c r="S55" s="34">
        <v>32000</v>
      </c>
      <c r="T55" s="34" t="s">
        <v>1331</v>
      </c>
      <c r="U55" s="35">
        <v>46148</v>
      </c>
      <c r="V55" s="34" t="s">
        <v>28</v>
      </c>
      <c r="W55" s="34">
        <f t="shared" si="121"/>
        <v>4500</v>
      </c>
      <c r="X55" s="34" t="s">
        <v>36</v>
      </c>
      <c r="Y55" s="34" t="s">
        <v>29</v>
      </c>
      <c r="Z55" s="36">
        <f t="shared" si="122"/>
        <v>16.363636363636363</v>
      </c>
      <c r="AA55" s="34"/>
    </row>
    <row r="56" spans="1:27" ht="15.75" customHeight="1">
      <c r="A56" s="34">
        <f>SUBTOTAL(3,C$2:C56)</f>
        <v>55</v>
      </c>
      <c r="B56" s="34" t="s">
        <v>30</v>
      </c>
      <c r="C56" s="37" t="s">
        <v>57</v>
      </c>
      <c r="D56" s="34" t="s">
        <v>32</v>
      </c>
      <c r="E56" s="34" t="s">
        <v>33</v>
      </c>
      <c r="F56" s="34" t="s">
        <v>142</v>
      </c>
      <c r="G56" s="34" t="s">
        <v>314</v>
      </c>
      <c r="H56" s="39" t="s">
        <v>706</v>
      </c>
      <c r="I56" s="35">
        <v>46134</v>
      </c>
      <c r="J56" s="34">
        <f t="shared" ca="1" si="118"/>
        <v>50</v>
      </c>
      <c r="K56" s="34">
        <f t="shared" si="119"/>
        <v>46162</v>
      </c>
      <c r="L56" s="34" t="s">
        <v>60</v>
      </c>
      <c r="M56" s="34">
        <v>39000</v>
      </c>
      <c r="N56" s="34">
        <v>34000</v>
      </c>
      <c r="O56" s="35">
        <v>46134</v>
      </c>
      <c r="P56" s="34">
        <f t="shared" si="120"/>
        <v>5000</v>
      </c>
      <c r="Q56" s="17" t="s">
        <v>33</v>
      </c>
      <c r="R56" s="34" t="s">
        <v>61</v>
      </c>
      <c r="S56" s="34">
        <v>46000</v>
      </c>
      <c r="T56" s="34" t="s">
        <v>2176</v>
      </c>
      <c r="U56" s="35">
        <v>46162</v>
      </c>
      <c r="V56" s="34" t="s">
        <v>28</v>
      </c>
      <c r="W56" s="34">
        <f t="shared" si="121"/>
        <v>7000</v>
      </c>
      <c r="X56" s="34" t="s">
        <v>36</v>
      </c>
      <c r="Y56" s="34" t="s">
        <v>29</v>
      </c>
      <c r="Z56" s="36">
        <f t="shared" si="122"/>
        <v>17.948717948717949</v>
      </c>
      <c r="AA56" s="34"/>
    </row>
    <row r="57" spans="1:27" ht="15.75" customHeight="1">
      <c r="A57" s="34">
        <f>SUBTOTAL(3,C$2:C57)</f>
        <v>56</v>
      </c>
      <c r="B57" s="34" t="s">
        <v>30</v>
      </c>
      <c r="C57" s="37" t="s">
        <v>57</v>
      </c>
      <c r="D57" s="34" t="s">
        <v>32</v>
      </c>
      <c r="E57" s="34" t="s">
        <v>33</v>
      </c>
      <c r="F57" s="34" t="s">
        <v>437</v>
      </c>
      <c r="G57" s="34" t="s">
        <v>314</v>
      </c>
      <c r="H57" s="39" t="s">
        <v>727</v>
      </c>
      <c r="I57" s="35">
        <v>46135</v>
      </c>
      <c r="J57" s="34">
        <f t="shared" ref="J57:J58" ca="1" si="123">+TODAY()-I57</f>
        <v>49</v>
      </c>
      <c r="K57" s="34">
        <f t="shared" ref="K57:K58" si="124">+U57</f>
        <v>46162</v>
      </c>
      <c r="L57" s="34" t="s">
        <v>60</v>
      </c>
      <c r="M57" s="34">
        <v>39000</v>
      </c>
      <c r="N57" s="34">
        <v>34000</v>
      </c>
      <c r="O57" s="35">
        <v>46135</v>
      </c>
      <c r="P57" s="34">
        <f t="shared" ref="P57:P58" si="125">+M57-N57</f>
        <v>5000</v>
      </c>
      <c r="Q57" s="17" t="s">
        <v>33</v>
      </c>
      <c r="R57" s="34" t="s">
        <v>61</v>
      </c>
      <c r="S57" s="34">
        <v>46000</v>
      </c>
      <c r="T57" s="34" t="s">
        <v>2176</v>
      </c>
      <c r="U57" s="35">
        <v>46162</v>
      </c>
      <c r="V57" s="34" t="s">
        <v>28</v>
      </c>
      <c r="W57" s="34">
        <f t="shared" ref="W57:W58" si="126">+S57-M57</f>
        <v>7000</v>
      </c>
      <c r="X57" s="34" t="s">
        <v>36</v>
      </c>
      <c r="Y57" s="34" t="s">
        <v>29</v>
      </c>
      <c r="Z57" s="36">
        <f t="shared" ref="Z57:Z58" si="127">+W57*100/M57</f>
        <v>17.948717948717949</v>
      </c>
      <c r="AA57" s="34"/>
    </row>
    <row r="58" spans="1:27" ht="15.75" customHeight="1">
      <c r="A58" s="34">
        <f>SUBTOTAL(3,C$2:C58)</f>
        <v>57</v>
      </c>
      <c r="B58" s="34" t="s">
        <v>30</v>
      </c>
      <c r="C58" s="37" t="s">
        <v>31</v>
      </c>
      <c r="D58" s="34" t="s">
        <v>32</v>
      </c>
      <c r="E58" s="34" t="s">
        <v>33</v>
      </c>
      <c r="F58" s="34" t="s">
        <v>728</v>
      </c>
      <c r="G58" s="34" t="s">
        <v>34</v>
      </c>
      <c r="H58" s="39" t="s">
        <v>729</v>
      </c>
      <c r="I58" s="35">
        <v>46134</v>
      </c>
      <c r="J58" s="34">
        <f t="shared" ca="1" si="123"/>
        <v>50</v>
      </c>
      <c r="K58" s="34">
        <f t="shared" si="124"/>
        <v>46162</v>
      </c>
      <c r="L58" s="34" t="s">
        <v>397</v>
      </c>
      <c r="M58" s="34">
        <v>19000</v>
      </c>
      <c r="N58" s="34">
        <v>17000</v>
      </c>
      <c r="O58" s="35">
        <v>46135</v>
      </c>
      <c r="P58" s="34">
        <f t="shared" si="125"/>
        <v>2000</v>
      </c>
      <c r="Q58" s="17" t="s">
        <v>33</v>
      </c>
      <c r="R58" s="34" t="s">
        <v>61</v>
      </c>
      <c r="S58" s="34">
        <v>22000</v>
      </c>
      <c r="T58" s="34" t="s">
        <v>2166</v>
      </c>
      <c r="U58" s="35">
        <v>46162</v>
      </c>
      <c r="V58" s="34" t="s">
        <v>28</v>
      </c>
      <c r="W58" s="34">
        <f t="shared" si="126"/>
        <v>3000</v>
      </c>
      <c r="X58" s="34" t="s">
        <v>36</v>
      </c>
      <c r="Y58" s="34" t="s">
        <v>29</v>
      </c>
      <c r="Z58" s="36">
        <f t="shared" si="127"/>
        <v>15.789473684210526</v>
      </c>
      <c r="AA58" s="34"/>
    </row>
    <row r="59" spans="1:27" ht="15.75" customHeight="1">
      <c r="A59" s="34">
        <f>SUBTOTAL(3,C$2:C59)</f>
        <v>58</v>
      </c>
      <c r="B59" s="34" t="s">
        <v>30</v>
      </c>
      <c r="C59" s="37" t="s">
        <v>31</v>
      </c>
      <c r="D59" s="34" t="s">
        <v>32</v>
      </c>
      <c r="E59" s="34" t="s">
        <v>33</v>
      </c>
      <c r="F59" s="34" t="s">
        <v>114</v>
      </c>
      <c r="G59" s="34" t="s">
        <v>34</v>
      </c>
      <c r="H59" s="39" t="s">
        <v>735</v>
      </c>
      <c r="I59" s="35">
        <v>46134</v>
      </c>
      <c r="J59" s="34">
        <f t="shared" ref="J59" ca="1" si="128">+TODAY()-I59</f>
        <v>50</v>
      </c>
      <c r="K59" s="34">
        <f t="shared" ref="K59" si="129">+U59</f>
        <v>46162</v>
      </c>
      <c r="L59" s="34" t="s">
        <v>397</v>
      </c>
      <c r="M59" s="34">
        <v>19000</v>
      </c>
      <c r="N59" s="34">
        <v>17000</v>
      </c>
      <c r="O59" s="35">
        <v>46135</v>
      </c>
      <c r="P59" s="34">
        <f t="shared" ref="P59" si="130">+M59-N59</f>
        <v>2000</v>
      </c>
      <c r="Q59" s="17" t="s">
        <v>33</v>
      </c>
      <c r="R59" s="34" t="s">
        <v>61</v>
      </c>
      <c r="S59" s="34">
        <v>22000</v>
      </c>
      <c r="T59" s="34" t="s">
        <v>2165</v>
      </c>
      <c r="U59" s="35">
        <v>46162</v>
      </c>
      <c r="V59" s="34" t="s">
        <v>28</v>
      </c>
      <c r="W59" s="34">
        <f t="shared" ref="W59" si="131">+S59-M59</f>
        <v>3000</v>
      </c>
      <c r="X59" s="34" t="s">
        <v>36</v>
      </c>
      <c r="Y59" s="34" t="s">
        <v>29</v>
      </c>
      <c r="Z59" s="36">
        <f t="shared" ref="Z59" si="132">+W59*100/M59</f>
        <v>15.789473684210526</v>
      </c>
      <c r="AA59" s="34"/>
    </row>
    <row r="60" spans="1:27" ht="15.75" customHeight="1">
      <c r="A60" s="34">
        <f>SUBTOTAL(3,C$2:C60)</f>
        <v>59</v>
      </c>
      <c r="B60" s="34" t="s">
        <v>30</v>
      </c>
      <c r="C60" s="37" t="s">
        <v>31</v>
      </c>
      <c r="D60" s="34" t="s">
        <v>32</v>
      </c>
      <c r="E60" s="34" t="s">
        <v>33</v>
      </c>
      <c r="F60" s="34" t="s">
        <v>738</v>
      </c>
      <c r="G60" s="34" t="s">
        <v>34</v>
      </c>
      <c r="H60" s="39" t="s">
        <v>739</v>
      </c>
      <c r="I60" s="35">
        <v>46135</v>
      </c>
      <c r="J60" s="34">
        <f t="shared" ref="J60" ca="1" si="133">+TODAY()-I60</f>
        <v>49</v>
      </c>
      <c r="K60" s="34">
        <f t="shared" ref="K60" si="134">+U60</f>
        <v>46162</v>
      </c>
      <c r="L60" s="34" t="s">
        <v>740</v>
      </c>
      <c r="M60" s="34">
        <v>19000</v>
      </c>
      <c r="N60" s="34">
        <v>17000</v>
      </c>
      <c r="O60" s="35">
        <v>46136</v>
      </c>
      <c r="P60" s="34">
        <f t="shared" ref="P60" si="135">+M60-N60</f>
        <v>2000</v>
      </c>
      <c r="Q60" s="17" t="s">
        <v>33</v>
      </c>
      <c r="R60" s="34" t="s">
        <v>61</v>
      </c>
      <c r="S60" s="34">
        <v>22000</v>
      </c>
      <c r="T60" s="34" t="s">
        <v>2167</v>
      </c>
      <c r="U60" s="35">
        <v>46162</v>
      </c>
      <c r="V60" s="34" t="s">
        <v>28</v>
      </c>
      <c r="W60" s="34">
        <f t="shared" ref="W60" si="136">+S60-M60</f>
        <v>3000</v>
      </c>
      <c r="X60" s="34" t="s">
        <v>36</v>
      </c>
      <c r="Y60" s="34" t="s">
        <v>29</v>
      </c>
      <c r="Z60" s="36">
        <f t="shared" ref="Z60" si="137">+W60*100/M60</f>
        <v>15.789473684210526</v>
      </c>
      <c r="AA60" s="34"/>
    </row>
    <row r="61" spans="1:27" ht="15.75" customHeight="1">
      <c r="A61" s="34">
        <f>SUBTOTAL(3,C$2:C61)</f>
        <v>60</v>
      </c>
      <c r="B61" s="34" t="s">
        <v>30</v>
      </c>
      <c r="C61" s="37" t="s">
        <v>31</v>
      </c>
      <c r="D61" s="34" t="s">
        <v>32</v>
      </c>
      <c r="E61" s="34" t="s">
        <v>33</v>
      </c>
      <c r="F61" s="34" t="s">
        <v>576</v>
      </c>
      <c r="G61" s="34" t="s">
        <v>34</v>
      </c>
      <c r="H61" s="39" t="s">
        <v>777</v>
      </c>
      <c r="I61" s="35">
        <v>46136</v>
      </c>
      <c r="J61" s="34">
        <f t="shared" ref="J61" ca="1" si="138">+TODAY()-I61</f>
        <v>48</v>
      </c>
      <c r="K61" s="34">
        <f t="shared" ref="K61" si="139">+U61</f>
        <v>46162</v>
      </c>
      <c r="L61" s="34" t="s">
        <v>740</v>
      </c>
      <c r="M61" s="34">
        <v>19000</v>
      </c>
      <c r="N61" s="34">
        <v>17000</v>
      </c>
      <c r="O61" s="35">
        <v>46136</v>
      </c>
      <c r="P61" s="34">
        <f t="shared" ref="P61" si="140">+M61-N61</f>
        <v>2000</v>
      </c>
      <c r="Q61" s="17" t="s">
        <v>33</v>
      </c>
      <c r="R61" s="34" t="s">
        <v>61</v>
      </c>
      <c r="S61" s="34">
        <v>22000</v>
      </c>
      <c r="T61" s="34" t="s">
        <v>2168</v>
      </c>
      <c r="U61" s="35">
        <v>46162</v>
      </c>
      <c r="V61" s="34" t="s">
        <v>28</v>
      </c>
      <c r="W61" s="34">
        <f t="shared" ref="W61" si="141">+S61-M61</f>
        <v>3000</v>
      </c>
      <c r="X61" s="34" t="s">
        <v>36</v>
      </c>
      <c r="Y61" s="34" t="s">
        <v>29</v>
      </c>
      <c r="Z61" s="36">
        <f t="shared" ref="Z61" si="142">+W61*100/M61</f>
        <v>15.789473684210526</v>
      </c>
      <c r="AA61" s="34"/>
    </row>
    <row r="62" spans="1:27" ht="15.75" customHeight="1">
      <c r="A62" s="34">
        <f>SUBTOTAL(3,C$2:C62)</f>
        <v>61</v>
      </c>
      <c r="B62" s="34" t="s">
        <v>30</v>
      </c>
      <c r="C62" s="37" t="s">
        <v>31</v>
      </c>
      <c r="D62" s="34" t="s">
        <v>32</v>
      </c>
      <c r="E62" s="34" t="s">
        <v>33</v>
      </c>
      <c r="F62" s="34" t="s">
        <v>159</v>
      </c>
      <c r="G62" s="34" t="s">
        <v>34</v>
      </c>
      <c r="H62" s="39" t="s">
        <v>802</v>
      </c>
      <c r="I62" s="35">
        <v>46136</v>
      </c>
      <c r="J62" s="34">
        <f t="shared" ref="J62" ca="1" si="143">+TODAY()-I62</f>
        <v>48</v>
      </c>
      <c r="K62" s="34">
        <f t="shared" ref="K62" si="144">+U62</f>
        <v>46162</v>
      </c>
      <c r="L62" s="34" t="s">
        <v>740</v>
      </c>
      <c r="M62" s="34">
        <v>19000</v>
      </c>
      <c r="N62" s="34">
        <v>17000</v>
      </c>
      <c r="O62" s="35">
        <v>46137</v>
      </c>
      <c r="P62" s="34">
        <f t="shared" ref="P62" si="145">+M62-N62</f>
        <v>2000</v>
      </c>
      <c r="Q62" s="17" t="s">
        <v>33</v>
      </c>
      <c r="R62" s="34" t="s">
        <v>61</v>
      </c>
      <c r="S62" s="34">
        <v>22000</v>
      </c>
      <c r="T62" s="34" t="s">
        <v>2167</v>
      </c>
      <c r="U62" s="35">
        <v>46162</v>
      </c>
      <c r="V62" s="34" t="s">
        <v>28</v>
      </c>
      <c r="W62" s="34">
        <f t="shared" ref="W62" si="146">+S62-M62</f>
        <v>3000</v>
      </c>
      <c r="X62" s="34" t="s">
        <v>36</v>
      </c>
      <c r="Y62" s="34" t="s">
        <v>29</v>
      </c>
      <c r="Z62" s="36">
        <f t="shared" ref="Z62" si="147">+W62*100/M62</f>
        <v>15.789473684210526</v>
      </c>
      <c r="AA62" s="34"/>
    </row>
    <row r="63" spans="1:27" ht="15.75" customHeight="1">
      <c r="A63" s="34">
        <f>SUBTOTAL(3,C$2:C63)</f>
        <v>62</v>
      </c>
      <c r="B63" s="34" t="s">
        <v>30</v>
      </c>
      <c r="C63" s="37" t="s">
        <v>31</v>
      </c>
      <c r="D63" s="34" t="s">
        <v>32</v>
      </c>
      <c r="E63" s="34" t="s">
        <v>33</v>
      </c>
      <c r="F63" s="34" t="s">
        <v>786</v>
      </c>
      <c r="G63" s="34" t="s">
        <v>34</v>
      </c>
      <c r="H63" s="39" t="s">
        <v>803</v>
      </c>
      <c r="I63" s="35">
        <v>46136</v>
      </c>
      <c r="J63" s="34">
        <f t="shared" ref="J63" ca="1" si="148">+TODAY()-I63</f>
        <v>48</v>
      </c>
      <c r="K63" s="34">
        <f t="shared" ref="K63" si="149">+U63</f>
        <v>46162</v>
      </c>
      <c r="L63" s="34" t="s">
        <v>740</v>
      </c>
      <c r="M63" s="34">
        <v>19000</v>
      </c>
      <c r="N63" s="34">
        <v>17000</v>
      </c>
      <c r="O63" s="35">
        <v>46137</v>
      </c>
      <c r="P63" s="34">
        <f t="shared" ref="P63" si="150">+M63-N63</f>
        <v>2000</v>
      </c>
      <c r="Q63" s="17" t="s">
        <v>33</v>
      </c>
      <c r="R63" s="34" t="s">
        <v>61</v>
      </c>
      <c r="S63" s="34">
        <v>22000</v>
      </c>
      <c r="T63" s="34" t="s">
        <v>2167</v>
      </c>
      <c r="U63" s="35">
        <v>46162</v>
      </c>
      <c r="V63" s="34" t="s">
        <v>28</v>
      </c>
      <c r="W63" s="34">
        <f t="shared" ref="W63" si="151">+S63-M63</f>
        <v>3000</v>
      </c>
      <c r="X63" s="34" t="s">
        <v>36</v>
      </c>
      <c r="Y63" s="34" t="s">
        <v>29</v>
      </c>
      <c r="Z63" s="36">
        <f t="shared" ref="Z63" si="152">+W63*100/M63</f>
        <v>15.789473684210526</v>
      </c>
      <c r="AA63" s="34"/>
    </row>
    <row r="64" spans="1:27" ht="15.75" customHeight="1">
      <c r="A64" s="34">
        <f>SUBTOTAL(3,C$2:C64)</f>
        <v>63</v>
      </c>
      <c r="B64" s="34" t="s">
        <v>30</v>
      </c>
      <c r="C64" s="37" t="s">
        <v>80</v>
      </c>
      <c r="D64" s="34" t="s">
        <v>32</v>
      </c>
      <c r="E64" s="34" t="s">
        <v>33</v>
      </c>
      <c r="F64" s="34" t="s">
        <v>787</v>
      </c>
      <c r="G64" s="34" t="s">
        <v>34</v>
      </c>
      <c r="H64" s="39" t="s">
        <v>801</v>
      </c>
      <c r="I64" s="35">
        <v>46136</v>
      </c>
      <c r="J64" s="34">
        <f t="shared" ref="J64:J65" ca="1" si="153">+TODAY()-I64</f>
        <v>48</v>
      </c>
      <c r="K64" s="34">
        <f t="shared" ref="K64:K65" si="154">+U64</f>
        <v>46162</v>
      </c>
      <c r="L64" s="34" t="s">
        <v>740</v>
      </c>
      <c r="M64" s="34">
        <v>39000</v>
      </c>
      <c r="N64" s="34">
        <v>34000</v>
      </c>
      <c r="O64" s="35">
        <v>46137</v>
      </c>
      <c r="P64" s="34">
        <f t="shared" ref="P64:P65" si="155">+M64-N64</f>
        <v>5000</v>
      </c>
      <c r="Q64" s="17" t="s">
        <v>33</v>
      </c>
      <c r="R64" s="34" t="s">
        <v>61</v>
      </c>
      <c r="S64" s="34">
        <v>46000</v>
      </c>
      <c r="T64" s="34" t="s">
        <v>2177</v>
      </c>
      <c r="U64" s="35">
        <v>46162</v>
      </c>
      <c r="V64" s="34" t="s">
        <v>28</v>
      </c>
      <c r="W64" s="34">
        <f t="shared" ref="W64:W65" si="156">+S64-M64</f>
        <v>7000</v>
      </c>
      <c r="X64" s="34" t="s">
        <v>36</v>
      </c>
      <c r="Y64" s="34" t="s">
        <v>29</v>
      </c>
      <c r="Z64" s="36">
        <f t="shared" ref="Z64:Z65" si="157">+W64*100/M64</f>
        <v>17.948717948717949</v>
      </c>
      <c r="AA64" s="34"/>
    </row>
    <row r="65" spans="1:27" ht="15.75" customHeight="1">
      <c r="A65" s="34">
        <f>SUBTOTAL(3,C$2:C65)</f>
        <v>64</v>
      </c>
      <c r="B65" s="34" t="s">
        <v>30</v>
      </c>
      <c r="C65" s="37" t="s">
        <v>44</v>
      </c>
      <c r="D65" s="34" t="s">
        <v>32</v>
      </c>
      <c r="E65" s="34" t="s">
        <v>33</v>
      </c>
      <c r="F65" s="34" t="s">
        <v>645</v>
      </c>
      <c r="G65" s="34" t="s">
        <v>314</v>
      </c>
      <c r="H65" s="39" t="s">
        <v>879</v>
      </c>
      <c r="I65" s="35">
        <v>46136</v>
      </c>
      <c r="J65" s="34">
        <f t="shared" ca="1" si="153"/>
        <v>48</v>
      </c>
      <c r="K65" s="34">
        <f t="shared" si="154"/>
        <v>46148</v>
      </c>
      <c r="L65" s="34" t="s">
        <v>705</v>
      </c>
      <c r="M65" s="34">
        <v>27500</v>
      </c>
      <c r="N65" s="34">
        <v>24500</v>
      </c>
      <c r="O65" s="35">
        <v>46139</v>
      </c>
      <c r="P65" s="34">
        <f t="shared" si="155"/>
        <v>3000</v>
      </c>
      <c r="Q65" s="17" t="s">
        <v>33</v>
      </c>
      <c r="R65" s="34" t="s">
        <v>61</v>
      </c>
      <c r="S65" s="34">
        <v>32000</v>
      </c>
      <c r="T65" s="34" t="s">
        <v>1331</v>
      </c>
      <c r="U65" s="35">
        <v>46148</v>
      </c>
      <c r="V65" s="34" t="s">
        <v>28</v>
      </c>
      <c r="W65" s="34">
        <f t="shared" si="156"/>
        <v>4500</v>
      </c>
      <c r="X65" s="34" t="s">
        <v>36</v>
      </c>
      <c r="Y65" s="34" t="s">
        <v>29</v>
      </c>
      <c r="Z65" s="36">
        <f t="shared" si="157"/>
        <v>16.363636363636363</v>
      </c>
      <c r="AA65" s="34"/>
    </row>
    <row r="66" spans="1:27" ht="15.75" customHeight="1">
      <c r="A66" s="34">
        <f>SUBTOTAL(3,C$2:C66)</f>
        <v>65</v>
      </c>
      <c r="B66" s="34" t="s">
        <v>30</v>
      </c>
      <c r="C66" s="37" t="s">
        <v>80</v>
      </c>
      <c r="D66" s="34" t="s">
        <v>32</v>
      </c>
      <c r="E66" s="34" t="s">
        <v>33</v>
      </c>
      <c r="F66" s="34" t="s">
        <v>845</v>
      </c>
      <c r="G66" s="34" t="s">
        <v>59</v>
      </c>
      <c r="H66" s="39" t="s">
        <v>880</v>
      </c>
      <c r="I66" s="35">
        <v>46137</v>
      </c>
      <c r="J66" s="34">
        <f t="shared" ref="J66:J67" ca="1" si="158">+TODAY()-I66</f>
        <v>47</v>
      </c>
      <c r="K66" s="34">
        <f t="shared" ref="K66:K67" si="159">+U66</f>
        <v>46162</v>
      </c>
      <c r="L66" s="34" t="s">
        <v>740</v>
      </c>
      <c r="M66" s="34">
        <v>39000</v>
      </c>
      <c r="N66" s="34">
        <v>34000</v>
      </c>
      <c r="O66" s="35">
        <v>46139</v>
      </c>
      <c r="P66" s="34">
        <f t="shared" ref="P66:P67" si="160">+M66-N66</f>
        <v>5000</v>
      </c>
      <c r="Q66" s="17" t="s">
        <v>33</v>
      </c>
      <c r="R66" s="34" t="s">
        <v>61</v>
      </c>
      <c r="S66" s="34">
        <v>46000</v>
      </c>
      <c r="T66" s="34" t="s">
        <v>2177</v>
      </c>
      <c r="U66" s="35">
        <v>46162</v>
      </c>
      <c r="V66" s="34" t="s">
        <v>28</v>
      </c>
      <c r="W66" s="34">
        <f t="shared" ref="W66:W67" si="161">+S66-M66</f>
        <v>7000</v>
      </c>
      <c r="X66" s="34" t="s">
        <v>36</v>
      </c>
      <c r="Y66" s="34" t="s">
        <v>29</v>
      </c>
      <c r="Z66" s="36">
        <f t="shared" ref="Z66:Z67" si="162">+W66*100/M66</f>
        <v>17.948717948717949</v>
      </c>
      <c r="AA66" s="34"/>
    </row>
    <row r="67" spans="1:27" ht="15.75" customHeight="1">
      <c r="A67" s="34">
        <f>SUBTOTAL(3,C$2:C67)</f>
        <v>66</v>
      </c>
      <c r="B67" s="34" t="s">
        <v>30</v>
      </c>
      <c r="C67" s="37" t="s">
        <v>31</v>
      </c>
      <c r="D67" s="34" t="s">
        <v>32</v>
      </c>
      <c r="E67" s="34" t="s">
        <v>33</v>
      </c>
      <c r="F67" s="34" t="s">
        <v>465</v>
      </c>
      <c r="G67" s="34" t="s">
        <v>34</v>
      </c>
      <c r="H67" s="39" t="s">
        <v>881</v>
      </c>
      <c r="I67" s="35">
        <v>46137</v>
      </c>
      <c r="J67" s="34">
        <f t="shared" ca="1" si="158"/>
        <v>47</v>
      </c>
      <c r="K67" s="34">
        <f t="shared" si="159"/>
        <v>46162</v>
      </c>
      <c r="L67" s="34" t="s">
        <v>740</v>
      </c>
      <c r="M67" s="34">
        <v>19000</v>
      </c>
      <c r="N67" s="34">
        <v>17000</v>
      </c>
      <c r="O67" s="35">
        <v>46139</v>
      </c>
      <c r="P67" s="34">
        <f t="shared" si="160"/>
        <v>2000</v>
      </c>
      <c r="Q67" s="17" t="s">
        <v>33</v>
      </c>
      <c r="R67" s="34" t="s">
        <v>61</v>
      </c>
      <c r="S67" s="34">
        <v>22000</v>
      </c>
      <c r="T67" s="34" t="s">
        <v>2166</v>
      </c>
      <c r="U67" s="35">
        <v>46162</v>
      </c>
      <c r="V67" s="34" t="s">
        <v>28</v>
      </c>
      <c r="W67" s="34">
        <f t="shared" si="161"/>
        <v>3000</v>
      </c>
      <c r="X67" s="34" t="s">
        <v>36</v>
      </c>
      <c r="Y67" s="34" t="s">
        <v>29</v>
      </c>
      <c r="Z67" s="36">
        <f t="shared" si="162"/>
        <v>15.789473684210526</v>
      </c>
      <c r="AA67" s="34"/>
    </row>
    <row r="68" spans="1:27" ht="15.75" customHeight="1">
      <c r="A68" s="34">
        <f>SUBTOTAL(3,C$2:C68)</f>
        <v>67</v>
      </c>
      <c r="B68" s="34" t="s">
        <v>30</v>
      </c>
      <c r="C68" s="37" t="s">
        <v>31</v>
      </c>
      <c r="D68" s="34" t="s">
        <v>32</v>
      </c>
      <c r="E68" s="34" t="s">
        <v>33</v>
      </c>
      <c r="F68" s="34" t="s">
        <v>194</v>
      </c>
      <c r="G68" s="34" t="s">
        <v>34</v>
      </c>
      <c r="H68" s="39" t="s">
        <v>882</v>
      </c>
      <c r="I68" s="35">
        <v>46137</v>
      </c>
      <c r="J68" s="34">
        <f t="shared" ref="J68" ca="1" si="163">+TODAY()-I68</f>
        <v>47</v>
      </c>
      <c r="K68" s="34">
        <f t="shared" ref="K68" si="164">+U68</f>
        <v>46162</v>
      </c>
      <c r="L68" s="34" t="s">
        <v>740</v>
      </c>
      <c r="M68" s="34">
        <v>19000</v>
      </c>
      <c r="N68" s="34">
        <v>17000</v>
      </c>
      <c r="O68" s="35">
        <v>46139</v>
      </c>
      <c r="P68" s="34">
        <f t="shared" ref="P68" si="165">+M68-N68</f>
        <v>2000</v>
      </c>
      <c r="Q68" s="17" t="s">
        <v>33</v>
      </c>
      <c r="R68" s="34" t="s">
        <v>61</v>
      </c>
      <c r="S68" s="34">
        <v>22000</v>
      </c>
      <c r="T68" s="34" t="s">
        <v>2168</v>
      </c>
      <c r="U68" s="35">
        <v>46162</v>
      </c>
      <c r="V68" s="34" t="s">
        <v>28</v>
      </c>
      <c r="W68" s="34">
        <f t="shared" ref="W68" si="166">+S68-M68</f>
        <v>3000</v>
      </c>
      <c r="X68" s="34" t="s">
        <v>36</v>
      </c>
      <c r="Y68" s="34" t="s">
        <v>29</v>
      </c>
      <c r="Z68" s="36">
        <f t="shared" ref="Z68" si="167">+W68*100/M68</f>
        <v>15.789473684210526</v>
      </c>
      <c r="AA68" s="34"/>
    </row>
    <row r="69" spans="1:27" ht="15.75" customHeight="1">
      <c r="A69" s="34">
        <f>SUBTOTAL(3,C$2:C69)</f>
        <v>68</v>
      </c>
      <c r="B69" s="34" t="s">
        <v>30</v>
      </c>
      <c r="C69" s="37" t="s">
        <v>31</v>
      </c>
      <c r="D69" s="34" t="s">
        <v>32</v>
      </c>
      <c r="E69" s="34" t="s">
        <v>33</v>
      </c>
      <c r="F69" s="34" t="s">
        <v>500</v>
      </c>
      <c r="G69" s="34" t="s">
        <v>34</v>
      </c>
      <c r="H69" s="39" t="s">
        <v>902</v>
      </c>
      <c r="I69" s="35">
        <v>46139</v>
      </c>
      <c r="J69" s="34">
        <f t="shared" ref="J69" ca="1" si="168">+TODAY()-I69</f>
        <v>45</v>
      </c>
      <c r="K69" s="34">
        <f t="shared" ref="K69" si="169">+U69</f>
        <v>46162</v>
      </c>
      <c r="L69" s="34" t="s">
        <v>397</v>
      </c>
      <c r="M69" s="34">
        <v>19000</v>
      </c>
      <c r="N69" s="34">
        <v>17000</v>
      </c>
      <c r="O69" s="35">
        <v>46140</v>
      </c>
      <c r="P69" s="34">
        <f t="shared" ref="P69" si="170">+M69-N69</f>
        <v>2000</v>
      </c>
      <c r="Q69" s="17" t="s">
        <v>33</v>
      </c>
      <c r="R69" s="34" t="s">
        <v>61</v>
      </c>
      <c r="S69" s="34">
        <v>22000</v>
      </c>
      <c r="T69" s="34" t="s">
        <v>2169</v>
      </c>
      <c r="U69" s="35">
        <v>46162</v>
      </c>
      <c r="V69" s="34" t="s">
        <v>28</v>
      </c>
      <c r="W69" s="34">
        <f t="shared" ref="W69" si="171">+S69-M69</f>
        <v>3000</v>
      </c>
      <c r="X69" s="34" t="s">
        <v>36</v>
      </c>
      <c r="Y69" s="34" t="s">
        <v>29</v>
      </c>
      <c r="Z69" s="36">
        <f t="shared" ref="Z69" si="172">+W69*100/M69</f>
        <v>15.789473684210526</v>
      </c>
      <c r="AA69" s="34"/>
    </row>
    <row r="70" spans="1:27" ht="15.75" customHeight="1">
      <c r="A70" s="34">
        <f>SUBTOTAL(3,C$2:C70)</f>
        <v>69</v>
      </c>
      <c r="B70" s="34" t="s">
        <v>30</v>
      </c>
      <c r="C70" s="37" t="s">
        <v>31</v>
      </c>
      <c r="D70" s="34" t="s">
        <v>32</v>
      </c>
      <c r="E70" s="34" t="s">
        <v>33</v>
      </c>
      <c r="F70" s="34" t="s">
        <v>888</v>
      </c>
      <c r="G70" s="34" t="s">
        <v>34</v>
      </c>
      <c r="H70" s="39" t="s">
        <v>903</v>
      </c>
      <c r="I70" s="35">
        <v>46139</v>
      </c>
      <c r="J70" s="34">
        <f t="shared" ref="J70:J73" ca="1" si="173">+TODAY()-I70</f>
        <v>45</v>
      </c>
      <c r="K70" s="34">
        <f t="shared" ref="K70:K73" si="174">+U70</f>
        <v>46162</v>
      </c>
      <c r="L70" s="34" t="s">
        <v>397</v>
      </c>
      <c r="M70" s="34">
        <v>19000</v>
      </c>
      <c r="N70" s="34">
        <v>17000</v>
      </c>
      <c r="O70" s="35">
        <v>46140</v>
      </c>
      <c r="P70" s="34">
        <f t="shared" ref="P70:P73" si="175">+M70-N70</f>
        <v>2000</v>
      </c>
      <c r="Q70" s="17" t="s">
        <v>33</v>
      </c>
      <c r="R70" s="34" t="s">
        <v>61</v>
      </c>
      <c r="S70" s="34">
        <v>22000</v>
      </c>
      <c r="T70" s="34" t="s">
        <v>2169</v>
      </c>
      <c r="U70" s="35">
        <v>46162</v>
      </c>
      <c r="V70" s="34" t="s">
        <v>28</v>
      </c>
      <c r="W70" s="34">
        <f t="shared" ref="W70:W73" si="176">+S70-M70</f>
        <v>3000</v>
      </c>
      <c r="X70" s="34" t="s">
        <v>36</v>
      </c>
      <c r="Y70" s="34" t="s">
        <v>29</v>
      </c>
      <c r="Z70" s="36">
        <f t="shared" ref="Z70:Z73" si="177">+W70*100/M70</f>
        <v>15.789473684210526</v>
      </c>
      <c r="AA70" s="34"/>
    </row>
    <row r="71" spans="1:27" ht="15.75" customHeight="1">
      <c r="A71" s="34">
        <f>SUBTOTAL(3,C$2:C71)</f>
        <v>70</v>
      </c>
      <c r="B71" s="34" t="s">
        <v>30</v>
      </c>
      <c r="C71" s="37" t="s">
        <v>44</v>
      </c>
      <c r="D71" s="34" t="s">
        <v>32</v>
      </c>
      <c r="E71" s="34" t="s">
        <v>33</v>
      </c>
      <c r="F71" s="34" t="s">
        <v>645</v>
      </c>
      <c r="G71" s="34" t="s">
        <v>59</v>
      </c>
      <c r="H71" s="39" t="s">
        <v>904</v>
      </c>
      <c r="I71" s="35">
        <v>46139</v>
      </c>
      <c r="J71" s="34">
        <f t="shared" ca="1" si="173"/>
        <v>45</v>
      </c>
      <c r="K71" s="34">
        <f t="shared" si="174"/>
        <v>46171</v>
      </c>
      <c r="L71" s="34" t="s">
        <v>889</v>
      </c>
      <c r="M71" s="34">
        <v>39000</v>
      </c>
      <c r="N71" s="34">
        <v>34000</v>
      </c>
      <c r="O71" s="35">
        <v>46140</v>
      </c>
      <c r="P71" s="34">
        <f t="shared" si="175"/>
        <v>5000</v>
      </c>
      <c r="Q71" s="17" t="s">
        <v>33</v>
      </c>
      <c r="R71" s="34" t="s">
        <v>61</v>
      </c>
      <c r="S71" s="34">
        <v>46000</v>
      </c>
      <c r="T71" s="34" t="str">
        <f>VLOOKUP(H71,'[1]MIS Sanjeev Auto'!$H$1:$T$168,13,0)</f>
        <v>VL/MH/26-27/0268</v>
      </c>
      <c r="U71" s="35">
        <f>VLOOKUP(H71,'[1]MIS Sanjeev Auto'!$H$1:$U$168,14,0)</f>
        <v>46171</v>
      </c>
      <c r="V71" s="34" t="s">
        <v>28</v>
      </c>
      <c r="W71" s="34">
        <f t="shared" si="176"/>
        <v>7000</v>
      </c>
      <c r="X71" s="34" t="s">
        <v>36</v>
      </c>
      <c r="Y71" s="34" t="s">
        <v>29</v>
      </c>
      <c r="Z71" s="36">
        <f t="shared" si="177"/>
        <v>17.948717948717949</v>
      </c>
      <c r="AA71" s="34"/>
    </row>
    <row r="72" spans="1:27" ht="15.75" customHeight="1">
      <c r="A72" s="34">
        <f>SUBTOTAL(3,C$2:C72)</f>
        <v>71</v>
      </c>
      <c r="B72" s="34" t="s">
        <v>30</v>
      </c>
      <c r="C72" s="37" t="s">
        <v>44</v>
      </c>
      <c r="D72" s="34" t="s">
        <v>32</v>
      </c>
      <c r="E72" s="34" t="s">
        <v>33</v>
      </c>
      <c r="F72" s="34" t="s">
        <v>457</v>
      </c>
      <c r="G72" s="34" t="s">
        <v>59</v>
      </c>
      <c r="H72" s="39" t="s">
        <v>943</v>
      </c>
      <c r="I72" s="35">
        <v>46140</v>
      </c>
      <c r="J72" s="34">
        <f t="shared" ca="1" si="173"/>
        <v>44</v>
      </c>
      <c r="K72" s="34">
        <f t="shared" si="174"/>
        <v>46148</v>
      </c>
      <c r="L72" s="34" t="s">
        <v>705</v>
      </c>
      <c r="M72" s="34">
        <v>27500</v>
      </c>
      <c r="N72" s="34">
        <v>24500</v>
      </c>
      <c r="O72" s="35">
        <v>46141</v>
      </c>
      <c r="P72" s="34">
        <f t="shared" si="175"/>
        <v>3000</v>
      </c>
      <c r="Q72" s="17" t="s">
        <v>33</v>
      </c>
      <c r="R72" s="34" t="s">
        <v>61</v>
      </c>
      <c r="S72" s="34">
        <v>32000</v>
      </c>
      <c r="T72" s="34" t="s">
        <v>1332</v>
      </c>
      <c r="U72" s="35">
        <v>46148</v>
      </c>
      <c r="V72" s="34" t="s">
        <v>28</v>
      </c>
      <c r="W72" s="34">
        <f t="shared" si="176"/>
        <v>4500</v>
      </c>
      <c r="X72" s="34" t="s">
        <v>36</v>
      </c>
      <c r="Y72" s="34" t="s">
        <v>29</v>
      </c>
      <c r="Z72" s="36">
        <f t="shared" si="177"/>
        <v>16.363636363636363</v>
      </c>
      <c r="AA72" s="34"/>
    </row>
    <row r="73" spans="1:27" ht="15.75" customHeight="1">
      <c r="A73" s="34">
        <f>SUBTOTAL(3,C$2:C73)</f>
        <v>72</v>
      </c>
      <c r="B73" s="34" t="s">
        <v>30</v>
      </c>
      <c r="C73" s="37" t="s">
        <v>31</v>
      </c>
      <c r="D73" s="34" t="s">
        <v>32</v>
      </c>
      <c r="E73" s="34" t="s">
        <v>33</v>
      </c>
      <c r="F73" s="34" t="s">
        <v>159</v>
      </c>
      <c r="G73" s="34" t="s">
        <v>34</v>
      </c>
      <c r="H73" s="39" t="s">
        <v>944</v>
      </c>
      <c r="I73" s="35">
        <v>46140</v>
      </c>
      <c r="J73" s="34">
        <f t="shared" ca="1" si="173"/>
        <v>44</v>
      </c>
      <c r="K73" s="34">
        <f t="shared" si="174"/>
        <v>46162</v>
      </c>
      <c r="L73" s="34" t="s">
        <v>397</v>
      </c>
      <c r="M73" s="34">
        <v>19000</v>
      </c>
      <c r="N73" s="34">
        <v>17000</v>
      </c>
      <c r="O73" s="35">
        <v>46141</v>
      </c>
      <c r="P73" s="34">
        <f t="shared" si="175"/>
        <v>2000</v>
      </c>
      <c r="Q73" s="17" t="s">
        <v>33</v>
      </c>
      <c r="R73" s="34" t="s">
        <v>61</v>
      </c>
      <c r="S73" s="34">
        <v>22000</v>
      </c>
      <c r="T73" s="34" t="s">
        <v>2169</v>
      </c>
      <c r="U73" s="35">
        <v>46162</v>
      </c>
      <c r="V73" s="34" t="s">
        <v>28</v>
      </c>
      <c r="W73" s="34">
        <f t="shared" si="176"/>
        <v>3000</v>
      </c>
      <c r="X73" s="34" t="s">
        <v>36</v>
      </c>
      <c r="Y73" s="34" t="s">
        <v>29</v>
      </c>
      <c r="Z73" s="36">
        <f t="shared" si="177"/>
        <v>15.789473684210526</v>
      </c>
      <c r="AA73" s="34"/>
    </row>
    <row r="74" spans="1:27" ht="15.75" customHeight="1">
      <c r="A74" s="34">
        <f>SUBTOTAL(3,C$2:C74)</f>
        <v>73</v>
      </c>
      <c r="B74" s="34" t="s">
        <v>30</v>
      </c>
      <c r="C74" s="37" t="s">
        <v>31</v>
      </c>
      <c r="D74" s="34" t="s">
        <v>32</v>
      </c>
      <c r="E74" s="34" t="s">
        <v>33</v>
      </c>
      <c r="F74" s="34" t="s">
        <v>346</v>
      </c>
      <c r="G74" s="34" t="s">
        <v>34</v>
      </c>
      <c r="H74" s="39" t="s">
        <v>945</v>
      </c>
      <c r="I74" s="35">
        <v>46140</v>
      </c>
      <c r="J74" s="34">
        <f t="shared" ref="J74:J75" ca="1" si="178">+TODAY()-I74</f>
        <v>44</v>
      </c>
      <c r="K74" s="34">
        <f t="shared" ref="K74:K75" si="179">+U74</f>
        <v>46162</v>
      </c>
      <c r="L74" s="34" t="s">
        <v>397</v>
      </c>
      <c r="M74" s="34">
        <v>19000</v>
      </c>
      <c r="N74" s="34">
        <v>17000</v>
      </c>
      <c r="O74" s="35">
        <v>46141</v>
      </c>
      <c r="P74" s="34">
        <f t="shared" ref="P74:P75" si="180">+M74-N74</f>
        <v>2000</v>
      </c>
      <c r="Q74" s="17" t="s">
        <v>33</v>
      </c>
      <c r="R74" s="34" t="s">
        <v>61</v>
      </c>
      <c r="S74" s="34">
        <v>22000</v>
      </c>
      <c r="T74" s="34" t="s">
        <v>2170</v>
      </c>
      <c r="U74" s="35">
        <v>46162</v>
      </c>
      <c r="V74" s="34" t="s">
        <v>28</v>
      </c>
      <c r="W74" s="34">
        <f t="shared" ref="W74:W75" si="181">+S74-M74</f>
        <v>3000</v>
      </c>
      <c r="X74" s="34" t="s">
        <v>36</v>
      </c>
      <c r="Y74" s="34" t="s">
        <v>29</v>
      </c>
      <c r="Z74" s="36">
        <f t="shared" ref="Z74:Z75" si="182">+W74*100/M74</f>
        <v>15.789473684210526</v>
      </c>
      <c r="AA74" s="34"/>
    </row>
    <row r="75" spans="1:27" ht="15.75" customHeight="1">
      <c r="A75" s="34">
        <f>SUBTOTAL(3,C$2:C75)</f>
        <v>74</v>
      </c>
      <c r="B75" s="34" t="s">
        <v>30</v>
      </c>
      <c r="C75" s="37" t="s">
        <v>80</v>
      </c>
      <c r="D75" s="34" t="s">
        <v>32</v>
      </c>
      <c r="E75" s="34" t="s">
        <v>33</v>
      </c>
      <c r="F75" s="34" t="s">
        <v>946</v>
      </c>
      <c r="G75" s="34" t="s">
        <v>59</v>
      </c>
      <c r="H75" s="39" t="s">
        <v>947</v>
      </c>
      <c r="I75" s="35">
        <v>46141</v>
      </c>
      <c r="J75" s="34">
        <f t="shared" ca="1" si="178"/>
        <v>43</v>
      </c>
      <c r="K75" s="34">
        <f t="shared" si="179"/>
        <v>46162</v>
      </c>
      <c r="L75" s="34" t="s">
        <v>740</v>
      </c>
      <c r="M75" s="34">
        <v>39000</v>
      </c>
      <c r="N75" s="34">
        <v>34000</v>
      </c>
      <c r="O75" s="35">
        <v>46141</v>
      </c>
      <c r="P75" s="34">
        <f t="shared" si="180"/>
        <v>5000</v>
      </c>
      <c r="Q75" s="17" t="s">
        <v>33</v>
      </c>
      <c r="R75" s="34" t="s">
        <v>61</v>
      </c>
      <c r="S75" s="34">
        <v>46000</v>
      </c>
      <c r="T75" s="34" t="s">
        <v>2178</v>
      </c>
      <c r="U75" s="35">
        <v>46162</v>
      </c>
      <c r="V75" s="34" t="s">
        <v>28</v>
      </c>
      <c r="W75" s="34">
        <f t="shared" si="181"/>
        <v>7000</v>
      </c>
      <c r="X75" s="34" t="s">
        <v>36</v>
      </c>
      <c r="Y75" s="34" t="s">
        <v>29</v>
      </c>
      <c r="Z75" s="36">
        <f t="shared" si="182"/>
        <v>17.948717948717949</v>
      </c>
      <c r="AA75" s="34"/>
    </row>
    <row r="76" spans="1:27" ht="15.75" customHeight="1">
      <c r="A76" s="34">
        <f>SUBTOTAL(3,C$2:C76)</f>
        <v>75</v>
      </c>
      <c r="B76" s="34" t="s">
        <v>30</v>
      </c>
      <c r="C76" s="37" t="s">
        <v>31</v>
      </c>
      <c r="D76" s="34" t="s">
        <v>32</v>
      </c>
      <c r="E76" s="34" t="s">
        <v>33</v>
      </c>
      <c r="F76" s="34" t="s">
        <v>92</v>
      </c>
      <c r="G76" s="34" t="s">
        <v>34</v>
      </c>
      <c r="H76" s="39" t="s">
        <v>975</v>
      </c>
      <c r="I76" s="35">
        <v>46141</v>
      </c>
      <c r="J76" s="34">
        <f t="shared" ref="J76" ca="1" si="183">+TODAY()-I76</f>
        <v>43</v>
      </c>
      <c r="K76" s="34">
        <f t="shared" ref="K76" si="184">+U76</f>
        <v>46162</v>
      </c>
      <c r="L76" s="34" t="s">
        <v>397</v>
      </c>
      <c r="M76" s="34">
        <v>19000</v>
      </c>
      <c r="N76" s="34">
        <v>17000</v>
      </c>
      <c r="O76" s="35">
        <v>46142</v>
      </c>
      <c r="P76" s="34">
        <f t="shared" ref="P76" si="185">+M76-N76</f>
        <v>2000</v>
      </c>
      <c r="Q76" s="17" t="s">
        <v>33</v>
      </c>
      <c r="R76" s="34" t="s">
        <v>61</v>
      </c>
      <c r="S76" s="34">
        <v>22000</v>
      </c>
      <c r="T76" s="34" t="s">
        <v>2170</v>
      </c>
      <c r="U76" s="35">
        <v>46162</v>
      </c>
      <c r="V76" s="34" t="s">
        <v>28</v>
      </c>
      <c r="W76" s="34">
        <f t="shared" ref="W76" si="186">+S76-M76</f>
        <v>3000</v>
      </c>
      <c r="X76" s="34" t="s">
        <v>36</v>
      </c>
      <c r="Y76" s="34" t="s">
        <v>29</v>
      </c>
      <c r="Z76" s="36">
        <f t="shared" ref="Z76" si="187">+W76*100/M76</f>
        <v>15.789473684210526</v>
      </c>
      <c r="AA76" s="34"/>
    </row>
    <row r="77" spans="1:27" ht="15.75" customHeight="1">
      <c r="A77" s="34">
        <f>SUBTOTAL(3,C$2:C77)</f>
        <v>76</v>
      </c>
      <c r="B77" s="34" t="s">
        <v>30</v>
      </c>
      <c r="C77" s="37" t="s">
        <v>31</v>
      </c>
      <c r="D77" s="34" t="s">
        <v>32</v>
      </c>
      <c r="E77" s="34" t="s">
        <v>33</v>
      </c>
      <c r="F77" s="34" t="s">
        <v>976</v>
      </c>
      <c r="G77" s="34" t="s">
        <v>34</v>
      </c>
      <c r="H77" s="39" t="s">
        <v>977</v>
      </c>
      <c r="I77" s="35">
        <v>46141</v>
      </c>
      <c r="J77" s="34">
        <f t="shared" ref="J77:J79" ca="1" si="188">+TODAY()-I77</f>
        <v>43</v>
      </c>
      <c r="K77" s="34">
        <f t="shared" ref="K77:K79" si="189">+U77</f>
        <v>46162</v>
      </c>
      <c r="L77" s="34" t="s">
        <v>397</v>
      </c>
      <c r="M77" s="34">
        <v>19000</v>
      </c>
      <c r="N77" s="34">
        <v>17000</v>
      </c>
      <c r="O77" s="35">
        <v>46142</v>
      </c>
      <c r="P77" s="34">
        <f t="shared" ref="P77:P79" si="190">+M77-N77</f>
        <v>2000</v>
      </c>
      <c r="Q77" s="17" t="s">
        <v>33</v>
      </c>
      <c r="R77" s="34" t="s">
        <v>61</v>
      </c>
      <c r="S77" s="34">
        <v>22000</v>
      </c>
      <c r="T77" s="34" t="s">
        <v>2170</v>
      </c>
      <c r="U77" s="35">
        <v>46162</v>
      </c>
      <c r="V77" s="34" t="s">
        <v>28</v>
      </c>
      <c r="W77" s="34">
        <f t="shared" ref="W77:W79" si="191">+S77-M77</f>
        <v>3000</v>
      </c>
      <c r="X77" s="34" t="s">
        <v>36</v>
      </c>
      <c r="Y77" s="34" t="s">
        <v>29</v>
      </c>
      <c r="Z77" s="36">
        <f t="shared" ref="Z77:Z79" si="192">+W77*100/M77</f>
        <v>15.789473684210526</v>
      </c>
      <c r="AA77" s="34"/>
    </row>
    <row r="78" spans="1:27" ht="15.75" customHeight="1">
      <c r="A78" s="34">
        <f>SUBTOTAL(3,C$2:C78)</f>
        <v>77</v>
      </c>
      <c r="B78" s="34" t="s">
        <v>30</v>
      </c>
      <c r="C78" s="37" t="s">
        <v>119</v>
      </c>
      <c r="D78" s="34" t="s">
        <v>32</v>
      </c>
      <c r="E78" s="34" t="s">
        <v>33</v>
      </c>
      <c r="F78" s="34" t="s">
        <v>120</v>
      </c>
      <c r="G78" s="34" t="s">
        <v>59</v>
      </c>
      <c r="H78" s="39" t="s">
        <v>980</v>
      </c>
      <c r="I78" s="35">
        <v>46142</v>
      </c>
      <c r="J78" s="34">
        <f t="shared" ca="1" si="188"/>
        <v>42</v>
      </c>
      <c r="K78" s="34" t="str">
        <f t="shared" si="189"/>
        <v>Pending</v>
      </c>
      <c r="L78" s="34" t="s">
        <v>60</v>
      </c>
      <c r="M78" s="34">
        <v>39000</v>
      </c>
      <c r="N78" s="34">
        <v>34000</v>
      </c>
      <c r="O78" s="35">
        <v>46142</v>
      </c>
      <c r="P78" s="34">
        <f t="shared" si="190"/>
        <v>5000</v>
      </c>
      <c r="Q78" s="17" t="s">
        <v>33</v>
      </c>
      <c r="R78" s="34" t="s">
        <v>61</v>
      </c>
      <c r="S78" s="34">
        <v>46000</v>
      </c>
      <c r="T78" s="34" t="str">
        <f>VLOOKUP(H78,'[1]MIS Sanjeev Auto'!$H$1:$T$168,13,0)</f>
        <v>Pending</v>
      </c>
      <c r="U78" s="35" t="str">
        <f>VLOOKUP(H78,'[1]MIS Sanjeev Auto'!$H$1:$U$168,14,0)</f>
        <v>Pending</v>
      </c>
      <c r="V78" s="34" t="s">
        <v>28</v>
      </c>
      <c r="W78" s="34">
        <f t="shared" si="191"/>
        <v>7000</v>
      </c>
      <c r="X78" s="34" t="s">
        <v>36</v>
      </c>
      <c r="Y78" s="34" t="s">
        <v>29</v>
      </c>
      <c r="Z78" s="36">
        <f t="shared" si="192"/>
        <v>17.948717948717949</v>
      </c>
      <c r="AA78" s="34"/>
    </row>
    <row r="79" spans="1:27" ht="15.75" customHeight="1">
      <c r="A79" s="34">
        <f>SUBTOTAL(3,C$2:C79)</f>
        <v>78</v>
      </c>
      <c r="B79" s="34" t="s">
        <v>30</v>
      </c>
      <c r="C79" s="37" t="s">
        <v>44</v>
      </c>
      <c r="D79" s="34" t="s">
        <v>32</v>
      </c>
      <c r="E79" s="34" t="s">
        <v>33</v>
      </c>
      <c r="F79" s="34" t="s">
        <v>429</v>
      </c>
      <c r="G79" s="34" t="s">
        <v>59</v>
      </c>
      <c r="H79" s="39" t="s">
        <v>981</v>
      </c>
      <c r="I79" s="35">
        <v>46142</v>
      </c>
      <c r="J79" s="34">
        <f t="shared" ca="1" si="188"/>
        <v>42</v>
      </c>
      <c r="K79" s="34">
        <f t="shared" si="189"/>
        <v>46148</v>
      </c>
      <c r="L79" s="34" t="s">
        <v>705</v>
      </c>
      <c r="M79" s="34">
        <v>27500</v>
      </c>
      <c r="N79" s="34">
        <v>24500</v>
      </c>
      <c r="O79" s="35">
        <v>46142</v>
      </c>
      <c r="P79" s="34">
        <f t="shared" si="190"/>
        <v>3000</v>
      </c>
      <c r="Q79" s="17" t="s">
        <v>33</v>
      </c>
      <c r="R79" s="34" t="s">
        <v>61</v>
      </c>
      <c r="S79" s="34">
        <v>32000</v>
      </c>
      <c r="T79" s="34" t="s">
        <v>1332</v>
      </c>
      <c r="U79" s="35">
        <v>46148</v>
      </c>
      <c r="V79" s="34" t="s">
        <v>28</v>
      </c>
      <c r="W79" s="34">
        <f t="shared" si="191"/>
        <v>4500</v>
      </c>
      <c r="X79" s="34" t="s">
        <v>36</v>
      </c>
      <c r="Y79" s="34" t="s">
        <v>29</v>
      </c>
      <c r="Z79" s="36">
        <f t="shared" si="192"/>
        <v>16.363636363636363</v>
      </c>
      <c r="AA79" s="34"/>
    </row>
    <row r="80" spans="1:27" ht="15.75" customHeight="1">
      <c r="A80" s="34">
        <f>SUBTOTAL(3,C$2:C80)</f>
        <v>79</v>
      </c>
      <c r="B80" s="34" t="s">
        <v>1086</v>
      </c>
      <c r="C80" s="37" t="s">
        <v>44</v>
      </c>
      <c r="D80" s="34" t="s">
        <v>32</v>
      </c>
      <c r="E80" s="34" t="s">
        <v>33</v>
      </c>
      <c r="F80" s="34" t="s">
        <v>645</v>
      </c>
      <c r="G80" s="34" t="s">
        <v>96</v>
      </c>
      <c r="H80" s="39" t="s">
        <v>1018</v>
      </c>
      <c r="I80" s="35">
        <v>46142</v>
      </c>
      <c r="J80" s="34">
        <f t="shared" ref="J80" ca="1" si="193">+TODAY()-I80</f>
        <v>42</v>
      </c>
      <c r="K80" s="34">
        <f t="shared" ref="K80" si="194">+U80</f>
        <v>46148</v>
      </c>
      <c r="L80" s="34" t="s">
        <v>998</v>
      </c>
      <c r="M80" s="34">
        <v>27500</v>
      </c>
      <c r="N80" s="34">
        <v>24500</v>
      </c>
      <c r="O80" s="35">
        <v>46144</v>
      </c>
      <c r="P80" s="34">
        <f t="shared" ref="P80" si="195">+M80-N80</f>
        <v>3000</v>
      </c>
      <c r="Q80" s="17" t="s">
        <v>33</v>
      </c>
      <c r="R80" s="34" t="s">
        <v>61</v>
      </c>
      <c r="S80" s="34">
        <v>32000</v>
      </c>
      <c r="T80" s="34" t="s">
        <v>1332</v>
      </c>
      <c r="U80" s="35">
        <v>46148</v>
      </c>
      <c r="V80" s="34" t="s">
        <v>28</v>
      </c>
      <c r="W80" s="34">
        <f t="shared" ref="W80" si="196">+S80-M80</f>
        <v>4500</v>
      </c>
      <c r="X80" s="34" t="s">
        <v>36</v>
      </c>
      <c r="Y80" s="34" t="s">
        <v>29</v>
      </c>
      <c r="Z80" s="36">
        <f t="shared" ref="Z80" si="197">+W80*100/M80</f>
        <v>16.363636363636363</v>
      </c>
      <c r="AA80" s="34"/>
    </row>
    <row r="81" spans="1:27" ht="15.75" customHeight="1">
      <c r="A81" s="34">
        <f>SUBTOTAL(3,C$2:C81)</f>
        <v>80</v>
      </c>
      <c r="B81" s="34" t="s">
        <v>1086</v>
      </c>
      <c r="C81" s="37" t="s">
        <v>80</v>
      </c>
      <c r="D81" s="34" t="s">
        <v>32</v>
      </c>
      <c r="E81" s="34" t="s">
        <v>33</v>
      </c>
      <c r="F81" s="34" t="s">
        <v>1000</v>
      </c>
      <c r="G81" s="34" t="s">
        <v>59</v>
      </c>
      <c r="H81" s="39" t="s">
        <v>1019</v>
      </c>
      <c r="I81" s="35">
        <v>46143</v>
      </c>
      <c r="J81" s="34">
        <f t="shared" ref="J81:J85" ca="1" si="198">+TODAY()-I81</f>
        <v>41</v>
      </c>
      <c r="K81" s="34">
        <f t="shared" ref="K81:K85" si="199">+U81</f>
        <v>46162</v>
      </c>
      <c r="L81" s="34" t="s">
        <v>740</v>
      </c>
      <c r="M81" s="34">
        <v>39000</v>
      </c>
      <c r="N81" s="34">
        <v>34000</v>
      </c>
      <c r="O81" s="35">
        <v>46144</v>
      </c>
      <c r="P81" s="34">
        <f t="shared" ref="P81:P85" si="200">+M81-N81</f>
        <v>5000</v>
      </c>
      <c r="Q81" s="17" t="s">
        <v>33</v>
      </c>
      <c r="R81" s="34" t="s">
        <v>61</v>
      </c>
      <c r="S81" s="34">
        <v>46000</v>
      </c>
      <c r="T81" s="34" t="s">
        <v>2179</v>
      </c>
      <c r="U81" s="35">
        <v>46162</v>
      </c>
      <c r="V81" s="34" t="s">
        <v>28</v>
      </c>
      <c r="W81" s="34">
        <f t="shared" ref="W81:W85" si="201">+S81-M81</f>
        <v>7000</v>
      </c>
      <c r="X81" s="34" t="s">
        <v>36</v>
      </c>
      <c r="Y81" s="34" t="s">
        <v>29</v>
      </c>
      <c r="Z81" s="36">
        <f t="shared" ref="Z81:Z85" si="202">+W81*100/M81</f>
        <v>17.948717948717949</v>
      </c>
      <c r="AA81" s="34"/>
    </row>
    <row r="82" spans="1:27" ht="15.75" customHeight="1">
      <c r="A82" s="34">
        <f>SUBTOTAL(3,C$2:C82)</f>
        <v>81</v>
      </c>
      <c r="B82" s="34" t="s">
        <v>1086</v>
      </c>
      <c r="C82" s="37" t="s">
        <v>44</v>
      </c>
      <c r="D82" s="34" t="s">
        <v>32</v>
      </c>
      <c r="E82" s="34" t="s">
        <v>33</v>
      </c>
      <c r="F82" s="34" t="s">
        <v>561</v>
      </c>
      <c r="G82" s="34" t="s">
        <v>59</v>
      </c>
      <c r="H82" s="39" t="s">
        <v>1080</v>
      </c>
      <c r="I82" s="35">
        <v>46144</v>
      </c>
      <c r="J82" s="34">
        <f t="shared" ca="1" si="198"/>
        <v>40</v>
      </c>
      <c r="K82" s="34">
        <f t="shared" si="199"/>
        <v>46171</v>
      </c>
      <c r="L82" s="34" t="s">
        <v>127</v>
      </c>
      <c r="M82" s="34">
        <v>33000</v>
      </c>
      <c r="N82" s="34">
        <v>30000</v>
      </c>
      <c r="O82" s="35">
        <v>46146</v>
      </c>
      <c r="P82" s="34">
        <f t="shared" si="200"/>
        <v>3000</v>
      </c>
      <c r="Q82" s="17" t="s">
        <v>33</v>
      </c>
      <c r="R82" s="34" t="s">
        <v>61</v>
      </c>
      <c r="S82" s="34">
        <v>38000</v>
      </c>
      <c r="T82" s="34" t="str">
        <f>VLOOKUP(H82,'[1]MIS Sanjeev Auto'!$H$1:$T$168,13,0)</f>
        <v>VL/MH/26-27/0271</v>
      </c>
      <c r="U82" s="35">
        <f>VLOOKUP(H82,'[1]MIS Sanjeev Auto'!$H$1:$U$168,14,0)</f>
        <v>46171</v>
      </c>
      <c r="V82" s="34" t="s">
        <v>28</v>
      </c>
      <c r="W82" s="34">
        <f t="shared" si="201"/>
        <v>5000</v>
      </c>
      <c r="X82" s="34" t="s">
        <v>36</v>
      </c>
      <c r="Y82" s="34" t="s">
        <v>29</v>
      </c>
      <c r="Z82" s="36">
        <f t="shared" si="202"/>
        <v>15.151515151515152</v>
      </c>
      <c r="AA82" s="34"/>
    </row>
    <row r="83" spans="1:27" ht="15.75" customHeight="1">
      <c r="A83" s="34">
        <f>SUBTOTAL(3,C$2:C83)</f>
        <v>82</v>
      </c>
      <c r="B83" s="34" t="s">
        <v>1086</v>
      </c>
      <c r="C83" s="37" t="s">
        <v>57</v>
      </c>
      <c r="D83" s="34" t="s">
        <v>32</v>
      </c>
      <c r="E83" s="34" t="s">
        <v>33</v>
      </c>
      <c r="F83" s="34" t="s">
        <v>1041</v>
      </c>
      <c r="G83" s="34" t="s">
        <v>314</v>
      </c>
      <c r="H83" s="39" t="s">
        <v>1081</v>
      </c>
      <c r="I83" s="35">
        <v>46145</v>
      </c>
      <c r="J83" s="34">
        <f t="shared" ca="1" si="198"/>
        <v>39</v>
      </c>
      <c r="K83" s="34">
        <f t="shared" si="199"/>
        <v>46171</v>
      </c>
      <c r="L83" s="34" t="s">
        <v>1042</v>
      </c>
      <c r="M83" s="34">
        <v>39000</v>
      </c>
      <c r="N83" s="34">
        <v>34000</v>
      </c>
      <c r="O83" s="35">
        <v>46146</v>
      </c>
      <c r="P83" s="34">
        <f t="shared" si="200"/>
        <v>5000</v>
      </c>
      <c r="Q83" s="17" t="s">
        <v>33</v>
      </c>
      <c r="R83" s="34" t="s">
        <v>61</v>
      </c>
      <c r="S83" s="34">
        <v>46000</v>
      </c>
      <c r="T83" s="34" t="str">
        <f>VLOOKUP(H83,'[1]MIS Sanjeev Auto'!$H$1:$T$168,13,0)</f>
        <v>VL/MH/26-27/0269</v>
      </c>
      <c r="U83" s="35">
        <f>VLOOKUP(H83,'[1]MIS Sanjeev Auto'!$H$1:$U$168,14,0)</f>
        <v>46171</v>
      </c>
      <c r="V83" s="34" t="s">
        <v>28</v>
      </c>
      <c r="W83" s="34">
        <f t="shared" si="201"/>
        <v>7000</v>
      </c>
      <c r="X83" s="34" t="s">
        <v>36</v>
      </c>
      <c r="Y83" s="34" t="s">
        <v>29</v>
      </c>
      <c r="Z83" s="36">
        <f t="shared" si="202"/>
        <v>17.948717948717949</v>
      </c>
      <c r="AA83" s="34"/>
    </row>
    <row r="84" spans="1:27" ht="15.75" customHeight="1">
      <c r="A84" s="34">
        <f>SUBTOTAL(3,C$2:C84)</f>
        <v>83</v>
      </c>
      <c r="B84" s="34" t="s">
        <v>1086</v>
      </c>
      <c r="C84" s="37" t="s">
        <v>1031</v>
      </c>
      <c r="D84" s="34" t="s">
        <v>32</v>
      </c>
      <c r="E84" s="34" t="s">
        <v>33</v>
      </c>
      <c r="F84" s="34" t="s">
        <v>780</v>
      </c>
      <c r="G84" s="34" t="s">
        <v>34</v>
      </c>
      <c r="H84" s="39" t="s">
        <v>1082</v>
      </c>
      <c r="I84" s="35">
        <v>46145</v>
      </c>
      <c r="J84" s="34">
        <f t="shared" ca="1" si="198"/>
        <v>39</v>
      </c>
      <c r="K84" s="34" t="str">
        <f t="shared" si="199"/>
        <v>Pending</v>
      </c>
      <c r="L84" s="34" t="s">
        <v>1034</v>
      </c>
      <c r="M84" s="34">
        <v>19000</v>
      </c>
      <c r="N84" s="34">
        <v>17000</v>
      </c>
      <c r="O84" s="35">
        <v>46146</v>
      </c>
      <c r="P84" s="34">
        <f t="shared" si="200"/>
        <v>2000</v>
      </c>
      <c r="Q84" s="17" t="s">
        <v>33</v>
      </c>
      <c r="R84" s="34" t="s">
        <v>61</v>
      </c>
      <c r="S84" s="34">
        <v>22000</v>
      </c>
      <c r="T84" s="34" t="str">
        <f>VLOOKUP(H84,'[1]MIS Sanjeev Auto'!$H$1:$T$168,13,0)</f>
        <v>Pending</v>
      </c>
      <c r="U84" s="35" t="str">
        <f>VLOOKUP(H84,'[1]MIS Sanjeev Auto'!$H$1:$U$168,14,0)</f>
        <v>Pending</v>
      </c>
      <c r="V84" s="34" t="s">
        <v>28</v>
      </c>
      <c r="W84" s="34">
        <f t="shared" si="201"/>
        <v>3000</v>
      </c>
      <c r="X84" s="34" t="s">
        <v>963</v>
      </c>
      <c r="Y84" s="34" t="s">
        <v>29</v>
      </c>
      <c r="Z84" s="36">
        <f t="shared" si="202"/>
        <v>15.789473684210526</v>
      </c>
      <c r="AA84" s="34"/>
    </row>
    <row r="85" spans="1:27" ht="15.75" customHeight="1">
      <c r="A85" s="34">
        <f>SUBTOTAL(3,C$2:C85)</f>
        <v>84</v>
      </c>
      <c r="B85" s="34" t="s">
        <v>1086</v>
      </c>
      <c r="C85" s="37" t="s">
        <v>31</v>
      </c>
      <c r="D85" s="34" t="s">
        <v>32</v>
      </c>
      <c r="E85" s="34" t="s">
        <v>33</v>
      </c>
      <c r="F85" s="34" t="s">
        <v>1043</v>
      </c>
      <c r="G85" s="34" t="s">
        <v>34</v>
      </c>
      <c r="H85" s="39" t="s">
        <v>1083</v>
      </c>
      <c r="I85" s="35">
        <v>46146</v>
      </c>
      <c r="J85" s="34">
        <f t="shared" ca="1" si="198"/>
        <v>38</v>
      </c>
      <c r="K85" s="34" t="str">
        <f t="shared" si="199"/>
        <v>Pending</v>
      </c>
      <c r="L85" s="34" t="s">
        <v>397</v>
      </c>
      <c r="M85" s="34">
        <v>19000</v>
      </c>
      <c r="N85" s="34">
        <v>17000</v>
      </c>
      <c r="O85" s="35">
        <v>46146</v>
      </c>
      <c r="P85" s="34">
        <f t="shared" si="200"/>
        <v>2000</v>
      </c>
      <c r="Q85" s="17" t="s">
        <v>33</v>
      </c>
      <c r="R85" s="34" t="s">
        <v>61</v>
      </c>
      <c r="S85" s="34">
        <v>22000</v>
      </c>
      <c r="T85" s="34" t="str">
        <f>VLOOKUP(H85,'[1]MIS Sanjeev Auto'!$H$1:$T$168,13,0)</f>
        <v>Pending</v>
      </c>
      <c r="U85" s="35" t="str">
        <f>VLOOKUP(H85,'[1]MIS Sanjeev Auto'!$H$1:$U$168,14,0)</f>
        <v>Pending</v>
      </c>
      <c r="V85" s="34" t="s">
        <v>28</v>
      </c>
      <c r="W85" s="34">
        <f t="shared" si="201"/>
        <v>3000</v>
      </c>
      <c r="X85" s="34" t="s">
        <v>36</v>
      </c>
      <c r="Y85" s="34" t="s">
        <v>29</v>
      </c>
      <c r="Z85" s="36">
        <f t="shared" si="202"/>
        <v>15.789473684210526</v>
      </c>
      <c r="AA85" s="34"/>
    </row>
    <row r="86" spans="1:27" ht="15.75" customHeight="1">
      <c r="A86" s="34">
        <f>SUBTOTAL(3,C$2:C86)</f>
        <v>85</v>
      </c>
      <c r="B86" s="34" t="s">
        <v>1086</v>
      </c>
      <c r="C86" s="37" t="s">
        <v>31</v>
      </c>
      <c r="D86" s="34" t="s">
        <v>32</v>
      </c>
      <c r="E86" s="34" t="s">
        <v>33</v>
      </c>
      <c r="F86" s="34" t="s">
        <v>1100</v>
      </c>
      <c r="G86" s="34" t="s">
        <v>34</v>
      </c>
      <c r="H86" s="39" t="s">
        <v>1136</v>
      </c>
      <c r="I86" s="35">
        <v>46146</v>
      </c>
      <c r="J86" s="34">
        <f t="shared" ref="J86" ca="1" si="203">+TODAY()-I86</f>
        <v>38</v>
      </c>
      <c r="K86" s="34">
        <f t="shared" ref="K86" si="204">+U86</f>
        <v>46171</v>
      </c>
      <c r="L86" s="34" t="s">
        <v>397</v>
      </c>
      <c r="M86" s="34">
        <v>19000</v>
      </c>
      <c r="N86" s="34">
        <v>17000</v>
      </c>
      <c r="O86" s="35">
        <v>46147</v>
      </c>
      <c r="P86" s="34">
        <f t="shared" ref="P86" si="205">+M86-N86</f>
        <v>2000</v>
      </c>
      <c r="Q86" s="17" t="s">
        <v>33</v>
      </c>
      <c r="R86" s="34" t="s">
        <v>61</v>
      </c>
      <c r="S86" s="34">
        <v>22000</v>
      </c>
      <c r="T86" s="34" t="str">
        <f>VLOOKUP(H86,'[1]MIS Sanjeev Auto'!$H$1:$T$168,13,0)</f>
        <v>VL/MH/26-27/0272</v>
      </c>
      <c r="U86" s="35">
        <f>VLOOKUP(H86,'[1]MIS Sanjeev Auto'!$H$1:$U$168,14,0)</f>
        <v>46171</v>
      </c>
      <c r="V86" s="34" t="s">
        <v>28</v>
      </c>
      <c r="W86" s="34">
        <f t="shared" ref="W86" si="206">+S86-M86</f>
        <v>3000</v>
      </c>
      <c r="X86" s="34" t="s">
        <v>36</v>
      </c>
      <c r="Y86" s="34" t="s">
        <v>29</v>
      </c>
      <c r="Z86" s="36">
        <f t="shared" ref="Z86" si="207">+W86*100/M86</f>
        <v>15.789473684210526</v>
      </c>
      <c r="AA86" s="34"/>
    </row>
    <row r="87" spans="1:27" ht="15.75" customHeight="1">
      <c r="A87" s="34">
        <f>SUBTOTAL(3,C$2:C87)</f>
        <v>86</v>
      </c>
      <c r="B87" s="34" t="s">
        <v>1086</v>
      </c>
      <c r="C87" s="37" t="s">
        <v>31</v>
      </c>
      <c r="D87" s="34" t="s">
        <v>32</v>
      </c>
      <c r="E87" s="34" t="s">
        <v>33</v>
      </c>
      <c r="F87" s="34" t="s">
        <v>92</v>
      </c>
      <c r="G87" s="34" t="s">
        <v>34</v>
      </c>
      <c r="H87" s="55" t="s">
        <v>1137</v>
      </c>
      <c r="I87" s="35">
        <v>46146</v>
      </c>
      <c r="J87" s="34">
        <f t="shared" ref="J87:J88" ca="1" si="208">+TODAY()-I87</f>
        <v>38</v>
      </c>
      <c r="K87" s="34" t="str">
        <f t="shared" ref="K87:K88" si="209">+U87</f>
        <v>Pending</v>
      </c>
      <c r="L87" s="34" t="s">
        <v>397</v>
      </c>
      <c r="M87" s="34">
        <v>19000</v>
      </c>
      <c r="N87" s="34">
        <v>17000</v>
      </c>
      <c r="O87" s="35">
        <v>46147</v>
      </c>
      <c r="P87" s="34">
        <f t="shared" ref="P87:P88" si="210">+M87-N87</f>
        <v>2000</v>
      </c>
      <c r="Q87" s="17" t="s">
        <v>33</v>
      </c>
      <c r="R87" s="34" t="s">
        <v>61</v>
      </c>
      <c r="S87" s="34">
        <v>22000</v>
      </c>
      <c r="T87" s="34" t="str">
        <f>VLOOKUP(H87,'[1]MIS Sanjeev Auto'!$H$1:$T$168,13,0)</f>
        <v>Pending</v>
      </c>
      <c r="U87" s="35" t="str">
        <f>VLOOKUP(H87,'[1]MIS Sanjeev Auto'!$H$1:$U$168,14,0)</f>
        <v>Pending</v>
      </c>
      <c r="V87" s="34" t="s">
        <v>28</v>
      </c>
      <c r="W87" s="34">
        <f t="shared" ref="W87:W88" si="211">+S87-M87</f>
        <v>3000</v>
      </c>
      <c r="X87" s="34" t="s">
        <v>36</v>
      </c>
      <c r="Y87" s="34" t="s">
        <v>29</v>
      </c>
      <c r="Z87" s="36">
        <f t="shared" ref="Z87:Z88" si="212">+W87*100/M87</f>
        <v>15.789473684210526</v>
      </c>
      <c r="AA87" s="34"/>
    </row>
    <row r="88" spans="1:27" ht="15.75" customHeight="1">
      <c r="A88" s="34">
        <f>SUBTOTAL(3,C$2:C88)</f>
        <v>87</v>
      </c>
      <c r="B88" s="34" t="s">
        <v>1086</v>
      </c>
      <c r="C88" s="37" t="s">
        <v>44</v>
      </c>
      <c r="D88" s="34" t="s">
        <v>32</v>
      </c>
      <c r="E88" s="34" t="s">
        <v>33</v>
      </c>
      <c r="F88" s="34" t="s">
        <v>457</v>
      </c>
      <c r="G88" s="34" t="s">
        <v>59</v>
      </c>
      <c r="H88" s="39" t="s">
        <v>1138</v>
      </c>
      <c r="I88" s="35">
        <v>46147</v>
      </c>
      <c r="J88" s="34">
        <f t="shared" ca="1" si="208"/>
        <v>37</v>
      </c>
      <c r="K88" s="34">
        <f t="shared" si="209"/>
        <v>46171</v>
      </c>
      <c r="L88" s="34" t="s">
        <v>226</v>
      </c>
      <c r="M88" s="34">
        <v>39000</v>
      </c>
      <c r="N88" s="34">
        <v>34000</v>
      </c>
      <c r="O88" s="35">
        <v>46147</v>
      </c>
      <c r="P88" s="34">
        <f t="shared" si="210"/>
        <v>5000</v>
      </c>
      <c r="Q88" s="17" t="s">
        <v>33</v>
      </c>
      <c r="R88" s="34" t="s">
        <v>61</v>
      </c>
      <c r="S88" s="34">
        <v>46000</v>
      </c>
      <c r="T88" s="34" t="str">
        <f>VLOOKUP(H88,'[1]MIS Sanjeev Auto'!$H$1:$T$168,13,0)</f>
        <v>VL/MH/26-27/0269</v>
      </c>
      <c r="U88" s="35">
        <f>VLOOKUP(H88,'[1]MIS Sanjeev Auto'!$H$1:$U$168,14,0)</f>
        <v>46171</v>
      </c>
      <c r="V88" s="34" t="s">
        <v>28</v>
      </c>
      <c r="W88" s="34">
        <f t="shared" si="211"/>
        <v>7000</v>
      </c>
      <c r="X88" s="34" t="s">
        <v>36</v>
      </c>
      <c r="Y88" s="34" t="s">
        <v>29</v>
      </c>
      <c r="Z88" s="36">
        <f t="shared" si="212"/>
        <v>17.948717948717949</v>
      </c>
      <c r="AA88" s="34"/>
    </row>
    <row r="89" spans="1:27" ht="15.75" customHeight="1">
      <c r="A89" s="34">
        <f>SUBTOTAL(3,C$2:C89)</f>
        <v>88</v>
      </c>
      <c r="B89" s="34" t="s">
        <v>1086</v>
      </c>
      <c r="C89" s="37" t="s">
        <v>44</v>
      </c>
      <c r="D89" s="34" t="s">
        <v>32</v>
      </c>
      <c r="E89" s="34" t="s">
        <v>33</v>
      </c>
      <c r="F89" s="34" t="s">
        <v>287</v>
      </c>
      <c r="G89" s="34" t="s">
        <v>59</v>
      </c>
      <c r="H89" s="39" t="s">
        <v>1266</v>
      </c>
      <c r="I89" s="35">
        <v>46148</v>
      </c>
      <c r="J89" s="34">
        <f t="shared" ref="J89" ca="1" si="213">+TODAY()-I89</f>
        <v>36</v>
      </c>
      <c r="K89" s="34">
        <f t="shared" ref="K89" si="214">+U89</f>
        <v>46171</v>
      </c>
      <c r="L89" s="34" t="s">
        <v>889</v>
      </c>
      <c r="M89" s="34">
        <v>39000</v>
      </c>
      <c r="N89" s="34">
        <v>34000</v>
      </c>
      <c r="O89" s="35">
        <v>46149</v>
      </c>
      <c r="P89" s="34">
        <f t="shared" ref="P89" si="215">+M89-N89</f>
        <v>5000</v>
      </c>
      <c r="Q89" s="17" t="s">
        <v>33</v>
      </c>
      <c r="R89" s="34" t="s">
        <v>61</v>
      </c>
      <c r="S89" s="34">
        <v>46000</v>
      </c>
      <c r="T89" s="34" t="str">
        <f>VLOOKUP(H89,'[1]MIS Sanjeev Auto'!$H$1:$T$168,13,0)</f>
        <v>VL/MH/26-27/0269</v>
      </c>
      <c r="U89" s="35">
        <f>VLOOKUP(H89,'[1]MIS Sanjeev Auto'!$H$1:$U$168,14,0)</f>
        <v>46171</v>
      </c>
      <c r="V89" s="34" t="s">
        <v>28</v>
      </c>
      <c r="W89" s="34">
        <f t="shared" ref="W89" si="216">+S89-M89</f>
        <v>7000</v>
      </c>
      <c r="X89" s="34" t="s">
        <v>36</v>
      </c>
      <c r="Y89" s="34" t="s">
        <v>29</v>
      </c>
      <c r="Z89" s="36">
        <f t="shared" ref="Z89" si="217">+W89*100/M89</f>
        <v>17.948717948717949</v>
      </c>
      <c r="AA89" s="34"/>
    </row>
    <row r="90" spans="1:27" ht="15.75" customHeight="1">
      <c r="A90" s="34">
        <f>SUBTOTAL(3,C$2:C90)</f>
        <v>89</v>
      </c>
      <c r="B90" s="34" t="s">
        <v>1086</v>
      </c>
      <c r="C90" s="37" t="s">
        <v>44</v>
      </c>
      <c r="D90" s="34" t="s">
        <v>32</v>
      </c>
      <c r="E90" s="34" t="s">
        <v>33</v>
      </c>
      <c r="F90" s="34" t="s">
        <v>835</v>
      </c>
      <c r="G90" s="34" t="s">
        <v>46</v>
      </c>
      <c r="H90" s="39" t="s">
        <v>1267</v>
      </c>
      <c r="I90" s="35">
        <v>46148</v>
      </c>
      <c r="J90" s="34">
        <f t="shared" ref="J90:J93" ca="1" si="218">+TODAY()-I90</f>
        <v>36</v>
      </c>
      <c r="K90" s="34">
        <f t="shared" ref="K90:K93" si="219">+U90</f>
        <v>46171</v>
      </c>
      <c r="L90" s="34" t="s">
        <v>397</v>
      </c>
      <c r="M90" s="34">
        <v>19000</v>
      </c>
      <c r="N90" s="34">
        <v>17000</v>
      </c>
      <c r="O90" s="35">
        <v>46149</v>
      </c>
      <c r="P90" s="34">
        <f t="shared" ref="P90:P93" si="220">+M90-N90</f>
        <v>2000</v>
      </c>
      <c r="Q90" s="17" t="s">
        <v>33</v>
      </c>
      <c r="R90" s="34" t="s">
        <v>61</v>
      </c>
      <c r="S90" s="34">
        <v>22000</v>
      </c>
      <c r="T90" s="34" t="str">
        <f>VLOOKUP(H90,'[1]MIS Sanjeev Auto'!$H$1:$T$168,13,0)</f>
        <v>VL/MH/26-27/0272</v>
      </c>
      <c r="U90" s="35">
        <f>VLOOKUP(H90,'[1]MIS Sanjeev Auto'!$H$1:$U$168,14,0)</f>
        <v>46171</v>
      </c>
      <c r="V90" s="34" t="s">
        <v>28</v>
      </c>
      <c r="W90" s="34">
        <f t="shared" ref="W90:W93" si="221">+S90-M90</f>
        <v>3000</v>
      </c>
      <c r="X90" s="34" t="s">
        <v>36</v>
      </c>
      <c r="Y90" s="34" t="s">
        <v>29</v>
      </c>
      <c r="Z90" s="36">
        <f t="shared" ref="Z90:Z93" si="222">+W90*100/M90</f>
        <v>15.789473684210526</v>
      </c>
      <c r="AA90" s="34"/>
    </row>
    <row r="91" spans="1:27" ht="15.75" customHeight="1">
      <c r="A91" s="34">
        <f>SUBTOTAL(3,C$2:C91)</f>
        <v>90</v>
      </c>
      <c r="B91" s="34" t="s">
        <v>1086</v>
      </c>
      <c r="C91" s="37" t="s">
        <v>1031</v>
      </c>
      <c r="D91" s="34" t="s">
        <v>32</v>
      </c>
      <c r="E91" s="34" t="s">
        <v>33</v>
      </c>
      <c r="F91" s="34" t="s">
        <v>601</v>
      </c>
      <c r="G91" s="34" t="s">
        <v>34</v>
      </c>
      <c r="H91" s="39" t="s">
        <v>1268</v>
      </c>
      <c r="I91" s="35">
        <v>46148</v>
      </c>
      <c r="J91" s="34">
        <f t="shared" ca="1" si="218"/>
        <v>36</v>
      </c>
      <c r="K91" s="34">
        <f t="shared" si="219"/>
        <v>46171</v>
      </c>
      <c r="L91" s="34" t="s">
        <v>270</v>
      </c>
      <c r="M91" s="34">
        <v>19000</v>
      </c>
      <c r="N91" s="34">
        <v>17000</v>
      </c>
      <c r="O91" s="35">
        <v>46149</v>
      </c>
      <c r="P91" s="34">
        <f t="shared" si="220"/>
        <v>2000</v>
      </c>
      <c r="Q91" s="17" t="s">
        <v>33</v>
      </c>
      <c r="R91" s="34" t="s">
        <v>61</v>
      </c>
      <c r="S91" s="34">
        <v>22000</v>
      </c>
      <c r="T91" s="34" t="str">
        <f>VLOOKUP(H91,'[1]MIS Sanjeev Auto'!$H$1:$T$168,13,0)</f>
        <v>VL/MH/26-27/0272</v>
      </c>
      <c r="U91" s="35">
        <f>VLOOKUP(H91,'[1]MIS Sanjeev Auto'!$H$1:$U$168,14,0)</f>
        <v>46171</v>
      </c>
      <c r="V91" s="34" t="s">
        <v>28</v>
      </c>
      <c r="W91" s="34">
        <f t="shared" si="221"/>
        <v>3000</v>
      </c>
      <c r="X91" s="34" t="s">
        <v>963</v>
      </c>
      <c r="Y91" s="34" t="s">
        <v>29</v>
      </c>
      <c r="Z91" s="36">
        <f t="shared" si="222"/>
        <v>15.789473684210526</v>
      </c>
      <c r="AA91" s="34"/>
    </row>
    <row r="92" spans="1:27" ht="15.75" customHeight="1">
      <c r="A92" s="34">
        <f>SUBTOTAL(3,C$2:C92)</f>
        <v>91</v>
      </c>
      <c r="B92" s="34" t="s">
        <v>1086</v>
      </c>
      <c r="C92" s="37" t="s">
        <v>31</v>
      </c>
      <c r="D92" s="34" t="s">
        <v>32</v>
      </c>
      <c r="E92" s="34" t="s">
        <v>33</v>
      </c>
      <c r="F92" s="34" t="s">
        <v>1344</v>
      </c>
      <c r="G92" s="34" t="s">
        <v>34</v>
      </c>
      <c r="H92" s="39" t="s">
        <v>1396</v>
      </c>
      <c r="I92" s="35">
        <v>46150</v>
      </c>
      <c r="J92" s="34">
        <f t="shared" ca="1" si="218"/>
        <v>34</v>
      </c>
      <c r="K92" s="34">
        <f t="shared" si="219"/>
        <v>46171</v>
      </c>
      <c r="L92" s="34" t="s">
        <v>397</v>
      </c>
      <c r="M92" s="34">
        <v>19000</v>
      </c>
      <c r="N92" s="34">
        <v>17000</v>
      </c>
      <c r="O92" s="35">
        <v>46151</v>
      </c>
      <c r="P92" s="34">
        <f t="shared" si="220"/>
        <v>2000</v>
      </c>
      <c r="Q92" s="17" t="s">
        <v>33</v>
      </c>
      <c r="R92" s="34" t="s">
        <v>61</v>
      </c>
      <c r="S92" s="34">
        <v>22000</v>
      </c>
      <c r="T92" s="34" t="str">
        <f>VLOOKUP(H92,'[1]MIS Sanjeev Auto'!$H$1:$T$168,13,0)</f>
        <v>VL/MH/26-27/0272</v>
      </c>
      <c r="U92" s="35">
        <f>VLOOKUP(H92,'[1]MIS Sanjeev Auto'!$H$1:$U$168,14,0)</f>
        <v>46171</v>
      </c>
      <c r="V92" s="34" t="s">
        <v>28</v>
      </c>
      <c r="W92" s="34">
        <f t="shared" si="221"/>
        <v>3000</v>
      </c>
      <c r="X92" s="34" t="s">
        <v>36</v>
      </c>
      <c r="Y92" s="34" t="s">
        <v>29</v>
      </c>
      <c r="Z92" s="36">
        <f t="shared" si="222"/>
        <v>15.789473684210526</v>
      </c>
      <c r="AA92" s="34"/>
    </row>
    <row r="93" spans="1:27" ht="15.75" customHeight="1">
      <c r="A93" s="34">
        <f>SUBTOTAL(3,C$2:C93)</f>
        <v>92</v>
      </c>
      <c r="B93" s="34" t="s">
        <v>1086</v>
      </c>
      <c r="C93" s="37" t="s">
        <v>80</v>
      </c>
      <c r="D93" s="34" t="s">
        <v>32</v>
      </c>
      <c r="E93" s="34" t="s">
        <v>33</v>
      </c>
      <c r="F93" s="34" t="s">
        <v>1349</v>
      </c>
      <c r="G93" s="34" t="s">
        <v>46</v>
      </c>
      <c r="H93" s="39" t="s">
        <v>1397</v>
      </c>
      <c r="I93" s="35">
        <v>46150</v>
      </c>
      <c r="J93" s="34">
        <f t="shared" ca="1" si="218"/>
        <v>34</v>
      </c>
      <c r="K93" s="34">
        <f t="shared" si="219"/>
        <v>46171</v>
      </c>
      <c r="L93" s="34" t="s">
        <v>598</v>
      </c>
      <c r="M93" s="34">
        <v>19000</v>
      </c>
      <c r="N93" s="34">
        <v>17000</v>
      </c>
      <c r="O93" s="35">
        <v>46151</v>
      </c>
      <c r="P93" s="34">
        <f t="shared" si="220"/>
        <v>2000</v>
      </c>
      <c r="Q93" s="17" t="s">
        <v>33</v>
      </c>
      <c r="R93" s="34" t="s">
        <v>61</v>
      </c>
      <c r="S93" s="34">
        <v>22000</v>
      </c>
      <c r="T93" s="34" t="str">
        <f>VLOOKUP(H93,'[1]MIS Sanjeev Auto'!$H$1:$T$168,13,0)</f>
        <v>VL/MH/26-27/0273</v>
      </c>
      <c r="U93" s="35">
        <f>VLOOKUP(H93,'[1]MIS Sanjeev Auto'!$H$1:$U$168,14,0)</f>
        <v>46171</v>
      </c>
      <c r="V93" s="34" t="s">
        <v>28</v>
      </c>
      <c r="W93" s="34">
        <f t="shared" si="221"/>
        <v>3000</v>
      </c>
      <c r="X93" s="34" t="s">
        <v>36</v>
      </c>
      <c r="Y93" s="34" t="s">
        <v>29</v>
      </c>
      <c r="Z93" s="36">
        <f t="shared" si="222"/>
        <v>15.789473684210526</v>
      </c>
      <c r="AA93" s="34"/>
    </row>
    <row r="94" spans="1:27" ht="15.75" customHeight="1">
      <c r="A94" s="34">
        <f>SUBTOTAL(3,C$2:C94)</f>
        <v>93</v>
      </c>
      <c r="B94" s="34" t="s">
        <v>1086</v>
      </c>
      <c r="C94" s="37" t="s">
        <v>31</v>
      </c>
      <c r="D94" s="34" t="s">
        <v>32</v>
      </c>
      <c r="E94" s="34" t="s">
        <v>33</v>
      </c>
      <c r="F94" s="34" t="s">
        <v>1363</v>
      </c>
      <c r="G94" s="34" t="s">
        <v>34</v>
      </c>
      <c r="H94" s="39" t="s">
        <v>1398</v>
      </c>
      <c r="I94" s="35">
        <v>46150</v>
      </c>
      <c r="J94" s="34">
        <f t="shared" ref="J94:J95" ca="1" si="223">+TODAY()-I94</f>
        <v>34</v>
      </c>
      <c r="K94" s="34">
        <f t="shared" ref="K94:K95" si="224">+U94</f>
        <v>46171</v>
      </c>
      <c r="L94" s="34" t="s">
        <v>397</v>
      </c>
      <c r="M94" s="34">
        <v>19000</v>
      </c>
      <c r="N94" s="34">
        <v>17000</v>
      </c>
      <c r="O94" s="35">
        <v>46151</v>
      </c>
      <c r="P94" s="34">
        <f t="shared" ref="P94:P95" si="225">+M94-N94</f>
        <v>2000</v>
      </c>
      <c r="Q94" s="17" t="s">
        <v>33</v>
      </c>
      <c r="R94" s="34" t="s">
        <v>61</v>
      </c>
      <c r="S94" s="34">
        <v>22000</v>
      </c>
      <c r="T94" s="34" t="str">
        <f>VLOOKUP(H94,'[1]MIS Sanjeev Auto'!$H$1:$T$168,13,0)</f>
        <v>VL/MH/26-27/0273</v>
      </c>
      <c r="U94" s="35">
        <f>VLOOKUP(H94,'[1]MIS Sanjeev Auto'!$H$1:$U$168,14,0)</f>
        <v>46171</v>
      </c>
      <c r="V94" s="34" t="s">
        <v>28</v>
      </c>
      <c r="W94" s="34">
        <f t="shared" ref="W94:W95" si="226">+S94-M94</f>
        <v>3000</v>
      </c>
      <c r="X94" s="34" t="s">
        <v>36</v>
      </c>
      <c r="Y94" s="34" t="s">
        <v>29</v>
      </c>
      <c r="Z94" s="36">
        <f t="shared" ref="Z94:Z95" si="227">+W94*100/M94</f>
        <v>15.789473684210526</v>
      </c>
      <c r="AA94" s="34"/>
    </row>
    <row r="95" spans="1:27" ht="15.75" customHeight="1">
      <c r="A95" s="34">
        <f>SUBTOTAL(3,C$2:C95)</f>
        <v>94</v>
      </c>
      <c r="B95" s="34" t="s">
        <v>1086</v>
      </c>
      <c r="C95" s="37" t="s">
        <v>44</v>
      </c>
      <c r="D95" s="34" t="s">
        <v>32</v>
      </c>
      <c r="E95" s="34" t="s">
        <v>33</v>
      </c>
      <c r="F95" s="34" t="s">
        <v>378</v>
      </c>
      <c r="G95" s="34" t="s">
        <v>46</v>
      </c>
      <c r="H95" s="39" t="s">
        <v>1399</v>
      </c>
      <c r="I95" s="35">
        <v>46150</v>
      </c>
      <c r="J95" s="34">
        <f t="shared" ca="1" si="223"/>
        <v>34</v>
      </c>
      <c r="K95" s="34">
        <f t="shared" si="224"/>
        <v>46171</v>
      </c>
      <c r="L95" s="34" t="s">
        <v>397</v>
      </c>
      <c r="M95" s="34">
        <v>19000</v>
      </c>
      <c r="N95" s="34">
        <v>17000</v>
      </c>
      <c r="O95" s="35">
        <v>46151</v>
      </c>
      <c r="P95" s="34">
        <f t="shared" si="225"/>
        <v>2000</v>
      </c>
      <c r="Q95" s="17" t="s">
        <v>33</v>
      </c>
      <c r="R95" s="34" t="s">
        <v>61</v>
      </c>
      <c r="S95" s="34">
        <v>22000</v>
      </c>
      <c r="T95" s="34" t="str">
        <f>VLOOKUP(H95,'[1]MIS Sanjeev Auto'!$H$1:$T$168,13,0)</f>
        <v>VL/MH/26-27/0273</v>
      </c>
      <c r="U95" s="35">
        <f>VLOOKUP(H95,'[1]MIS Sanjeev Auto'!$H$1:$U$168,14,0)</f>
        <v>46171</v>
      </c>
      <c r="V95" s="34" t="s">
        <v>28</v>
      </c>
      <c r="W95" s="34">
        <f t="shared" si="226"/>
        <v>3000</v>
      </c>
      <c r="X95" s="34" t="s">
        <v>36</v>
      </c>
      <c r="Y95" s="34" t="s">
        <v>29</v>
      </c>
      <c r="Z95" s="36">
        <f t="shared" si="227"/>
        <v>15.789473684210526</v>
      </c>
      <c r="AA95" s="34"/>
    </row>
    <row r="96" spans="1:27" ht="15.75" customHeight="1">
      <c r="A96" s="34">
        <f>SUBTOTAL(3,C$2:C96)</f>
        <v>95</v>
      </c>
      <c r="B96" s="34" t="s">
        <v>1086</v>
      </c>
      <c r="C96" s="37" t="s">
        <v>44</v>
      </c>
      <c r="D96" s="34" t="s">
        <v>32</v>
      </c>
      <c r="E96" s="34" t="s">
        <v>33</v>
      </c>
      <c r="F96" s="34" t="s">
        <v>45</v>
      </c>
      <c r="G96" s="34" t="s">
        <v>46</v>
      </c>
      <c r="H96" s="39" t="s">
        <v>1400</v>
      </c>
      <c r="I96" s="35">
        <v>46150</v>
      </c>
      <c r="J96" s="34">
        <f t="shared" ref="J96:J98" ca="1" si="228">+TODAY()-I96</f>
        <v>34</v>
      </c>
      <c r="K96" s="34">
        <f t="shared" ref="K96:K98" si="229">+U96</f>
        <v>46171</v>
      </c>
      <c r="L96" s="34" t="s">
        <v>397</v>
      </c>
      <c r="M96" s="34">
        <v>19000</v>
      </c>
      <c r="N96" s="34">
        <v>17000</v>
      </c>
      <c r="O96" s="35">
        <v>46151</v>
      </c>
      <c r="P96" s="34">
        <f t="shared" ref="P96:P98" si="230">+M96-N96</f>
        <v>2000</v>
      </c>
      <c r="Q96" s="17" t="s">
        <v>33</v>
      </c>
      <c r="R96" s="34" t="s">
        <v>61</v>
      </c>
      <c r="S96" s="34">
        <v>22000</v>
      </c>
      <c r="T96" s="34" t="str">
        <f>VLOOKUP(H96,'[1]MIS Sanjeev Auto'!$H$1:$T$168,13,0)</f>
        <v>VL/MH/26-27/0273</v>
      </c>
      <c r="U96" s="35">
        <f>VLOOKUP(H96,'[1]MIS Sanjeev Auto'!$H$1:$U$168,14,0)</f>
        <v>46171</v>
      </c>
      <c r="V96" s="34" t="s">
        <v>28</v>
      </c>
      <c r="W96" s="34">
        <f t="shared" ref="W96:W98" si="231">+S96-M96</f>
        <v>3000</v>
      </c>
      <c r="X96" s="34" t="s">
        <v>36</v>
      </c>
      <c r="Y96" s="34" t="s">
        <v>29</v>
      </c>
      <c r="Z96" s="36">
        <f t="shared" ref="Z96:Z98" si="232">+W96*100/M96</f>
        <v>15.789473684210526</v>
      </c>
      <c r="AA96" s="34"/>
    </row>
    <row r="97" spans="1:27" ht="15.75" customHeight="1">
      <c r="A97" s="34">
        <f>SUBTOTAL(3,C$2:C97)</f>
        <v>96</v>
      </c>
      <c r="B97" s="34" t="s">
        <v>1086</v>
      </c>
      <c r="C97" s="37" t="s">
        <v>57</v>
      </c>
      <c r="D97" s="34" t="s">
        <v>32</v>
      </c>
      <c r="E97" s="34" t="s">
        <v>33</v>
      </c>
      <c r="F97" s="34" t="s">
        <v>207</v>
      </c>
      <c r="G97" s="34" t="s">
        <v>314</v>
      </c>
      <c r="H97" s="39" t="s">
        <v>1401</v>
      </c>
      <c r="I97" s="35">
        <v>46150</v>
      </c>
      <c r="J97" s="34">
        <f t="shared" ca="1" si="228"/>
        <v>34</v>
      </c>
      <c r="K97" s="34">
        <f t="shared" si="229"/>
        <v>46171</v>
      </c>
      <c r="L97" s="34" t="s">
        <v>1042</v>
      </c>
      <c r="M97" s="34">
        <v>39000</v>
      </c>
      <c r="N97" s="34">
        <v>34000</v>
      </c>
      <c r="O97" s="35">
        <v>46151</v>
      </c>
      <c r="P97" s="34">
        <f t="shared" si="230"/>
        <v>5000</v>
      </c>
      <c r="Q97" s="17" t="s">
        <v>33</v>
      </c>
      <c r="R97" s="34" t="s">
        <v>61</v>
      </c>
      <c r="S97" s="34">
        <v>46000</v>
      </c>
      <c r="T97" s="34" t="str">
        <f>VLOOKUP(H97,'[1]MIS Sanjeev Auto'!$H$1:$T$168,13,0)</f>
        <v>VL/MH/26-27/0269</v>
      </c>
      <c r="U97" s="35">
        <f>VLOOKUP(H97,'[1]MIS Sanjeev Auto'!$H$1:$U$168,14,0)</f>
        <v>46171</v>
      </c>
      <c r="V97" s="34" t="s">
        <v>28</v>
      </c>
      <c r="W97" s="34">
        <f t="shared" si="231"/>
        <v>7000</v>
      </c>
      <c r="X97" s="34" t="s">
        <v>36</v>
      </c>
      <c r="Y97" s="34" t="s">
        <v>29</v>
      </c>
      <c r="Z97" s="36">
        <f t="shared" si="232"/>
        <v>17.948717948717949</v>
      </c>
      <c r="AA97" s="34"/>
    </row>
    <row r="98" spans="1:27" ht="15.75" customHeight="1">
      <c r="A98" s="34">
        <f>SUBTOTAL(3,C$2:C98)</f>
        <v>97</v>
      </c>
      <c r="B98" s="34" t="s">
        <v>1086</v>
      </c>
      <c r="C98" s="37" t="s">
        <v>80</v>
      </c>
      <c r="D98" s="34" t="s">
        <v>32</v>
      </c>
      <c r="E98" s="34" t="s">
        <v>33</v>
      </c>
      <c r="F98" s="34" t="s">
        <v>1364</v>
      </c>
      <c r="G98" s="34" t="s">
        <v>607</v>
      </c>
      <c r="H98" s="39" t="s">
        <v>1402</v>
      </c>
      <c r="I98" s="35">
        <v>46149</v>
      </c>
      <c r="J98" s="34">
        <f t="shared" ca="1" si="228"/>
        <v>35</v>
      </c>
      <c r="K98" s="34">
        <f t="shared" si="229"/>
        <v>46171</v>
      </c>
      <c r="L98" s="34" t="s">
        <v>598</v>
      </c>
      <c r="M98" s="34">
        <v>33000</v>
      </c>
      <c r="N98" s="34">
        <v>30000</v>
      </c>
      <c r="O98" s="35">
        <v>46151</v>
      </c>
      <c r="P98" s="34">
        <f t="shared" si="230"/>
        <v>3000</v>
      </c>
      <c r="Q98" s="17" t="s">
        <v>33</v>
      </c>
      <c r="R98" s="34" t="s">
        <v>61</v>
      </c>
      <c r="S98" s="34">
        <v>38000</v>
      </c>
      <c r="T98" s="34" t="str">
        <f>VLOOKUP(H98,'[1]MIS Sanjeev Auto'!$H$1:$T$168,13,0)</f>
        <v>VL/MH/26-27/0271</v>
      </c>
      <c r="U98" s="35">
        <f>VLOOKUP(H98,'[1]MIS Sanjeev Auto'!$H$1:$U$168,14,0)</f>
        <v>46171</v>
      </c>
      <c r="V98" s="34" t="s">
        <v>28</v>
      </c>
      <c r="W98" s="34">
        <f t="shared" si="231"/>
        <v>5000</v>
      </c>
      <c r="X98" s="34" t="s">
        <v>36</v>
      </c>
      <c r="Y98" s="34" t="s">
        <v>29</v>
      </c>
      <c r="Z98" s="36">
        <f t="shared" si="232"/>
        <v>15.151515151515152</v>
      </c>
      <c r="AA98" s="34"/>
    </row>
    <row r="99" spans="1:27" ht="15.75" customHeight="1">
      <c r="A99" s="34">
        <f>SUBTOTAL(3,C$2:C99)</f>
        <v>98</v>
      </c>
      <c r="B99" s="34" t="s">
        <v>1086</v>
      </c>
      <c r="C99" s="37" t="s">
        <v>80</v>
      </c>
      <c r="D99" s="34" t="s">
        <v>32</v>
      </c>
      <c r="E99" s="34" t="s">
        <v>33</v>
      </c>
      <c r="F99" s="34" t="s">
        <v>1365</v>
      </c>
      <c r="G99" s="34" t="s">
        <v>59</v>
      </c>
      <c r="H99" s="39" t="s">
        <v>1403</v>
      </c>
      <c r="I99" s="35">
        <v>46150</v>
      </c>
      <c r="J99" s="34">
        <f t="shared" ref="J99:J102" ca="1" si="233">+TODAY()-I99</f>
        <v>34</v>
      </c>
      <c r="K99" s="34">
        <f t="shared" ref="K99:K102" si="234">+U99</f>
        <v>46171</v>
      </c>
      <c r="L99" s="34" t="s">
        <v>270</v>
      </c>
      <c r="M99" s="34">
        <v>39000</v>
      </c>
      <c r="N99" s="34">
        <v>34000</v>
      </c>
      <c r="O99" s="35">
        <v>46151</v>
      </c>
      <c r="P99" s="34">
        <f t="shared" ref="P99:P102" si="235">+M99-N99</f>
        <v>5000</v>
      </c>
      <c r="Q99" s="17" t="s">
        <v>33</v>
      </c>
      <c r="R99" s="34" t="s">
        <v>61</v>
      </c>
      <c r="S99" s="34">
        <v>46000</v>
      </c>
      <c r="T99" s="34" t="str">
        <f>VLOOKUP(H99,'[1]MIS Sanjeev Auto'!$H$1:$T$168,13,0)</f>
        <v>VL/MH/26-27/0270</v>
      </c>
      <c r="U99" s="35">
        <f>VLOOKUP(H99,'[1]MIS Sanjeev Auto'!$H$1:$U$168,14,0)</f>
        <v>46171</v>
      </c>
      <c r="V99" s="34" t="s">
        <v>28</v>
      </c>
      <c r="W99" s="34">
        <f t="shared" ref="W99:W102" si="236">+S99-M99</f>
        <v>7000</v>
      </c>
      <c r="X99" s="34" t="s">
        <v>36</v>
      </c>
      <c r="Y99" s="34" t="s">
        <v>29</v>
      </c>
      <c r="Z99" s="36">
        <f t="shared" ref="Z99:Z102" si="237">+W99*100/M99</f>
        <v>17.948717948717949</v>
      </c>
      <c r="AA99" s="34"/>
    </row>
    <row r="100" spans="1:27" ht="15.75" customHeight="1">
      <c r="A100" s="34">
        <f>SUBTOTAL(3,C$2:C100)</f>
        <v>99</v>
      </c>
      <c r="B100" s="34" t="s">
        <v>1086</v>
      </c>
      <c r="C100" s="37" t="s">
        <v>31</v>
      </c>
      <c r="D100" s="34" t="s">
        <v>32</v>
      </c>
      <c r="E100" s="34" t="s">
        <v>33</v>
      </c>
      <c r="F100" s="34" t="s">
        <v>92</v>
      </c>
      <c r="G100" s="34" t="s">
        <v>34</v>
      </c>
      <c r="H100" s="39" t="s">
        <v>1477</v>
      </c>
      <c r="I100" s="35">
        <v>46152</v>
      </c>
      <c r="J100" s="34">
        <f t="shared" ca="1" si="233"/>
        <v>32</v>
      </c>
      <c r="K100" s="34" t="str">
        <f t="shared" si="234"/>
        <v>Pending</v>
      </c>
      <c r="L100" s="34" t="s">
        <v>397</v>
      </c>
      <c r="M100" s="34">
        <v>19000</v>
      </c>
      <c r="N100" s="34">
        <v>17000</v>
      </c>
      <c r="O100" s="35">
        <v>46152</v>
      </c>
      <c r="P100" s="34">
        <f t="shared" si="235"/>
        <v>2000</v>
      </c>
      <c r="Q100" s="17" t="s">
        <v>33</v>
      </c>
      <c r="R100" s="34" t="s">
        <v>61</v>
      </c>
      <c r="S100" s="34">
        <v>22000</v>
      </c>
      <c r="T100" s="34" t="str">
        <f>VLOOKUP(H100,'[1]MIS Sanjeev Auto'!$H$1:$T$168,13,0)</f>
        <v>Pending</v>
      </c>
      <c r="U100" s="35" t="str">
        <f>VLOOKUP(H100,'[1]MIS Sanjeev Auto'!$H$1:$U$168,14,0)</f>
        <v>Pending</v>
      </c>
      <c r="V100" s="34" t="s">
        <v>28</v>
      </c>
      <c r="W100" s="34">
        <f t="shared" si="236"/>
        <v>3000</v>
      </c>
      <c r="X100" s="34" t="s">
        <v>36</v>
      </c>
      <c r="Y100" s="34" t="s">
        <v>29</v>
      </c>
      <c r="Z100" s="36">
        <f t="shared" si="237"/>
        <v>15.789473684210526</v>
      </c>
      <c r="AA100" s="34"/>
    </row>
    <row r="101" spans="1:27" ht="15.75" customHeight="1">
      <c r="A101" s="34">
        <f>SUBTOTAL(3,C$2:C101)</f>
        <v>100</v>
      </c>
      <c r="B101" s="34" t="s">
        <v>1086</v>
      </c>
      <c r="C101" s="37" t="s">
        <v>57</v>
      </c>
      <c r="D101" s="34" t="s">
        <v>32</v>
      </c>
      <c r="E101" s="34" t="s">
        <v>33</v>
      </c>
      <c r="F101" s="34" t="s">
        <v>304</v>
      </c>
      <c r="G101" s="34" t="s">
        <v>314</v>
      </c>
      <c r="H101" s="39" t="s">
        <v>1478</v>
      </c>
      <c r="I101" s="35">
        <v>46152</v>
      </c>
      <c r="J101" s="34">
        <f t="shared" ca="1" si="233"/>
        <v>32</v>
      </c>
      <c r="K101" s="34">
        <f t="shared" si="234"/>
        <v>46171</v>
      </c>
      <c r="L101" s="34" t="s">
        <v>1042</v>
      </c>
      <c r="M101" s="34">
        <v>39000</v>
      </c>
      <c r="N101" s="34">
        <v>34000</v>
      </c>
      <c r="O101" s="35">
        <v>46152</v>
      </c>
      <c r="P101" s="34">
        <f t="shared" si="235"/>
        <v>5000</v>
      </c>
      <c r="Q101" s="17" t="s">
        <v>33</v>
      </c>
      <c r="R101" s="34" t="s">
        <v>61</v>
      </c>
      <c r="S101" s="34">
        <v>46000</v>
      </c>
      <c r="T101" s="34" t="str">
        <f>VLOOKUP(H101,'[1]MIS Sanjeev Auto'!$H$1:$T$168,13,0)</f>
        <v>VL/MH/26-27/0270</v>
      </c>
      <c r="U101" s="35">
        <f>VLOOKUP(H101,'[1]MIS Sanjeev Auto'!$H$1:$U$168,14,0)</f>
        <v>46171</v>
      </c>
      <c r="V101" s="34" t="s">
        <v>28</v>
      </c>
      <c r="W101" s="34">
        <f t="shared" si="236"/>
        <v>7000</v>
      </c>
      <c r="X101" s="34" t="s">
        <v>36</v>
      </c>
      <c r="Y101" s="34" t="s">
        <v>29</v>
      </c>
      <c r="Z101" s="36">
        <f t="shared" si="237"/>
        <v>17.948717948717949</v>
      </c>
      <c r="AA101" s="34"/>
    </row>
    <row r="102" spans="1:27" ht="15.75" customHeight="1">
      <c r="A102" s="34">
        <f>SUBTOTAL(3,C$2:C102)</f>
        <v>101</v>
      </c>
      <c r="B102" s="34" t="s">
        <v>1086</v>
      </c>
      <c r="C102" s="37" t="s">
        <v>44</v>
      </c>
      <c r="D102" s="34" t="s">
        <v>32</v>
      </c>
      <c r="E102" s="34" t="s">
        <v>33</v>
      </c>
      <c r="F102" s="34" t="s">
        <v>1364</v>
      </c>
      <c r="G102" s="34" t="s">
        <v>607</v>
      </c>
      <c r="H102" s="39" t="s">
        <v>1559</v>
      </c>
      <c r="I102" s="35">
        <v>46154</v>
      </c>
      <c r="J102" s="34">
        <f t="shared" ca="1" si="233"/>
        <v>30</v>
      </c>
      <c r="K102" s="34">
        <f t="shared" si="234"/>
        <v>46171</v>
      </c>
      <c r="L102" s="34" t="s">
        <v>889</v>
      </c>
      <c r="M102" s="34">
        <v>33000</v>
      </c>
      <c r="N102" s="34">
        <v>30000</v>
      </c>
      <c r="O102" s="35">
        <v>46155</v>
      </c>
      <c r="P102" s="34">
        <f t="shared" si="235"/>
        <v>3000</v>
      </c>
      <c r="Q102" s="17" t="s">
        <v>33</v>
      </c>
      <c r="R102" s="34" t="s">
        <v>61</v>
      </c>
      <c r="S102" s="34">
        <v>38000</v>
      </c>
      <c r="T102" s="34" t="str">
        <f>VLOOKUP(H102,'[1]MIS Sanjeev Auto'!$H$1:$T$168,13,0)</f>
        <v>VL/MH/26-27/0271</v>
      </c>
      <c r="U102" s="35">
        <f>VLOOKUP(H102,'[1]MIS Sanjeev Auto'!$H$1:$U$168,14,0)</f>
        <v>46171</v>
      </c>
      <c r="V102" s="34" t="s">
        <v>28</v>
      </c>
      <c r="W102" s="34">
        <f t="shared" si="236"/>
        <v>5000</v>
      </c>
      <c r="X102" s="34" t="s">
        <v>36</v>
      </c>
      <c r="Y102" s="34" t="s">
        <v>29</v>
      </c>
      <c r="Z102" s="36">
        <f t="shared" si="237"/>
        <v>15.151515151515152</v>
      </c>
      <c r="AA102" s="34"/>
    </row>
    <row r="103" spans="1:27" ht="15.75" customHeight="1">
      <c r="A103" s="34">
        <f>SUBTOTAL(3,C$2:C103)</f>
        <v>102</v>
      </c>
      <c r="B103" s="34" t="s">
        <v>1086</v>
      </c>
      <c r="C103" s="37" t="s">
        <v>44</v>
      </c>
      <c r="D103" s="34" t="s">
        <v>32</v>
      </c>
      <c r="E103" s="34" t="s">
        <v>33</v>
      </c>
      <c r="F103" s="34" t="s">
        <v>378</v>
      </c>
      <c r="G103" s="34" t="s">
        <v>46</v>
      </c>
      <c r="H103" s="39" t="s">
        <v>1560</v>
      </c>
      <c r="I103" s="35">
        <v>46154</v>
      </c>
      <c r="J103" s="34">
        <f t="shared" ref="J103:J106" ca="1" si="238">+TODAY()-I103</f>
        <v>30</v>
      </c>
      <c r="K103" s="34">
        <f t="shared" ref="K103:K106" si="239">+U103</f>
        <v>46171</v>
      </c>
      <c r="L103" s="34" t="s">
        <v>889</v>
      </c>
      <c r="M103" s="34">
        <v>19000</v>
      </c>
      <c r="N103" s="34">
        <v>17000</v>
      </c>
      <c r="O103" s="35">
        <v>46155</v>
      </c>
      <c r="P103" s="34">
        <f t="shared" ref="P103:P106" si="240">+M103-N103</f>
        <v>2000</v>
      </c>
      <c r="Q103" s="17" t="s">
        <v>33</v>
      </c>
      <c r="R103" s="34" t="s">
        <v>61</v>
      </c>
      <c r="S103" s="34">
        <v>22000</v>
      </c>
      <c r="T103" s="34" t="str">
        <f>VLOOKUP(H103,'[1]MIS Sanjeev Auto'!$H$1:$T$168,13,0)</f>
        <v>VL/MH/26-27/0274</v>
      </c>
      <c r="U103" s="35">
        <f>VLOOKUP(H103,'[1]MIS Sanjeev Auto'!$H$1:$U$168,14,0)</f>
        <v>46171</v>
      </c>
      <c r="V103" s="34" t="s">
        <v>28</v>
      </c>
      <c r="W103" s="34">
        <f t="shared" ref="W103:W106" si="241">+S103-M103</f>
        <v>3000</v>
      </c>
      <c r="X103" s="34" t="s">
        <v>36</v>
      </c>
      <c r="Y103" s="34" t="s">
        <v>29</v>
      </c>
      <c r="Z103" s="36">
        <f t="shared" ref="Z103:Z106" si="242">+W103*100/M103</f>
        <v>15.789473684210526</v>
      </c>
      <c r="AA103" s="34"/>
    </row>
    <row r="104" spans="1:27" ht="15.75" customHeight="1">
      <c r="A104" s="34">
        <f>SUBTOTAL(3,C$2:C104)</f>
        <v>103</v>
      </c>
      <c r="B104" s="34" t="s">
        <v>1086</v>
      </c>
      <c r="C104" s="37" t="s">
        <v>44</v>
      </c>
      <c r="D104" s="34" t="s">
        <v>32</v>
      </c>
      <c r="E104" s="34" t="s">
        <v>33</v>
      </c>
      <c r="F104" s="34" t="s">
        <v>1523</v>
      </c>
      <c r="G104" s="34" t="s">
        <v>46</v>
      </c>
      <c r="H104" s="39" t="s">
        <v>1561</v>
      </c>
      <c r="I104" s="35">
        <v>46153</v>
      </c>
      <c r="J104" s="34">
        <f t="shared" ca="1" si="238"/>
        <v>31</v>
      </c>
      <c r="K104" s="34">
        <f t="shared" si="239"/>
        <v>46171</v>
      </c>
      <c r="L104" s="34" t="s">
        <v>889</v>
      </c>
      <c r="M104" s="34">
        <v>19000</v>
      </c>
      <c r="N104" s="34">
        <v>17000</v>
      </c>
      <c r="O104" s="35">
        <v>46155</v>
      </c>
      <c r="P104" s="34">
        <f t="shared" si="240"/>
        <v>2000</v>
      </c>
      <c r="Q104" s="17" t="s">
        <v>33</v>
      </c>
      <c r="R104" s="34" t="s">
        <v>61</v>
      </c>
      <c r="S104" s="34">
        <v>22000</v>
      </c>
      <c r="T104" s="34" t="str">
        <f>VLOOKUP(H104,'[1]MIS Sanjeev Auto'!$H$1:$T$168,13,0)</f>
        <v>VL/MH/26-27/0274</v>
      </c>
      <c r="U104" s="35">
        <f>VLOOKUP(H104,'[1]MIS Sanjeev Auto'!$H$1:$U$168,14,0)</f>
        <v>46171</v>
      </c>
      <c r="V104" s="34" t="s">
        <v>28</v>
      </c>
      <c r="W104" s="34">
        <f t="shared" si="241"/>
        <v>3000</v>
      </c>
      <c r="X104" s="34" t="s">
        <v>36</v>
      </c>
      <c r="Y104" s="34" t="s">
        <v>29</v>
      </c>
      <c r="Z104" s="36">
        <f t="shared" si="242"/>
        <v>15.789473684210526</v>
      </c>
      <c r="AA104" s="34"/>
    </row>
    <row r="105" spans="1:27" ht="15.75" customHeight="1">
      <c r="A105" s="34">
        <f>SUBTOTAL(3,C$2:C105)</f>
        <v>104</v>
      </c>
      <c r="B105" s="34" t="s">
        <v>1086</v>
      </c>
      <c r="C105" s="37" t="s">
        <v>31</v>
      </c>
      <c r="D105" s="34" t="s">
        <v>32</v>
      </c>
      <c r="E105" s="34" t="s">
        <v>33</v>
      </c>
      <c r="F105" s="34" t="s">
        <v>255</v>
      </c>
      <c r="G105" s="34" t="s">
        <v>34</v>
      </c>
      <c r="H105" s="39" t="s">
        <v>1562</v>
      </c>
      <c r="I105" s="35">
        <v>46154</v>
      </c>
      <c r="J105" s="34">
        <f t="shared" ca="1" si="238"/>
        <v>30</v>
      </c>
      <c r="K105" s="34">
        <f t="shared" si="239"/>
        <v>46171</v>
      </c>
      <c r="L105" s="34" t="s">
        <v>397</v>
      </c>
      <c r="M105" s="34">
        <v>19000</v>
      </c>
      <c r="N105" s="34">
        <v>17000</v>
      </c>
      <c r="O105" s="35">
        <v>46155</v>
      </c>
      <c r="P105" s="34">
        <f t="shared" si="240"/>
        <v>2000</v>
      </c>
      <c r="Q105" s="17" t="s">
        <v>33</v>
      </c>
      <c r="R105" s="34" t="s">
        <v>61</v>
      </c>
      <c r="S105" s="34">
        <v>22000</v>
      </c>
      <c r="T105" s="34" t="str">
        <f>VLOOKUP(H105,'[1]MIS Sanjeev Auto'!$H$1:$T$168,13,0)</f>
        <v>VL/MH/26-27/0274</v>
      </c>
      <c r="U105" s="35">
        <f>VLOOKUP(H105,'[1]MIS Sanjeev Auto'!$H$1:$U$168,14,0)</f>
        <v>46171</v>
      </c>
      <c r="V105" s="34" t="s">
        <v>28</v>
      </c>
      <c r="W105" s="34">
        <f t="shared" si="241"/>
        <v>3000</v>
      </c>
      <c r="X105" s="34" t="s">
        <v>36</v>
      </c>
      <c r="Y105" s="34" t="s">
        <v>29</v>
      </c>
      <c r="Z105" s="36">
        <f t="shared" si="242"/>
        <v>15.789473684210526</v>
      </c>
      <c r="AA105" s="34"/>
    </row>
    <row r="106" spans="1:27" ht="15.75" customHeight="1">
      <c r="A106" s="34">
        <f>SUBTOTAL(3,C$2:C106)</f>
        <v>105</v>
      </c>
      <c r="B106" s="34" t="s">
        <v>1086</v>
      </c>
      <c r="C106" s="37" t="s">
        <v>44</v>
      </c>
      <c r="D106" s="34" t="s">
        <v>32</v>
      </c>
      <c r="E106" s="34" t="s">
        <v>33</v>
      </c>
      <c r="F106" s="34" t="s">
        <v>829</v>
      </c>
      <c r="G106" s="34" t="s">
        <v>607</v>
      </c>
      <c r="H106" s="39" t="s">
        <v>1563</v>
      </c>
      <c r="I106" s="35">
        <v>46155</v>
      </c>
      <c r="J106" s="34">
        <f t="shared" ca="1" si="238"/>
        <v>29</v>
      </c>
      <c r="K106" s="34">
        <f t="shared" si="239"/>
        <v>46171</v>
      </c>
      <c r="L106" s="34" t="s">
        <v>889</v>
      </c>
      <c r="M106" s="34">
        <v>33000</v>
      </c>
      <c r="N106" s="34">
        <v>30000</v>
      </c>
      <c r="O106" s="35">
        <v>46155</v>
      </c>
      <c r="P106" s="34">
        <f t="shared" si="240"/>
        <v>3000</v>
      </c>
      <c r="Q106" s="17" t="s">
        <v>33</v>
      </c>
      <c r="R106" s="34" t="s">
        <v>61</v>
      </c>
      <c r="S106" s="34">
        <v>38000</v>
      </c>
      <c r="T106" s="34" t="str">
        <f>VLOOKUP(H106,'[1]MIS Sanjeev Auto'!$H$1:$T$168,13,0)</f>
        <v>VL/MH/26-27/0271</v>
      </c>
      <c r="U106" s="35">
        <f>VLOOKUP(H106,'[1]MIS Sanjeev Auto'!$H$1:$U$168,14,0)</f>
        <v>46171</v>
      </c>
      <c r="V106" s="34" t="s">
        <v>28</v>
      </c>
      <c r="W106" s="34">
        <f t="shared" si="241"/>
        <v>5000</v>
      </c>
      <c r="X106" s="34" t="s">
        <v>36</v>
      </c>
      <c r="Y106" s="34" t="s">
        <v>29</v>
      </c>
      <c r="Z106" s="36">
        <f t="shared" si="242"/>
        <v>15.151515151515152</v>
      </c>
      <c r="AA106" s="34"/>
    </row>
    <row r="107" spans="1:27" ht="15.75" customHeight="1">
      <c r="A107" s="34">
        <f>SUBTOTAL(3,C$2:C107)</f>
        <v>106</v>
      </c>
      <c r="B107" s="34" t="s">
        <v>1086</v>
      </c>
      <c r="C107" s="37" t="s">
        <v>44</v>
      </c>
      <c r="D107" s="34" t="s">
        <v>32</v>
      </c>
      <c r="E107" s="34" t="s">
        <v>33</v>
      </c>
      <c r="F107" s="34" t="s">
        <v>1208</v>
      </c>
      <c r="G107" s="34" t="s">
        <v>46</v>
      </c>
      <c r="H107" s="39" t="s">
        <v>1564</v>
      </c>
      <c r="I107" s="35">
        <v>46154</v>
      </c>
      <c r="J107" s="34">
        <f t="shared" ref="J107" ca="1" si="243">+TODAY()-I107</f>
        <v>30</v>
      </c>
      <c r="K107" s="34">
        <f t="shared" ref="K107" si="244">+U107</f>
        <v>46171</v>
      </c>
      <c r="L107" s="34" t="s">
        <v>889</v>
      </c>
      <c r="M107" s="34">
        <v>19000</v>
      </c>
      <c r="N107" s="34">
        <v>17000</v>
      </c>
      <c r="O107" s="35">
        <v>46155</v>
      </c>
      <c r="P107" s="34">
        <f t="shared" ref="P107" si="245">+M107-N107</f>
        <v>2000</v>
      </c>
      <c r="Q107" s="17" t="s">
        <v>33</v>
      </c>
      <c r="R107" s="34" t="s">
        <v>61</v>
      </c>
      <c r="S107" s="34">
        <v>22000</v>
      </c>
      <c r="T107" s="34" t="str">
        <f>VLOOKUP(H107,'[1]MIS Sanjeev Auto'!$H$1:$T$168,13,0)</f>
        <v>VL/MH/26-27/0275</v>
      </c>
      <c r="U107" s="35">
        <f>VLOOKUP(H107,'[1]MIS Sanjeev Auto'!$H$1:$U$168,14,0)</f>
        <v>46171</v>
      </c>
      <c r="V107" s="34" t="s">
        <v>28</v>
      </c>
      <c r="W107" s="34">
        <f t="shared" ref="W107" si="246">+S107-M107</f>
        <v>3000</v>
      </c>
      <c r="X107" s="34" t="s">
        <v>36</v>
      </c>
      <c r="Y107" s="34" t="s">
        <v>29</v>
      </c>
      <c r="Z107" s="36">
        <f t="shared" ref="Z107" si="247">+W107*100/M107</f>
        <v>15.789473684210526</v>
      </c>
      <c r="AA107" s="34"/>
    </row>
    <row r="108" spans="1:27" ht="15.75" customHeight="1">
      <c r="A108" s="34">
        <f>SUBTOTAL(3,C$2:C108)</f>
        <v>107</v>
      </c>
      <c r="B108" s="34" t="s">
        <v>1086</v>
      </c>
      <c r="C108" s="37" t="s">
        <v>44</v>
      </c>
      <c r="D108" s="34" t="s">
        <v>32</v>
      </c>
      <c r="E108" s="34" t="s">
        <v>33</v>
      </c>
      <c r="F108" s="34" t="s">
        <v>1638</v>
      </c>
      <c r="G108" s="34" t="s">
        <v>46</v>
      </c>
      <c r="H108" s="39" t="s">
        <v>1657</v>
      </c>
      <c r="I108" s="35">
        <v>46155</v>
      </c>
      <c r="J108" s="34">
        <f t="shared" ref="J108:J109" ca="1" si="248">+TODAY()-I108</f>
        <v>29</v>
      </c>
      <c r="K108" s="34">
        <f t="shared" ref="K108:K109" si="249">+U108</f>
        <v>46171</v>
      </c>
      <c r="L108" s="34" t="s">
        <v>889</v>
      </c>
      <c r="M108" s="34">
        <v>19000</v>
      </c>
      <c r="N108" s="34">
        <v>17000</v>
      </c>
      <c r="O108" s="35">
        <v>46157</v>
      </c>
      <c r="P108" s="34">
        <f t="shared" ref="P108:P109" si="250">+M108-N108</f>
        <v>2000</v>
      </c>
      <c r="Q108" s="17" t="s">
        <v>33</v>
      </c>
      <c r="R108" s="34" t="s">
        <v>61</v>
      </c>
      <c r="S108" s="34">
        <v>22000</v>
      </c>
      <c r="T108" s="34" t="str">
        <f>VLOOKUP(H108,'[1]MIS Sanjeev Auto'!$H$1:$T$168,13,0)</f>
        <v>VL/MH/26-27/0275</v>
      </c>
      <c r="U108" s="35">
        <f>VLOOKUP(H108,'[1]MIS Sanjeev Auto'!$H$1:$U$168,14,0)</f>
        <v>46171</v>
      </c>
      <c r="V108" s="34" t="s">
        <v>28</v>
      </c>
      <c r="W108" s="34">
        <f t="shared" ref="W108:W109" si="251">+S108-M108</f>
        <v>3000</v>
      </c>
      <c r="X108" s="34" t="s">
        <v>36</v>
      </c>
      <c r="Y108" s="34" t="s">
        <v>29</v>
      </c>
      <c r="Z108" s="36">
        <f t="shared" ref="Z108:Z109" si="252">+W108*100/M108</f>
        <v>15.789473684210526</v>
      </c>
      <c r="AA108" s="34"/>
    </row>
    <row r="109" spans="1:27" ht="15.75" customHeight="1">
      <c r="A109" s="34">
        <f>SUBTOTAL(3,C$2:C109)</f>
        <v>108</v>
      </c>
      <c r="B109" s="34" t="s">
        <v>1086</v>
      </c>
      <c r="C109" s="37" t="s">
        <v>31</v>
      </c>
      <c r="D109" s="34" t="s">
        <v>32</v>
      </c>
      <c r="E109" s="34" t="s">
        <v>33</v>
      </c>
      <c r="F109" s="34" t="s">
        <v>1639</v>
      </c>
      <c r="G109" s="34" t="s">
        <v>34</v>
      </c>
      <c r="H109" s="39" t="s">
        <v>1658</v>
      </c>
      <c r="I109" s="35">
        <v>46155</v>
      </c>
      <c r="J109" s="34">
        <f t="shared" ca="1" si="248"/>
        <v>29</v>
      </c>
      <c r="K109" s="34">
        <f t="shared" si="249"/>
        <v>46171</v>
      </c>
      <c r="L109" s="34" t="s">
        <v>397</v>
      </c>
      <c r="M109" s="34">
        <v>19000</v>
      </c>
      <c r="N109" s="34">
        <v>17000</v>
      </c>
      <c r="O109" s="35">
        <v>46157</v>
      </c>
      <c r="P109" s="34">
        <f t="shared" si="250"/>
        <v>2000</v>
      </c>
      <c r="Q109" s="17" t="s">
        <v>33</v>
      </c>
      <c r="R109" s="34" t="s">
        <v>61</v>
      </c>
      <c r="S109" s="34">
        <v>22000</v>
      </c>
      <c r="T109" s="34" t="str">
        <f>VLOOKUP(H109,'[1]MIS Sanjeev Auto'!$H$1:$T$168,13,0)</f>
        <v>VL/MH/26-27/0275</v>
      </c>
      <c r="U109" s="35">
        <f>VLOOKUP(H109,'[1]MIS Sanjeev Auto'!$H$1:$U$168,14,0)</f>
        <v>46171</v>
      </c>
      <c r="V109" s="34" t="s">
        <v>28</v>
      </c>
      <c r="W109" s="34">
        <f t="shared" si="251"/>
        <v>3000</v>
      </c>
      <c r="X109" s="34" t="s">
        <v>36</v>
      </c>
      <c r="Y109" s="34" t="s">
        <v>29</v>
      </c>
      <c r="Z109" s="36">
        <f t="shared" si="252"/>
        <v>15.789473684210526</v>
      </c>
      <c r="AA109" s="34"/>
    </row>
    <row r="110" spans="1:27" ht="15.75" customHeight="1">
      <c r="A110" s="34">
        <f>SUBTOTAL(3,C$2:C110)</f>
        <v>109</v>
      </c>
      <c r="B110" s="34" t="s">
        <v>1086</v>
      </c>
      <c r="C110" s="37" t="s">
        <v>31</v>
      </c>
      <c r="D110" s="34" t="s">
        <v>32</v>
      </c>
      <c r="E110" s="34" t="s">
        <v>33</v>
      </c>
      <c r="F110" s="34" t="s">
        <v>1640</v>
      </c>
      <c r="G110" s="34" t="s">
        <v>34</v>
      </c>
      <c r="H110" s="39" t="s">
        <v>1659</v>
      </c>
      <c r="I110" s="35">
        <v>46156</v>
      </c>
      <c r="J110" s="34">
        <f t="shared" ref="J110" ca="1" si="253">+TODAY()-I110</f>
        <v>28</v>
      </c>
      <c r="K110" s="34">
        <f t="shared" ref="K110" si="254">+U110</f>
        <v>46171</v>
      </c>
      <c r="L110" s="34" t="s">
        <v>397</v>
      </c>
      <c r="M110" s="34">
        <v>19000</v>
      </c>
      <c r="N110" s="34">
        <v>17000</v>
      </c>
      <c r="O110" s="35">
        <v>46157</v>
      </c>
      <c r="P110" s="34">
        <f t="shared" ref="P110" si="255">+M110-N110</f>
        <v>2000</v>
      </c>
      <c r="Q110" s="17" t="s">
        <v>33</v>
      </c>
      <c r="R110" s="34" t="s">
        <v>61</v>
      </c>
      <c r="S110" s="34">
        <v>22000</v>
      </c>
      <c r="T110" s="34" t="str">
        <f>VLOOKUP(H110,'[1]MIS Sanjeev Auto'!$H$1:$T$168,13,0)</f>
        <v>VL/MH/26-27/0276</v>
      </c>
      <c r="U110" s="35">
        <f>VLOOKUP(H110,'[1]MIS Sanjeev Auto'!$H$1:$U$168,14,0)</f>
        <v>46171</v>
      </c>
      <c r="V110" s="34" t="s">
        <v>28</v>
      </c>
      <c r="W110" s="34">
        <f t="shared" ref="W110" si="256">+S110-M110</f>
        <v>3000</v>
      </c>
      <c r="X110" s="34" t="s">
        <v>36</v>
      </c>
      <c r="Y110" s="34" t="s">
        <v>29</v>
      </c>
      <c r="Z110" s="36">
        <f t="shared" ref="Z110" si="257">+W110*100/M110</f>
        <v>15.789473684210526</v>
      </c>
      <c r="AA110" s="34"/>
    </row>
    <row r="111" spans="1:27" ht="15.75" customHeight="1">
      <c r="A111" s="34">
        <f>SUBTOTAL(3,C$2:C111)</f>
        <v>110</v>
      </c>
      <c r="B111" s="34" t="s">
        <v>1086</v>
      </c>
      <c r="C111" s="37" t="s">
        <v>31</v>
      </c>
      <c r="D111" s="34" t="s">
        <v>32</v>
      </c>
      <c r="E111" s="34" t="s">
        <v>33</v>
      </c>
      <c r="F111" s="34" t="s">
        <v>574</v>
      </c>
      <c r="G111" s="34" t="s">
        <v>34</v>
      </c>
      <c r="H111" s="39" t="s">
        <v>1660</v>
      </c>
      <c r="I111" s="35">
        <v>46156</v>
      </c>
      <c r="J111" s="34">
        <f t="shared" ref="J111:J112" ca="1" si="258">+TODAY()-I111</f>
        <v>28</v>
      </c>
      <c r="K111" s="34" t="str">
        <f t="shared" ref="K111:K112" si="259">+U111</f>
        <v>Pending</v>
      </c>
      <c r="L111" s="34" t="s">
        <v>397</v>
      </c>
      <c r="M111" s="34">
        <v>19000</v>
      </c>
      <c r="N111" s="34">
        <v>17000</v>
      </c>
      <c r="O111" s="35">
        <v>46157</v>
      </c>
      <c r="P111" s="34">
        <f t="shared" ref="P111:P112" si="260">+M111-N111</f>
        <v>2000</v>
      </c>
      <c r="Q111" s="17" t="s">
        <v>33</v>
      </c>
      <c r="R111" s="34" t="s">
        <v>61</v>
      </c>
      <c r="S111" s="34">
        <v>22000</v>
      </c>
      <c r="T111" s="34" t="str">
        <f>VLOOKUP(H111,'[1]MIS Sanjeev Auto'!$H$1:$T$168,13,0)</f>
        <v>Pending</v>
      </c>
      <c r="U111" s="35" t="str">
        <f>VLOOKUP(H111,'[1]MIS Sanjeev Auto'!$H$1:$U$168,14,0)</f>
        <v>Pending</v>
      </c>
      <c r="V111" s="34" t="s">
        <v>28</v>
      </c>
      <c r="W111" s="34">
        <f t="shared" ref="W111:W112" si="261">+S111-M111</f>
        <v>3000</v>
      </c>
      <c r="X111" s="34" t="s">
        <v>36</v>
      </c>
      <c r="Y111" s="34" t="s">
        <v>29</v>
      </c>
      <c r="Z111" s="36">
        <f t="shared" ref="Z111:Z112" si="262">+W111*100/M111</f>
        <v>15.789473684210526</v>
      </c>
      <c r="AA111" s="34"/>
    </row>
    <row r="112" spans="1:27" ht="15.75" customHeight="1">
      <c r="A112" s="34">
        <f>SUBTOTAL(3,C$2:C112)</f>
        <v>111</v>
      </c>
      <c r="B112" s="34" t="s">
        <v>1086</v>
      </c>
      <c r="C112" s="37" t="s">
        <v>44</v>
      </c>
      <c r="D112" s="34" t="s">
        <v>32</v>
      </c>
      <c r="E112" s="34" t="s">
        <v>33</v>
      </c>
      <c r="F112" s="34" t="s">
        <v>126</v>
      </c>
      <c r="G112" s="34" t="s">
        <v>59</v>
      </c>
      <c r="H112" s="39" t="s">
        <v>1661</v>
      </c>
      <c r="I112" s="35">
        <v>46156</v>
      </c>
      <c r="J112" s="34">
        <f t="shared" ca="1" si="258"/>
        <v>28</v>
      </c>
      <c r="K112" s="34">
        <f t="shared" si="259"/>
        <v>46171</v>
      </c>
      <c r="L112" s="34" t="s">
        <v>889</v>
      </c>
      <c r="M112" s="34">
        <v>39000</v>
      </c>
      <c r="N112" s="34">
        <v>35000</v>
      </c>
      <c r="O112" s="35">
        <v>46157</v>
      </c>
      <c r="P112" s="34">
        <f t="shared" si="260"/>
        <v>4000</v>
      </c>
      <c r="Q112" s="17" t="s">
        <v>33</v>
      </c>
      <c r="R112" s="34" t="s">
        <v>61</v>
      </c>
      <c r="S112" s="34">
        <v>46000</v>
      </c>
      <c r="T112" s="34" t="str">
        <f>VLOOKUP(H112,'[1]MIS Sanjeev Auto'!$H$1:$T$168,13,0)</f>
        <v>VL/MH/26-27/0270</v>
      </c>
      <c r="U112" s="35">
        <f>VLOOKUP(H112,'[1]MIS Sanjeev Auto'!$H$1:$U$168,14,0)</f>
        <v>46171</v>
      </c>
      <c r="V112" s="34" t="s">
        <v>28</v>
      </c>
      <c r="W112" s="34">
        <f t="shared" si="261"/>
        <v>7000</v>
      </c>
      <c r="X112" s="34" t="s">
        <v>36</v>
      </c>
      <c r="Y112" s="34" t="s">
        <v>29</v>
      </c>
      <c r="Z112" s="36">
        <f t="shared" si="262"/>
        <v>17.948717948717949</v>
      </c>
      <c r="AA112" s="34"/>
    </row>
    <row r="113" spans="1:27" ht="15.75" customHeight="1">
      <c r="A113" s="34">
        <f>SUBTOTAL(3,C$2:C113)</f>
        <v>112</v>
      </c>
      <c r="B113" s="34" t="s">
        <v>1086</v>
      </c>
      <c r="C113" s="37" t="s">
        <v>44</v>
      </c>
      <c r="D113" s="34" t="s">
        <v>32</v>
      </c>
      <c r="E113" s="34" t="s">
        <v>33</v>
      </c>
      <c r="F113" s="34" t="s">
        <v>126</v>
      </c>
      <c r="G113" s="34" t="s">
        <v>59</v>
      </c>
      <c r="H113" s="39" t="s">
        <v>1762</v>
      </c>
      <c r="I113" s="35">
        <v>46149</v>
      </c>
      <c r="J113" s="34">
        <f t="shared" ref="J113" ca="1" si="263">+TODAY()-I113</f>
        <v>35</v>
      </c>
      <c r="K113" s="34" t="str">
        <f t="shared" ref="K113" si="264">+U113</f>
        <v>Pending</v>
      </c>
      <c r="L113" s="34" t="s">
        <v>705</v>
      </c>
      <c r="M113" s="34">
        <v>27500</v>
      </c>
      <c r="N113" s="34">
        <v>24500</v>
      </c>
      <c r="O113" s="35">
        <v>46158</v>
      </c>
      <c r="P113" s="34">
        <f t="shared" ref="P113" si="265">+M113-N113</f>
        <v>3000</v>
      </c>
      <c r="Q113" s="17" t="s">
        <v>33</v>
      </c>
      <c r="R113" s="34" t="s">
        <v>61</v>
      </c>
      <c r="S113" s="34">
        <v>32000</v>
      </c>
      <c r="T113" s="34" t="str">
        <f>VLOOKUP(H113,'[1]MIS Sanjeev Auto'!$H$1:$T$168,13,0)</f>
        <v>Pending</v>
      </c>
      <c r="U113" s="35" t="str">
        <f>VLOOKUP(H113,'[1]MIS Sanjeev Auto'!$H$1:$U$168,14,0)</f>
        <v>Pending</v>
      </c>
      <c r="V113" s="34" t="s">
        <v>28</v>
      </c>
      <c r="W113" s="34">
        <f t="shared" ref="W113" si="266">+S113-M113</f>
        <v>4500</v>
      </c>
      <c r="X113" s="34" t="s">
        <v>36</v>
      </c>
      <c r="Y113" s="34" t="s">
        <v>29</v>
      </c>
      <c r="Z113" s="36">
        <f t="shared" ref="Z113" si="267">+W113*100/M113</f>
        <v>16.363636363636363</v>
      </c>
      <c r="AA113" s="34"/>
    </row>
    <row r="114" spans="1:27" ht="15.75" customHeight="1">
      <c r="A114" s="34">
        <f>SUBTOTAL(3,C$2:C114)</f>
        <v>113</v>
      </c>
      <c r="B114" s="34" t="s">
        <v>1086</v>
      </c>
      <c r="C114" s="37" t="s">
        <v>44</v>
      </c>
      <c r="D114" s="34" t="s">
        <v>32</v>
      </c>
      <c r="E114" s="34" t="s">
        <v>33</v>
      </c>
      <c r="F114" s="34" t="s">
        <v>613</v>
      </c>
      <c r="G114" s="34" t="s">
        <v>59</v>
      </c>
      <c r="H114" s="55" t="s">
        <v>1763</v>
      </c>
      <c r="I114" s="35">
        <v>46150</v>
      </c>
      <c r="J114" s="34">
        <f t="shared" ref="J114" ca="1" si="268">+TODAY()-I114</f>
        <v>34</v>
      </c>
      <c r="K114" s="34" t="str">
        <f t="shared" ref="K114" si="269">+U114</f>
        <v>Pending</v>
      </c>
      <c r="L114" s="34" t="s">
        <v>705</v>
      </c>
      <c r="M114" s="34">
        <v>27500</v>
      </c>
      <c r="N114" s="34">
        <v>24500</v>
      </c>
      <c r="O114" s="35">
        <v>46158</v>
      </c>
      <c r="P114" s="34">
        <f t="shared" ref="P114" si="270">+M114-N114</f>
        <v>3000</v>
      </c>
      <c r="Q114" s="17" t="s">
        <v>33</v>
      </c>
      <c r="R114" s="34" t="s">
        <v>61</v>
      </c>
      <c r="S114" s="34">
        <v>32000</v>
      </c>
      <c r="T114" s="34" t="str">
        <f>VLOOKUP(H114,'[1]MIS Sanjeev Auto'!$H$1:$T$168,13,0)</f>
        <v>Pending</v>
      </c>
      <c r="U114" s="35" t="str">
        <f>VLOOKUP(H114,'[1]MIS Sanjeev Auto'!$H$1:$U$168,14,0)</f>
        <v>Pending</v>
      </c>
      <c r="V114" s="34" t="s">
        <v>28</v>
      </c>
      <c r="W114" s="34">
        <f t="shared" ref="W114" si="271">+S114-M114</f>
        <v>4500</v>
      </c>
      <c r="X114" s="34" t="s">
        <v>36</v>
      </c>
      <c r="Y114" s="34" t="s">
        <v>29</v>
      </c>
      <c r="Z114" s="36">
        <f t="shared" ref="Z114" si="272">+W114*100/M114</f>
        <v>16.363636363636363</v>
      </c>
      <c r="AA114" s="34"/>
    </row>
    <row r="115" spans="1:27" ht="15.75" customHeight="1">
      <c r="A115" s="34">
        <f>SUBTOTAL(3,C$2:C115)</f>
        <v>114</v>
      </c>
      <c r="B115" s="34" t="s">
        <v>1086</v>
      </c>
      <c r="C115" s="37" t="s">
        <v>44</v>
      </c>
      <c r="D115" s="34" t="s">
        <v>32</v>
      </c>
      <c r="E115" s="34" t="s">
        <v>33</v>
      </c>
      <c r="F115" s="34" t="s">
        <v>645</v>
      </c>
      <c r="G115" s="34" t="s">
        <v>59</v>
      </c>
      <c r="H115" s="39" t="s">
        <v>1764</v>
      </c>
      <c r="I115" s="35">
        <v>46152</v>
      </c>
      <c r="J115" s="34">
        <f t="shared" ref="J115" ca="1" si="273">+TODAY()-I115</f>
        <v>32</v>
      </c>
      <c r="K115" s="34" t="str">
        <f t="shared" ref="K115" si="274">+U115</f>
        <v>Pending</v>
      </c>
      <c r="L115" s="34" t="s">
        <v>705</v>
      </c>
      <c r="M115" s="34">
        <v>27500</v>
      </c>
      <c r="N115" s="34">
        <v>24500</v>
      </c>
      <c r="O115" s="35">
        <v>46158</v>
      </c>
      <c r="P115" s="34">
        <f t="shared" ref="P115" si="275">+M115-N115</f>
        <v>3000</v>
      </c>
      <c r="Q115" s="17" t="s">
        <v>33</v>
      </c>
      <c r="R115" s="34" t="s">
        <v>61</v>
      </c>
      <c r="S115" s="34">
        <v>32000</v>
      </c>
      <c r="T115" s="34" t="str">
        <f>VLOOKUP(H115,'[1]MIS Sanjeev Auto'!$H$1:$T$168,13,0)</f>
        <v>Pending</v>
      </c>
      <c r="U115" s="35" t="str">
        <f>VLOOKUP(H115,'[1]MIS Sanjeev Auto'!$H$1:$U$168,14,0)</f>
        <v>Pending</v>
      </c>
      <c r="V115" s="34" t="s">
        <v>28</v>
      </c>
      <c r="W115" s="34">
        <f t="shared" ref="W115" si="276">+S115-M115</f>
        <v>4500</v>
      </c>
      <c r="X115" s="34" t="s">
        <v>36</v>
      </c>
      <c r="Y115" s="34" t="s">
        <v>29</v>
      </c>
      <c r="Z115" s="36">
        <f t="shared" ref="Z115" si="277">+W115*100/M115</f>
        <v>16.363636363636363</v>
      </c>
      <c r="AA115" s="34"/>
    </row>
    <row r="116" spans="1:27" ht="15.75" customHeight="1">
      <c r="A116" s="34">
        <f>SUBTOTAL(3,C$2:C116)</f>
        <v>115</v>
      </c>
      <c r="B116" s="34" t="s">
        <v>1086</v>
      </c>
      <c r="C116" s="37" t="s">
        <v>44</v>
      </c>
      <c r="D116" s="34" t="s">
        <v>32</v>
      </c>
      <c r="E116" s="34" t="s">
        <v>33</v>
      </c>
      <c r="F116" s="34" t="s">
        <v>1671</v>
      </c>
      <c r="G116" s="34" t="s">
        <v>59</v>
      </c>
      <c r="H116" s="39" t="s">
        <v>1765</v>
      </c>
      <c r="I116" s="35">
        <v>46154</v>
      </c>
      <c r="J116" s="34">
        <f t="shared" ref="J116" ca="1" si="278">+TODAY()-I116</f>
        <v>30</v>
      </c>
      <c r="K116" s="34" t="str">
        <f t="shared" ref="K116" si="279">+U116</f>
        <v>Pending</v>
      </c>
      <c r="L116" s="34" t="s">
        <v>705</v>
      </c>
      <c r="M116" s="34">
        <v>27500</v>
      </c>
      <c r="N116" s="34">
        <v>24500</v>
      </c>
      <c r="O116" s="35">
        <v>46158</v>
      </c>
      <c r="P116" s="34">
        <f t="shared" ref="P116" si="280">+M116-N116</f>
        <v>3000</v>
      </c>
      <c r="Q116" s="17" t="s">
        <v>33</v>
      </c>
      <c r="R116" s="34" t="s">
        <v>61</v>
      </c>
      <c r="S116" s="34">
        <v>32000</v>
      </c>
      <c r="T116" s="34" t="str">
        <f>VLOOKUP(H116,'[1]MIS Sanjeev Auto'!$H$1:$T$168,13,0)</f>
        <v>Pending</v>
      </c>
      <c r="U116" s="35" t="str">
        <f>VLOOKUP(H116,'[1]MIS Sanjeev Auto'!$H$1:$U$168,14,0)</f>
        <v>Pending</v>
      </c>
      <c r="V116" s="34" t="s">
        <v>28</v>
      </c>
      <c r="W116" s="34">
        <f t="shared" ref="W116" si="281">+S116-M116</f>
        <v>4500</v>
      </c>
      <c r="X116" s="34" t="s">
        <v>36</v>
      </c>
      <c r="Y116" s="34" t="s">
        <v>29</v>
      </c>
      <c r="Z116" s="36">
        <f t="shared" ref="Z116" si="282">+W116*100/M116</f>
        <v>16.363636363636363</v>
      </c>
      <c r="AA116" s="34"/>
    </row>
    <row r="117" spans="1:27" ht="15.75" customHeight="1">
      <c r="A117" s="34">
        <f>SUBTOTAL(3,C$2:C117)</f>
        <v>116</v>
      </c>
      <c r="B117" s="34" t="s">
        <v>1086</v>
      </c>
      <c r="C117" s="37" t="s">
        <v>44</v>
      </c>
      <c r="D117" s="34" t="s">
        <v>32</v>
      </c>
      <c r="E117" s="34" t="s">
        <v>33</v>
      </c>
      <c r="F117" s="34" t="s">
        <v>1672</v>
      </c>
      <c r="G117" s="34" t="s">
        <v>59</v>
      </c>
      <c r="H117" s="39" t="s">
        <v>1766</v>
      </c>
      <c r="I117" s="35">
        <v>46147</v>
      </c>
      <c r="J117" s="34">
        <f t="shared" ref="J117:J118" ca="1" si="283">+TODAY()-I117</f>
        <v>37</v>
      </c>
      <c r="K117" s="34" t="str">
        <f t="shared" ref="K117:K118" si="284">+U117</f>
        <v>Pending</v>
      </c>
      <c r="L117" s="34" t="s">
        <v>705</v>
      </c>
      <c r="M117" s="34">
        <v>27500</v>
      </c>
      <c r="N117" s="34">
        <v>24500</v>
      </c>
      <c r="O117" s="35">
        <v>46158</v>
      </c>
      <c r="P117" s="34">
        <f t="shared" ref="P117:P118" si="285">+M117-N117</f>
        <v>3000</v>
      </c>
      <c r="Q117" s="17" t="s">
        <v>33</v>
      </c>
      <c r="R117" s="34" t="s">
        <v>61</v>
      </c>
      <c r="S117" s="34">
        <v>32000</v>
      </c>
      <c r="T117" s="34" t="str">
        <f>VLOOKUP(H117,'[1]MIS Sanjeev Auto'!$H$1:$T$168,13,0)</f>
        <v>Pending</v>
      </c>
      <c r="U117" s="35" t="str">
        <f>VLOOKUP(H117,'[1]MIS Sanjeev Auto'!$H$1:$U$168,14,0)</f>
        <v>Pending</v>
      </c>
      <c r="V117" s="34" t="s">
        <v>28</v>
      </c>
      <c r="W117" s="34">
        <f t="shared" ref="W117:W118" si="286">+S117-M117</f>
        <v>4500</v>
      </c>
      <c r="X117" s="34" t="s">
        <v>36</v>
      </c>
      <c r="Y117" s="34" t="s">
        <v>29</v>
      </c>
      <c r="Z117" s="36">
        <f t="shared" ref="Z117:Z118" si="287">+W117*100/M117</f>
        <v>16.363636363636363</v>
      </c>
      <c r="AA117" s="34"/>
    </row>
    <row r="118" spans="1:27" ht="15.75" customHeight="1">
      <c r="A118" s="34">
        <f>SUBTOTAL(3,C$2:C118)</f>
        <v>117</v>
      </c>
      <c r="B118" s="34" t="s">
        <v>1086</v>
      </c>
      <c r="C118" s="37" t="s">
        <v>31</v>
      </c>
      <c r="D118" s="34" t="s">
        <v>32</v>
      </c>
      <c r="E118" s="34" t="s">
        <v>33</v>
      </c>
      <c r="F118" s="34" t="s">
        <v>254</v>
      </c>
      <c r="G118" s="34" t="s">
        <v>34</v>
      </c>
      <c r="H118" s="39" t="s">
        <v>1767</v>
      </c>
      <c r="I118" s="35">
        <v>46157</v>
      </c>
      <c r="J118" s="34">
        <f t="shared" ca="1" si="283"/>
        <v>27</v>
      </c>
      <c r="K118" s="34">
        <f t="shared" si="284"/>
        <v>46171</v>
      </c>
      <c r="L118" s="34" t="s">
        <v>397</v>
      </c>
      <c r="M118" s="34">
        <v>19000</v>
      </c>
      <c r="N118" s="34">
        <v>17000</v>
      </c>
      <c r="O118" s="35">
        <v>46159</v>
      </c>
      <c r="P118" s="34">
        <f t="shared" si="285"/>
        <v>2000</v>
      </c>
      <c r="Q118" s="17" t="s">
        <v>33</v>
      </c>
      <c r="R118" s="34" t="s">
        <v>61</v>
      </c>
      <c r="S118" s="34">
        <v>22000</v>
      </c>
      <c r="T118" s="34" t="str">
        <f>VLOOKUP(H118,'[1]MIS Sanjeev Auto'!$H$1:$T$168,13,0)</f>
        <v>VL/MH/26-27/0276</v>
      </c>
      <c r="U118" s="35">
        <f>VLOOKUP(H118,'[1]MIS Sanjeev Auto'!$H$1:$U$168,14,0)</f>
        <v>46171</v>
      </c>
      <c r="V118" s="34" t="s">
        <v>28</v>
      </c>
      <c r="W118" s="34">
        <f t="shared" si="286"/>
        <v>3000</v>
      </c>
      <c r="X118" s="34" t="s">
        <v>36</v>
      </c>
      <c r="Y118" s="34" t="s">
        <v>29</v>
      </c>
      <c r="Z118" s="36">
        <f t="shared" si="287"/>
        <v>15.789473684210526</v>
      </c>
      <c r="AA118" s="34"/>
    </row>
    <row r="119" spans="1:27" ht="15.75" customHeight="1">
      <c r="A119" s="34">
        <f>SUBTOTAL(3,C$2:C119)</f>
        <v>118</v>
      </c>
      <c r="B119" s="34" t="s">
        <v>1086</v>
      </c>
      <c r="C119" s="37" t="s">
        <v>31</v>
      </c>
      <c r="D119" s="34" t="s">
        <v>32</v>
      </c>
      <c r="E119" s="34" t="s">
        <v>33</v>
      </c>
      <c r="F119" s="34" t="s">
        <v>201</v>
      </c>
      <c r="G119" s="34" t="s">
        <v>34</v>
      </c>
      <c r="H119" s="39" t="s">
        <v>1769</v>
      </c>
      <c r="I119" s="35">
        <v>46157</v>
      </c>
      <c r="J119" s="34">
        <f t="shared" ref="J119" ca="1" si="288">+TODAY()-I119</f>
        <v>27</v>
      </c>
      <c r="K119" s="34">
        <f t="shared" ref="K119" si="289">+U119</f>
        <v>46171</v>
      </c>
      <c r="L119" s="34" t="s">
        <v>397</v>
      </c>
      <c r="M119" s="34">
        <v>19000</v>
      </c>
      <c r="N119" s="34">
        <v>17000</v>
      </c>
      <c r="O119" s="35">
        <v>46159</v>
      </c>
      <c r="P119" s="34">
        <f t="shared" ref="P119" si="290">+M119-N119</f>
        <v>2000</v>
      </c>
      <c r="Q119" s="17" t="s">
        <v>33</v>
      </c>
      <c r="R119" s="34" t="s">
        <v>61</v>
      </c>
      <c r="S119" s="34">
        <v>22000</v>
      </c>
      <c r="T119" s="34" t="str">
        <f>VLOOKUP(H119,'[1]MIS Sanjeev Auto'!$H$1:$T$168,13,0)</f>
        <v>VL/MH/26-27/0276</v>
      </c>
      <c r="U119" s="35">
        <f>VLOOKUP(H119,'[1]MIS Sanjeev Auto'!$H$1:$U$168,14,0)</f>
        <v>46171</v>
      </c>
      <c r="V119" s="34" t="s">
        <v>28</v>
      </c>
      <c r="W119" s="34">
        <f t="shared" ref="W119" si="291">+S119-M119</f>
        <v>3000</v>
      </c>
      <c r="X119" s="34" t="s">
        <v>36</v>
      </c>
      <c r="Y119" s="34" t="s">
        <v>29</v>
      </c>
      <c r="Z119" s="36">
        <f t="shared" ref="Z119" si="292">+W119*100/M119</f>
        <v>15.789473684210526</v>
      </c>
      <c r="AA119" s="34"/>
    </row>
    <row r="120" spans="1:27" ht="15.75" customHeight="1">
      <c r="A120" s="34">
        <f>SUBTOTAL(3,C$2:C120)</f>
        <v>119</v>
      </c>
      <c r="B120" s="34" t="s">
        <v>1086</v>
      </c>
      <c r="C120" s="37" t="s">
        <v>44</v>
      </c>
      <c r="D120" s="34" t="s">
        <v>32</v>
      </c>
      <c r="E120" s="34" t="s">
        <v>33</v>
      </c>
      <c r="F120" s="34" t="s">
        <v>83</v>
      </c>
      <c r="G120" s="34" t="s">
        <v>607</v>
      </c>
      <c r="H120" s="39" t="s">
        <v>1770</v>
      </c>
      <c r="I120" s="35">
        <v>46157</v>
      </c>
      <c r="J120" s="34">
        <f t="shared" ref="J120:J121" ca="1" si="293">+TODAY()-I120</f>
        <v>27</v>
      </c>
      <c r="K120" s="34" t="str">
        <f t="shared" ref="K120:K121" si="294">+U120</f>
        <v>Pending</v>
      </c>
      <c r="L120" s="34" t="s">
        <v>127</v>
      </c>
      <c r="M120" s="34">
        <v>33000</v>
      </c>
      <c r="N120" s="34">
        <v>30000</v>
      </c>
      <c r="O120" s="35">
        <v>46159</v>
      </c>
      <c r="P120" s="34">
        <f t="shared" ref="P120:P121" si="295">+M120-N120</f>
        <v>3000</v>
      </c>
      <c r="Q120" s="17" t="s">
        <v>33</v>
      </c>
      <c r="R120" s="34" t="s">
        <v>61</v>
      </c>
      <c r="S120" s="34">
        <v>38000</v>
      </c>
      <c r="T120" s="34" t="str">
        <f>VLOOKUP(H120,'[1]MIS Sanjeev Auto'!$H$1:$T$168,13,0)</f>
        <v>Pending</v>
      </c>
      <c r="U120" s="35" t="str">
        <f>VLOOKUP(H120,'[1]MIS Sanjeev Auto'!$H$1:$U$168,14,0)</f>
        <v>Pending</v>
      </c>
      <c r="V120" s="34" t="s">
        <v>28</v>
      </c>
      <c r="W120" s="34">
        <f t="shared" ref="W120:W121" si="296">+S120-M120</f>
        <v>5000</v>
      </c>
      <c r="X120" s="34" t="s">
        <v>36</v>
      </c>
      <c r="Y120" s="34" t="s">
        <v>29</v>
      </c>
      <c r="Z120" s="36">
        <f t="shared" ref="Z120:Z121" si="297">+W120*100/M120</f>
        <v>15.151515151515152</v>
      </c>
      <c r="AA120" s="34"/>
    </row>
    <row r="121" spans="1:27" ht="15.75" customHeight="1">
      <c r="A121" s="34">
        <f>SUBTOTAL(3,C$2:C121)</f>
        <v>120</v>
      </c>
      <c r="B121" s="34" t="s">
        <v>1086</v>
      </c>
      <c r="C121" s="37" t="s">
        <v>57</v>
      </c>
      <c r="D121" s="34" t="s">
        <v>32</v>
      </c>
      <c r="E121" s="34" t="s">
        <v>33</v>
      </c>
      <c r="F121" s="34" t="s">
        <v>304</v>
      </c>
      <c r="G121" s="34" t="s">
        <v>607</v>
      </c>
      <c r="H121" s="39" t="s">
        <v>1771</v>
      </c>
      <c r="I121" s="35">
        <v>46158</v>
      </c>
      <c r="J121" s="34">
        <f t="shared" ca="1" si="293"/>
        <v>26</v>
      </c>
      <c r="K121" s="34" t="str">
        <f t="shared" si="294"/>
        <v>Pending</v>
      </c>
      <c r="L121" s="34" t="s">
        <v>1042</v>
      </c>
      <c r="M121" s="34">
        <v>33000</v>
      </c>
      <c r="N121" s="34">
        <v>30000</v>
      </c>
      <c r="O121" s="35">
        <v>46159</v>
      </c>
      <c r="P121" s="34">
        <f t="shared" si="295"/>
        <v>3000</v>
      </c>
      <c r="Q121" s="17" t="s">
        <v>33</v>
      </c>
      <c r="R121" s="34" t="s">
        <v>61</v>
      </c>
      <c r="S121" s="34">
        <v>38000</v>
      </c>
      <c r="T121" s="34" t="str">
        <f>VLOOKUP(H121,'[1]MIS Sanjeev Auto'!$H$1:$T$168,13,0)</f>
        <v>Pending</v>
      </c>
      <c r="U121" s="35" t="str">
        <f>VLOOKUP(H121,'[1]MIS Sanjeev Auto'!$H$1:$U$168,14,0)</f>
        <v>Pending</v>
      </c>
      <c r="V121" s="34" t="s">
        <v>28</v>
      </c>
      <c r="W121" s="34">
        <f t="shared" si="296"/>
        <v>5000</v>
      </c>
      <c r="X121" s="34" t="s">
        <v>36</v>
      </c>
      <c r="Y121" s="34" t="s">
        <v>29</v>
      </c>
      <c r="Z121" s="36">
        <f t="shared" si="297"/>
        <v>15.151515151515152</v>
      </c>
      <c r="AA121" s="34"/>
    </row>
    <row r="122" spans="1:27" ht="15.75" customHeight="1">
      <c r="A122" s="34">
        <f>SUBTOTAL(3,C$2:C122)</f>
        <v>121</v>
      </c>
      <c r="B122" s="34" t="s">
        <v>1086</v>
      </c>
      <c r="C122" s="37" t="s">
        <v>44</v>
      </c>
      <c r="D122" s="34" t="s">
        <v>32</v>
      </c>
      <c r="E122" s="34" t="s">
        <v>33</v>
      </c>
      <c r="F122" s="34" t="s">
        <v>126</v>
      </c>
      <c r="G122" s="34" t="s">
        <v>314</v>
      </c>
      <c r="H122" s="39" t="s">
        <v>1768</v>
      </c>
      <c r="I122" s="35">
        <v>46158</v>
      </c>
      <c r="J122" s="34">
        <f t="shared" ref="J122:J123" ca="1" si="298">+TODAY()-I122</f>
        <v>26</v>
      </c>
      <c r="K122" s="34" t="str">
        <f t="shared" ref="K122:K123" si="299">+U122</f>
        <v>Pending</v>
      </c>
      <c r="L122" s="34" t="s">
        <v>705</v>
      </c>
      <c r="M122" s="34">
        <v>27500</v>
      </c>
      <c r="N122" s="34">
        <v>24500</v>
      </c>
      <c r="O122" s="35">
        <v>46160</v>
      </c>
      <c r="P122" s="34">
        <f t="shared" ref="P122:P123" si="300">+M122-N122</f>
        <v>3000</v>
      </c>
      <c r="Q122" s="17" t="s">
        <v>33</v>
      </c>
      <c r="R122" s="34" t="s">
        <v>61</v>
      </c>
      <c r="S122" s="34">
        <v>32000</v>
      </c>
      <c r="T122" s="34" t="str">
        <f>VLOOKUP(H122,'[1]MIS Sanjeev Auto'!$H$1:$T$168,13,0)</f>
        <v>Pending</v>
      </c>
      <c r="U122" s="35" t="str">
        <f>VLOOKUP(H122,'[1]MIS Sanjeev Auto'!$H$1:$U$168,14,0)</f>
        <v>Pending</v>
      </c>
      <c r="V122" s="34" t="s">
        <v>28</v>
      </c>
      <c r="W122" s="34">
        <f t="shared" ref="W122:W123" si="301">+S122-M122</f>
        <v>4500</v>
      </c>
      <c r="X122" s="34" t="s">
        <v>36</v>
      </c>
      <c r="Y122" s="34" t="s">
        <v>29</v>
      </c>
      <c r="Z122" s="36">
        <f t="shared" ref="Z122:Z123" si="302">+W122*100/M122</f>
        <v>16.363636363636363</v>
      </c>
      <c r="AA122" s="34"/>
    </row>
    <row r="123" spans="1:27" ht="15.75" customHeight="1">
      <c r="A123" s="34">
        <f>SUBTOTAL(3,C$2:C123)</f>
        <v>122</v>
      </c>
      <c r="B123" s="34" t="s">
        <v>1086</v>
      </c>
      <c r="C123" s="37" t="s">
        <v>31</v>
      </c>
      <c r="D123" s="34" t="s">
        <v>32</v>
      </c>
      <c r="E123" s="34" t="s">
        <v>33</v>
      </c>
      <c r="F123" s="34" t="s">
        <v>255</v>
      </c>
      <c r="G123" s="34" t="s">
        <v>34</v>
      </c>
      <c r="H123" s="39" t="s">
        <v>1798</v>
      </c>
      <c r="I123" s="35">
        <v>46158</v>
      </c>
      <c r="J123" s="34">
        <f t="shared" ca="1" si="298"/>
        <v>26</v>
      </c>
      <c r="K123" s="34">
        <f t="shared" si="299"/>
        <v>46171</v>
      </c>
      <c r="L123" s="34" t="s">
        <v>397</v>
      </c>
      <c r="M123" s="34">
        <v>19000</v>
      </c>
      <c r="N123" s="34">
        <v>17000</v>
      </c>
      <c r="O123" s="35">
        <v>46160</v>
      </c>
      <c r="P123" s="34">
        <f t="shared" si="300"/>
        <v>2000</v>
      </c>
      <c r="Q123" s="17" t="s">
        <v>33</v>
      </c>
      <c r="R123" s="34" t="s">
        <v>61</v>
      </c>
      <c r="S123" s="34">
        <v>22000</v>
      </c>
      <c r="T123" s="34" t="str">
        <f>VLOOKUP(H123,'[1]MIS Sanjeev Auto'!$H$1:$T$168,13,0)</f>
        <v>VL/MH/26-27/0277</v>
      </c>
      <c r="U123" s="35">
        <f>VLOOKUP(H123,'[1]MIS Sanjeev Auto'!$H$1:$U$168,14,0)</f>
        <v>46171</v>
      </c>
      <c r="V123" s="34" t="s">
        <v>28</v>
      </c>
      <c r="W123" s="34">
        <f t="shared" si="301"/>
        <v>3000</v>
      </c>
      <c r="X123" s="34" t="s">
        <v>36</v>
      </c>
      <c r="Y123" s="34" t="s">
        <v>29</v>
      </c>
      <c r="Z123" s="36">
        <f t="shared" si="302"/>
        <v>15.789473684210526</v>
      </c>
      <c r="AA123" s="34"/>
    </row>
    <row r="124" spans="1:27" ht="15.75" customHeight="1">
      <c r="A124" s="34">
        <f>SUBTOTAL(3,C$2:C124)</f>
        <v>123</v>
      </c>
      <c r="B124" s="34" t="s">
        <v>1086</v>
      </c>
      <c r="C124" s="37" t="s">
        <v>44</v>
      </c>
      <c r="D124" s="34" t="s">
        <v>32</v>
      </c>
      <c r="E124" s="34" t="s">
        <v>33</v>
      </c>
      <c r="F124" s="34" t="s">
        <v>378</v>
      </c>
      <c r="G124" s="34" t="s">
        <v>46</v>
      </c>
      <c r="H124" s="39" t="s">
        <v>1799</v>
      </c>
      <c r="I124" s="35">
        <v>46158</v>
      </c>
      <c r="J124" s="34">
        <f t="shared" ref="J124" ca="1" si="303">+TODAY()-I124</f>
        <v>26</v>
      </c>
      <c r="K124" s="34">
        <f t="shared" ref="K124" si="304">+U124</f>
        <v>46171</v>
      </c>
      <c r="L124" s="34" t="s">
        <v>1641</v>
      </c>
      <c r="M124" s="34">
        <v>19000</v>
      </c>
      <c r="N124" s="34">
        <v>17000</v>
      </c>
      <c r="O124" s="35">
        <v>46160</v>
      </c>
      <c r="P124" s="34">
        <f t="shared" ref="P124" si="305">+M124-N124</f>
        <v>2000</v>
      </c>
      <c r="Q124" s="17" t="s">
        <v>33</v>
      </c>
      <c r="R124" s="34" t="s">
        <v>61</v>
      </c>
      <c r="S124" s="34">
        <v>22000</v>
      </c>
      <c r="T124" s="34" t="str">
        <f>VLOOKUP(H124,'[1]MIS Sanjeev Auto'!$H$1:$T$168,13,0)</f>
        <v>VL/MH/26-27/0277</v>
      </c>
      <c r="U124" s="35">
        <f>VLOOKUP(H124,'[1]MIS Sanjeev Auto'!$H$1:$U$168,14,0)</f>
        <v>46171</v>
      </c>
      <c r="V124" s="34" t="s">
        <v>28</v>
      </c>
      <c r="W124" s="34">
        <f t="shared" ref="W124" si="306">+S124-M124</f>
        <v>3000</v>
      </c>
      <c r="X124" s="34" t="s">
        <v>36</v>
      </c>
      <c r="Y124" s="34" t="s">
        <v>29</v>
      </c>
      <c r="Z124" s="36">
        <f t="shared" ref="Z124" si="307">+W124*100/M124</f>
        <v>15.789473684210526</v>
      </c>
      <c r="AA124" s="34"/>
    </row>
    <row r="125" spans="1:27" ht="15.75" customHeight="1">
      <c r="A125" s="34">
        <f>SUBTOTAL(3,C$2:C125)</f>
        <v>124</v>
      </c>
      <c r="B125" s="34" t="s">
        <v>1086</v>
      </c>
      <c r="C125" s="37" t="s">
        <v>57</v>
      </c>
      <c r="D125" s="34" t="s">
        <v>32</v>
      </c>
      <c r="E125" s="34" t="s">
        <v>33</v>
      </c>
      <c r="F125" s="34" t="s">
        <v>120</v>
      </c>
      <c r="G125" s="34" t="s">
        <v>59</v>
      </c>
      <c r="H125" s="39" t="s">
        <v>1978</v>
      </c>
      <c r="I125" s="35">
        <v>46158</v>
      </c>
      <c r="J125" s="34">
        <f t="shared" ref="J125:J126" ca="1" si="308">+TODAY()-I125</f>
        <v>26</v>
      </c>
      <c r="K125" s="34">
        <f t="shared" ref="K125:K126" si="309">+U125</f>
        <v>46171</v>
      </c>
      <c r="L125" s="34" t="s">
        <v>1042</v>
      </c>
      <c r="M125" s="34">
        <v>39000</v>
      </c>
      <c r="N125" s="34">
        <v>34000</v>
      </c>
      <c r="O125" s="35">
        <v>46164</v>
      </c>
      <c r="P125" s="34">
        <f t="shared" ref="P125:P126" si="310">+M125-N125</f>
        <v>5000</v>
      </c>
      <c r="Q125" s="17" t="s">
        <v>33</v>
      </c>
      <c r="R125" s="34" t="s">
        <v>61</v>
      </c>
      <c r="S125" s="34">
        <v>46000</v>
      </c>
      <c r="T125" s="34" t="str">
        <f>VLOOKUP(H125,'[1]MIS Sanjeev Auto'!$H$1:$T$168,13,0)</f>
        <v>VL/MH/26-27/0278</v>
      </c>
      <c r="U125" s="35">
        <f>VLOOKUP(H125,'[1]MIS Sanjeev Auto'!$H$1:$U$168,14,0)</f>
        <v>46171</v>
      </c>
      <c r="V125" s="34" t="s">
        <v>28</v>
      </c>
      <c r="W125" s="34">
        <f t="shared" ref="W125:W126" si="311">+S125-M125</f>
        <v>7000</v>
      </c>
      <c r="X125" s="34" t="s">
        <v>36</v>
      </c>
      <c r="Y125" s="34" t="s">
        <v>29</v>
      </c>
      <c r="Z125" s="36">
        <f t="shared" ref="Z125:Z126" si="312">+W125*100/M125</f>
        <v>17.948717948717949</v>
      </c>
      <c r="AA125" s="34"/>
    </row>
    <row r="126" spans="1:27" ht="15.75" customHeight="1">
      <c r="A126" s="34">
        <f>SUBTOTAL(3,C$2:C126)</f>
        <v>125</v>
      </c>
      <c r="B126" s="34" t="s">
        <v>1086</v>
      </c>
      <c r="C126" s="37" t="s">
        <v>44</v>
      </c>
      <c r="D126" s="34" t="s">
        <v>32</v>
      </c>
      <c r="E126" s="34" t="s">
        <v>33</v>
      </c>
      <c r="F126" s="34" t="s">
        <v>120</v>
      </c>
      <c r="G126" s="34" t="s">
        <v>314</v>
      </c>
      <c r="H126" s="39" t="s">
        <v>1979</v>
      </c>
      <c r="I126" s="35">
        <v>46159</v>
      </c>
      <c r="J126" s="34">
        <f t="shared" ca="1" si="308"/>
        <v>25</v>
      </c>
      <c r="K126" s="34" t="str">
        <f t="shared" si="309"/>
        <v>Pending</v>
      </c>
      <c r="L126" s="34" t="s">
        <v>705</v>
      </c>
      <c r="M126" s="34">
        <v>27500</v>
      </c>
      <c r="N126" s="34">
        <v>24500</v>
      </c>
      <c r="O126" s="35">
        <v>46164</v>
      </c>
      <c r="P126" s="34">
        <f t="shared" si="310"/>
        <v>3000</v>
      </c>
      <c r="Q126" s="17" t="s">
        <v>33</v>
      </c>
      <c r="R126" s="34" t="s">
        <v>61</v>
      </c>
      <c r="S126" s="34">
        <v>32000</v>
      </c>
      <c r="T126" s="34" t="str">
        <f>VLOOKUP(H126,'[1]MIS Sanjeev Auto'!$H$1:$T$168,13,0)</f>
        <v>Pending</v>
      </c>
      <c r="U126" s="35" t="str">
        <f>VLOOKUP(H126,'[1]MIS Sanjeev Auto'!$H$1:$U$168,14,0)</f>
        <v>Pending</v>
      </c>
      <c r="V126" s="34" t="s">
        <v>28</v>
      </c>
      <c r="W126" s="34">
        <f t="shared" si="311"/>
        <v>4500</v>
      </c>
      <c r="X126" s="34" t="s">
        <v>36</v>
      </c>
      <c r="Y126" s="34" t="s">
        <v>29</v>
      </c>
      <c r="Z126" s="36">
        <f t="shared" si="312"/>
        <v>16.363636363636363</v>
      </c>
      <c r="AA126" s="34"/>
    </row>
    <row r="127" spans="1:27" ht="15.75" customHeight="1">
      <c r="A127" s="34">
        <f>SUBTOTAL(3,C$2:C127)</f>
        <v>126</v>
      </c>
      <c r="B127" s="34" t="s">
        <v>1086</v>
      </c>
      <c r="C127" s="37" t="s">
        <v>44</v>
      </c>
      <c r="D127" s="34" t="s">
        <v>32</v>
      </c>
      <c r="E127" s="34" t="s">
        <v>33</v>
      </c>
      <c r="F127" s="34" t="s">
        <v>175</v>
      </c>
      <c r="G127" s="34" t="s">
        <v>314</v>
      </c>
      <c r="H127" s="39" t="s">
        <v>1980</v>
      </c>
      <c r="I127" s="35">
        <v>46160</v>
      </c>
      <c r="J127" s="34">
        <f t="shared" ref="J127:J128" ca="1" si="313">+TODAY()-I127</f>
        <v>24</v>
      </c>
      <c r="K127" s="34" t="str">
        <f t="shared" ref="K127:K128" si="314">+U127</f>
        <v>Pending</v>
      </c>
      <c r="L127" s="34" t="s">
        <v>705</v>
      </c>
      <c r="M127" s="34">
        <v>27500</v>
      </c>
      <c r="N127" s="34">
        <v>24500</v>
      </c>
      <c r="O127" s="35">
        <v>46164</v>
      </c>
      <c r="P127" s="34">
        <f t="shared" ref="P127:P128" si="315">+M127-N127</f>
        <v>3000</v>
      </c>
      <c r="Q127" s="17" t="s">
        <v>33</v>
      </c>
      <c r="R127" s="34" t="s">
        <v>61</v>
      </c>
      <c r="S127" s="34">
        <v>32000</v>
      </c>
      <c r="T127" s="34" t="str">
        <f>VLOOKUP(H127,'[1]MIS Sanjeev Auto'!$H$1:$T$168,13,0)</f>
        <v>Pending</v>
      </c>
      <c r="U127" s="35" t="str">
        <f>VLOOKUP(H127,'[1]MIS Sanjeev Auto'!$H$1:$U$168,14,0)</f>
        <v>Pending</v>
      </c>
      <c r="V127" s="34" t="s">
        <v>28</v>
      </c>
      <c r="W127" s="34">
        <f t="shared" ref="W127:W128" si="316">+S127-M127</f>
        <v>4500</v>
      </c>
      <c r="X127" s="34" t="s">
        <v>36</v>
      </c>
      <c r="Y127" s="34" t="s">
        <v>29</v>
      </c>
      <c r="Z127" s="36">
        <f t="shared" ref="Z127:Z128" si="317">+W127*100/M127</f>
        <v>16.363636363636363</v>
      </c>
      <c r="AA127" s="34"/>
    </row>
    <row r="128" spans="1:27" ht="15.75" customHeight="1">
      <c r="A128" s="34">
        <f>SUBTOTAL(3,C$2:C128)</f>
        <v>127</v>
      </c>
      <c r="B128" s="34" t="s">
        <v>1086</v>
      </c>
      <c r="C128" s="37" t="s">
        <v>31</v>
      </c>
      <c r="D128" s="34" t="s">
        <v>32</v>
      </c>
      <c r="E128" s="34" t="s">
        <v>33</v>
      </c>
      <c r="F128" s="34" t="s">
        <v>133</v>
      </c>
      <c r="G128" s="34" t="s">
        <v>34</v>
      </c>
      <c r="H128" s="39" t="s">
        <v>1985</v>
      </c>
      <c r="I128" s="35">
        <v>46159</v>
      </c>
      <c r="J128" s="34">
        <f t="shared" ca="1" si="313"/>
        <v>25</v>
      </c>
      <c r="K128" s="34">
        <f t="shared" si="314"/>
        <v>46171</v>
      </c>
      <c r="L128" s="34" t="s">
        <v>397</v>
      </c>
      <c r="M128" s="34">
        <v>19000</v>
      </c>
      <c r="N128" s="34">
        <v>17000</v>
      </c>
      <c r="O128" s="35">
        <v>46164</v>
      </c>
      <c r="P128" s="34">
        <f t="shared" si="315"/>
        <v>2000</v>
      </c>
      <c r="Q128" s="17" t="s">
        <v>33</v>
      </c>
      <c r="R128" s="34" t="s">
        <v>61</v>
      </c>
      <c r="S128" s="34">
        <v>22000</v>
      </c>
      <c r="T128" s="34" t="str">
        <f>VLOOKUP(H128,'[1]MIS Sanjeev Auto'!$H$1:$T$168,13,0)</f>
        <v>VL/MH/26-27/0277</v>
      </c>
      <c r="U128" s="35">
        <f>VLOOKUP(H128,'[1]MIS Sanjeev Auto'!$H$1:$U$168,14,0)</f>
        <v>46171</v>
      </c>
      <c r="V128" s="34" t="s">
        <v>28</v>
      </c>
      <c r="W128" s="34">
        <f t="shared" si="316"/>
        <v>3000</v>
      </c>
      <c r="X128" s="34" t="s">
        <v>36</v>
      </c>
      <c r="Y128" s="34" t="s">
        <v>29</v>
      </c>
      <c r="Z128" s="36">
        <f t="shared" si="317"/>
        <v>15.789473684210526</v>
      </c>
      <c r="AA128" s="34"/>
    </row>
    <row r="129" spans="1:27" ht="15.75" customHeight="1">
      <c r="A129" s="34">
        <f>SUBTOTAL(3,C$2:C129)</f>
        <v>128</v>
      </c>
      <c r="B129" s="34" t="s">
        <v>1086</v>
      </c>
      <c r="C129" s="37" t="s">
        <v>31</v>
      </c>
      <c r="D129" s="34" t="s">
        <v>32</v>
      </c>
      <c r="E129" s="34" t="s">
        <v>33</v>
      </c>
      <c r="F129" s="34" t="s">
        <v>377</v>
      </c>
      <c r="G129" s="34" t="s">
        <v>34</v>
      </c>
      <c r="H129" s="39" t="s">
        <v>1986</v>
      </c>
      <c r="I129" s="35">
        <v>46160</v>
      </c>
      <c r="J129" s="34">
        <f t="shared" ref="J129:J131" ca="1" si="318">+TODAY()-I129</f>
        <v>24</v>
      </c>
      <c r="K129" s="34">
        <f t="shared" ref="K129:K131" si="319">+U129</f>
        <v>46171</v>
      </c>
      <c r="L129" s="34" t="s">
        <v>397</v>
      </c>
      <c r="M129" s="34">
        <v>19000</v>
      </c>
      <c r="N129" s="34">
        <v>17000</v>
      </c>
      <c r="O129" s="35">
        <v>46164</v>
      </c>
      <c r="P129" s="34">
        <f t="shared" ref="P129:P131" si="320">+M129-N129</f>
        <v>2000</v>
      </c>
      <c r="Q129" s="17" t="s">
        <v>33</v>
      </c>
      <c r="R129" s="34" t="s">
        <v>61</v>
      </c>
      <c r="S129" s="34">
        <v>22000</v>
      </c>
      <c r="T129" s="34" t="str">
        <f>VLOOKUP(H129,'[1]MIS Sanjeev Auto'!$H$1:$T$168,13,0)</f>
        <v>VL/MH/26-27/0277</v>
      </c>
      <c r="U129" s="35">
        <f>VLOOKUP(H129,'[1]MIS Sanjeev Auto'!$H$1:$U$168,14,0)</f>
        <v>46171</v>
      </c>
      <c r="V129" s="34" t="s">
        <v>28</v>
      </c>
      <c r="W129" s="34">
        <f t="shared" ref="W129:W131" si="321">+S129-M129</f>
        <v>3000</v>
      </c>
      <c r="X129" s="34" t="s">
        <v>36</v>
      </c>
      <c r="Y129" s="34" t="s">
        <v>29</v>
      </c>
      <c r="Z129" s="36">
        <f t="shared" ref="Z129:Z131" si="322">+W129*100/M129</f>
        <v>15.789473684210526</v>
      </c>
      <c r="AA129" s="34"/>
    </row>
    <row r="130" spans="1:27" ht="15.75" customHeight="1">
      <c r="A130" s="34">
        <f>SUBTOTAL(3,C$2:C130)</f>
        <v>129</v>
      </c>
      <c r="B130" s="34" t="s">
        <v>1086</v>
      </c>
      <c r="C130" s="37" t="s">
        <v>1031</v>
      </c>
      <c r="D130" s="34" t="s">
        <v>32</v>
      </c>
      <c r="E130" s="34" t="s">
        <v>33</v>
      </c>
      <c r="F130" s="34" t="s">
        <v>967</v>
      </c>
      <c r="G130" s="34" t="s">
        <v>34</v>
      </c>
      <c r="H130" s="39" t="s">
        <v>1987</v>
      </c>
      <c r="I130" s="35">
        <v>46160</v>
      </c>
      <c r="J130" s="34">
        <f t="shared" ca="1" si="318"/>
        <v>24</v>
      </c>
      <c r="K130" s="34">
        <f t="shared" si="319"/>
        <v>46171</v>
      </c>
      <c r="L130" s="34" t="s">
        <v>1981</v>
      </c>
      <c r="M130" s="34">
        <v>19000</v>
      </c>
      <c r="N130" s="34">
        <v>17000</v>
      </c>
      <c r="O130" s="35">
        <v>46164</v>
      </c>
      <c r="P130" s="34">
        <f t="shared" si="320"/>
        <v>2000</v>
      </c>
      <c r="Q130" s="17" t="s">
        <v>33</v>
      </c>
      <c r="R130" s="34" t="s">
        <v>61</v>
      </c>
      <c r="S130" s="34">
        <v>22000</v>
      </c>
      <c r="T130" s="34" t="str">
        <f>VLOOKUP(H130,'[1]MIS Sanjeev Auto'!$H$1:$T$168,13,0)</f>
        <v>VL/MH/26-27/0277</v>
      </c>
      <c r="U130" s="35">
        <f>VLOOKUP(H130,'[1]MIS Sanjeev Auto'!$H$1:$U$168,14,0)</f>
        <v>46171</v>
      </c>
      <c r="V130" s="34" t="s">
        <v>28</v>
      </c>
      <c r="W130" s="34">
        <f t="shared" si="321"/>
        <v>3000</v>
      </c>
      <c r="X130" s="34" t="s">
        <v>963</v>
      </c>
      <c r="Y130" s="34" t="s">
        <v>29</v>
      </c>
      <c r="Z130" s="36">
        <f t="shared" si="322"/>
        <v>15.789473684210526</v>
      </c>
      <c r="AA130" s="34"/>
    </row>
    <row r="131" spans="1:27" ht="15.75" customHeight="1">
      <c r="A131" s="34">
        <f>SUBTOTAL(3,C$2:C131)</f>
        <v>130</v>
      </c>
      <c r="B131" s="34" t="s">
        <v>1086</v>
      </c>
      <c r="C131" s="37" t="s">
        <v>44</v>
      </c>
      <c r="D131" s="34" t="s">
        <v>32</v>
      </c>
      <c r="E131" s="34" t="s">
        <v>33</v>
      </c>
      <c r="F131" s="34" t="s">
        <v>126</v>
      </c>
      <c r="G131" s="34" t="s">
        <v>314</v>
      </c>
      <c r="H131" s="39" t="s">
        <v>1988</v>
      </c>
      <c r="I131" s="35">
        <v>46161</v>
      </c>
      <c r="J131" s="34">
        <f t="shared" ca="1" si="318"/>
        <v>23</v>
      </c>
      <c r="K131" s="34">
        <f t="shared" si="319"/>
        <v>46171</v>
      </c>
      <c r="L131" s="34" t="s">
        <v>397</v>
      </c>
      <c r="M131" s="34">
        <v>39000</v>
      </c>
      <c r="N131" s="34">
        <v>35000</v>
      </c>
      <c r="O131" s="35">
        <v>46164</v>
      </c>
      <c r="P131" s="34">
        <f t="shared" si="320"/>
        <v>4000</v>
      </c>
      <c r="Q131" s="17" t="s">
        <v>33</v>
      </c>
      <c r="R131" s="34" t="s">
        <v>61</v>
      </c>
      <c r="S131" s="34">
        <v>46000</v>
      </c>
      <c r="T131" s="34" t="str">
        <f>VLOOKUP(H131,'[1]MIS Sanjeev Auto'!$H$1:$T$168,13,0)</f>
        <v>VL/MH/26-27/0270</v>
      </c>
      <c r="U131" s="35">
        <f>VLOOKUP(H131,'[1]MIS Sanjeev Auto'!$H$1:$U$168,14,0)</f>
        <v>46171</v>
      </c>
      <c r="V131" s="34" t="s">
        <v>28</v>
      </c>
      <c r="W131" s="34">
        <f t="shared" si="321"/>
        <v>7000</v>
      </c>
      <c r="X131" s="34" t="s">
        <v>36</v>
      </c>
      <c r="Y131" s="34" t="s">
        <v>29</v>
      </c>
      <c r="Z131" s="36">
        <f t="shared" si="322"/>
        <v>17.948717948717949</v>
      </c>
      <c r="AA131" s="34"/>
    </row>
    <row r="132" spans="1:27" ht="15.75" customHeight="1">
      <c r="A132" s="34">
        <f>SUBTOTAL(3,C$2:C132)</f>
        <v>131</v>
      </c>
      <c r="B132" s="34" t="s">
        <v>1086</v>
      </c>
      <c r="C132" s="37" t="s">
        <v>31</v>
      </c>
      <c r="D132" s="34" t="s">
        <v>32</v>
      </c>
      <c r="E132" s="34" t="s">
        <v>33</v>
      </c>
      <c r="F132" s="34" t="s">
        <v>42</v>
      </c>
      <c r="G132" s="34" t="s">
        <v>34</v>
      </c>
      <c r="H132" s="39" t="s">
        <v>1989</v>
      </c>
      <c r="I132" s="35">
        <v>46161</v>
      </c>
      <c r="J132" s="34">
        <f t="shared" ref="J132:J134" ca="1" si="323">+TODAY()-I132</f>
        <v>23</v>
      </c>
      <c r="K132" s="34" t="str">
        <f t="shared" ref="K132:K134" si="324">+U132</f>
        <v>Pending</v>
      </c>
      <c r="L132" s="34" t="s">
        <v>397</v>
      </c>
      <c r="M132" s="34">
        <v>19000</v>
      </c>
      <c r="N132" s="34">
        <v>17000</v>
      </c>
      <c r="O132" s="35">
        <v>46164</v>
      </c>
      <c r="P132" s="34">
        <f t="shared" ref="P132:P134" si="325">+M132-N132</f>
        <v>2000</v>
      </c>
      <c r="Q132" s="17" t="s">
        <v>33</v>
      </c>
      <c r="R132" s="34" t="s">
        <v>61</v>
      </c>
      <c r="S132" s="34">
        <v>22000</v>
      </c>
      <c r="T132" s="34" t="str">
        <f>VLOOKUP(H132,'[1]MIS Sanjeev Auto'!$H$1:$T$168,13,0)</f>
        <v>Pending</v>
      </c>
      <c r="U132" s="35" t="str">
        <f>VLOOKUP(H132,'[1]MIS Sanjeev Auto'!$H$1:$U$168,14,0)</f>
        <v>Pending</v>
      </c>
      <c r="V132" s="34" t="s">
        <v>28</v>
      </c>
      <c r="W132" s="34">
        <f t="shared" ref="W132:W134" si="326">+S132-M132</f>
        <v>3000</v>
      </c>
      <c r="X132" s="34" t="s">
        <v>36</v>
      </c>
      <c r="Y132" s="34" t="s">
        <v>29</v>
      </c>
      <c r="Z132" s="36">
        <f t="shared" ref="Z132:Z134" si="327">+W132*100/M132</f>
        <v>15.789473684210526</v>
      </c>
      <c r="AA132" s="34"/>
    </row>
    <row r="133" spans="1:27" ht="15.75" customHeight="1">
      <c r="A133" s="34">
        <f>SUBTOTAL(3,C$2:C133)</f>
        <v>132</v>
      </c>
      <c r="B133" s="34" t="s">
        <v>1086</v>
      </c>
      <c r="C133" s="37" t="s">
        <v>44</v>
      </c>
      <c r="D133" s="34" t="s">
        <v>32</v>
      </c>
      <c r="E133" s="34" t="s">
        <v>33</v>
      </c>
      <c r="F133" s="34" t="s">
        <v>296</v>
      </c>
      <c r="G133" s="34" t="s">
        <v>607</v>
      </c>
      <c r="H133" s="39" t="s">
        <v>1990</v>
      </c>
      <c r="I133" s="35">
        <v>46161</v>
      </c>
      <c r="J133" s="34">
        <f t="shared" ca="1" si="323"/>
        <v>23</v>
      </c>
      <c r="K133" s="34" t="str">
        <f t="shared" si="324"/>
        <v>Pending</v>
      </c>
      <c r="L133" s="34" t="s">
        <v>397</v>
      </c>
      <c r="M133" s="34">
        <v>33000</v>
      </c>
      <c r="N133" s="34">
        <v>30000</v>
      </c>
      <c r="O133" s="35">
        <v>46164</v>
      </c>
      <c r="P133" s="34">
        <f t="shared" si="325"/>
        <v>3000</v>
      </c>
      <c r="Q133" s="17" t="s">
        <v>33</v>
      </c>
      <c r="R133" s="34" t="s">
        <v>61</v>
      </c>
      <c r="S133" s="34">
        <v>38000</v>
      </c>
      <c r="T133" s="34" t="str">
        <f>VLOOKUP(H133,'[1]MIS Sanjeev Auto'!$H$1:$T$168,13,0)</f>
        <v>Pending</v>
      </c>
      <c r="U133" s="35" t="str">
        <f>VLOOKUP(H133,'[1]MIS Sanjeev Auto'!$H$1:$U$168,14,0)</f>
        <v>Pending</v>
      </c>
      <c r="V133" s="34" t="s">
        <v>28</v>
      </c>
      <c r="W133" s="34">
        <f t="shared" si="326"/>
        <v>5000</v>
      </c>
      <c r="X133" s="34" t="s">
        <v>36</v>
      </c>
      <c r="Y133" s="34" t="s">
        <v>29</v>
      </c>
      <c r="Z133" s="36">
        <f t="shared" si="327"/>
        <v>15.151515151515152</v>
      </c>
      <c r="AA133" s="34"/>
    </row>
    <row r="134" spans="1:27" ht="15.75" customHeight="1">
      <c r="A134" s="34">
        <f>SUBTOTAL(3,C$2:C134)</f>
        <v>133</v>
      </c>
      <c r="B134" s="34" t="s">
        <v>1086</v>
      </c>
      <c r="C134" s="37" t="s">
        <v>80</v>
      </c>
      <c r="D134" s="34" t="s">
        <v>32</v>
      </c>
      <c r="E134" s="34" t="s">
        <v>33</v>
      </c>
      <c r="F134" s="34" t="s">
        <v>1982</v>
      </c>
      <c r="G134" s="34" t="s">
        <v>1215</v>
      </c>
      <c r="H134" s="39" t="s">
        <v>1991</v>
      </c>
      <c r="I134" s="35">
        <v>46161</v>
      </c>
      <c r="J134" s="34">
        <f t="shared" ca="1" si="323"/>
        <v>23</v>
      </c>
      <c r="K134" s="34" t="str">
        <f t="shared" si="324"/>
        <v>Pending</v>
      </c>
      <c r="L134" s="34" t="s">
        <v>1983</v>
      </c>
      <c r="M134" s="34">
        <v>33000</v>
      </c>
      <c r="N134" s="34">
        <v>30000</v>
      </c>
      <c r="O134" s="35">
        <v>46164</v>
      </c>
      <c r="P134" s="34">
        <f t="shared" si="325"/>
        <v>3000</v>
      </c>
      <c r="Q134" s="17" t="s">
        <v>33</v>
      </c>
      <c r="R134" s="34" t="s">
        <v>61</v>
      </c>
      <c r="S134" s="34">
        <v>38000</v>
      </c>
      <c r="T134" s="34" t="str">
        <f>VLOOKUP(H134,'[1]MIS Sanjeev Auto'!$H$1:$T$168,13,0)</f>
        <v>Pending</v>
      </c>
      <c r="U134" s="35" t="str">
        <f>VLOOKUP(H134,'[1]MIS Sanjeev Auto'!$H$1:$U$168,14,0)</f>
        <v>Pending</v>
      </c>
      <c r="V134" s="34" t="s">
        <v>28</v>
      </c>
      <c r="W134" s="34">
        <f t="shared" si="326"/>
        <v>5000</v>
      </c>
      <c r="X134" s="34" t="s">
        <v>36</v>
      </c>
      <c r="Y134" s="34" t="s">
        <v>29</v>
      </c>
      <c r="Z134" s="36">
        <f t="shared" si="327"/>
        <v>15.151515151515152</v>
      </c>
      <c r="AA134" s="34"/>
    </row>
    <row r="135" spans="1:27" ht="15.75" customHeight="1">
      <c r="A135" s="34">
        <f>SUBTOTAL(3,C$2:C135)</f>
        <v>134</v>
      </c>
      <c r="B135" s="34" t="s">
        <v>1086</v>
      </c>
      <c r="C135" s="37" t="s">
        <v>31</v>
      </c>
      <c r="D135" s="34" t="s">
        <v>32</v>
      </c>
      <c r="E135" s="34" t="s">
        <v>33</v>
      </c>
      <c r="F135" s="34" t="s">
        <v>201</v>
      </c>
      <c r="G135" s="34" t="s">
        <v>34</v>
      </c>
      <c r="H135" s="39" t="s">
        <v>1992</v>
      </c>
      <c r="I135" s="35">
        <v>46162</v>
      </c>
      <c r="J135" s="34">
        <f t="shared" ref="J135" ca="1" si="328">+TODAY()-I135</f>
        <v>22</v>
      </c>
      <c r="K135" s="34" t="str">
        <f t="shared" ref="K135" si="329">+U135</f>
        <v>Pending</v>
      </c>
      <c r="L135" s="34" t="s">
        <v>397</v>
      </c>
      <c r="M135" s="34">
        <v>19000</v>
      </c>
      <c r="N135" s="34">
        <v>17000</v>
      </c>
      <c r="O135" s="35">
        <v>46164</v>
      </c>
      <c r="P135" s="34">
        <f t="shared" ref="P135" si="330">+M135-N135</f>
        <v>2000</v>
      </c>
      <c r="Q135" s="17" t="s">
        <v>33</v>
      </c>
      <c r="R135" s="34" t="s">
        <v>61</v>
      </c>
      <c r="S135" s="34">
        <v>22000</v>
      </c>
      <c r="T135" s="34" t="str">
        <f>VLOOKUP(H135,'[1]MIS Sanjeev Auto'!$H$1:$T$168,13,0)</f>
        <v>Pending</v>
      </c>
      <c r="U135" s="35" t="str">
        <f>VLOOKUP(H135,'[1]MIS Sanjeev Auto'!$H$1:$U$168,14,0)</f>
        <v>Pending</v>
      </c>
      <c r="V135" s="34" t="s">
        <v>28</v>
      </c>
      <c r="W135" s="34">
        <f t="shared" ref="W135" si="331">+S135-M135</f>
        <v>3000</v>
      </c>
      <c r="X135" s="34" t="s">
        <v>36</v>
      </c>
      <c r="Y135" s="34" t="s">
        <v>29</v>
      </c>
      <c r="Z135" s="36">
        <f t="shared" ref="Z135" si="332">+W135*100/M135</f>
        <v>15.789473684210526</v>
      </c>
      <c r="AA135" s="34"/>
    </row>
    <row r="136" spans="1:27" ht="15.75" customHeight="1">
      <c r="A136" s="34">
        <f>SUBTOTAL(3,C$2:C136)</f>
        <v>135</v>
      </c>
      <c r="B136" s="34" t="s">
        <v>1086</v>
      </c>
      <c r="C136" s="37" t="s">
        <v>80</v>
      </c>
      <c r="D136" s="34" t="s">
        <v>32</v>
      </c>
      <c r="E136" s="34" t="s">
        <v>33</v>
      </c>
      <c r="F136" s="34" t="s">
        <v>1984</v>
      </c>
      <c r="G136" s="34" t="s">
        <v>59</v>
      </c>
      <c r="H136" s="39" t="s">
        <v>1993</v>
      </c>
      <c r="I136" s="35">
        <v>46163</v>
      </c>
      <c r="J136" s="34">
        <f t="shared" ref="J136" ca="1" si="333">+TODAY()-I136</f>
        <v>21</v>
      </c>
      <c r="K136" s="34" t="str">
        <f t="shared" ref="K136" si="334">+U136</f>
        <v>Pending</v>
      </c>
      <c r="L136" s="34" t="s">
        <v>270</v>
      </c>
      <c r="M136" s="34">
        <v>39000</v>
      </c>
      <c r="N136" s="34">
        <v>34000</v>
      </c>
      <c r="O136" s="35">
        <v>46164</v>
      </c>
      <c r="P136" s="34">
        <f t="shared" ref="P136" si="335">+M136-N136</f>
        <v>5000</v>
      </c>
      <c r="Q136" s="17" t="s">
        <v>33</v>
      </c>
      <c r="R136" s="34" t="s">
        <v>61</v>
      </c>
      <c r="S136" s="34">
        <v>46000</v>
      </c>
      <c r="T136" s="34" t="str">
        <f>VLOOKUP(H136,'[1]MIS Sanjeev Auto'!$H$1:$T$168,13,0)</f>
        <v>Pending</v>
      </c>
      <c r="U136" s="35" t="str">
        <f>VLOOKUP(H136,'[1]MIS Sanjeev Auto'!$H$1:$U$168,14,0)</f>
        <v>Pending</v>
      </c>
      <c r="V136" s="34" t="s">
        <v>28</v>
      </c>
      <c r="W136" s="34">
        <f t="shared" ref="W136" si="336">+S136-M136</f>
        <v>7000</v>
      </c>
      <c r="X136" s="34" t="s">
        <v>36</v>
      </c>
      <c r="Y136" s="34" t="s">
        <v>29</v>
      </c>
      <c r="Z136" s="36">
        <f t="shared" ref="Z136" si="337">+W136*100/M136</f>
        <v>17.948717948717949</v>
      </c>
      <c r="AA136" s="34"/>
    </row>
    <row r="137" spans="1:27" ht="15.75" customHeight="1">
      <c r="A137" s="34">
        <f>SUBTOTAL(3,C$2:C137)</f>
        <v>136</v>
      </c>
      <c r="B137" s="34" t="s">
        <v>1086</v>
      </c>
      <c r="C137" s="37" t="s">
        <v>80</v>
      </c>
      <c r="D137" s="34" t="s">
        <v>32</v>
      </c>
      <c r="E137" s="34" t="s">
        <v>33</v>
      </c>
      <c r="F137" s="34" t="s">
        <v>1996</v>
      </c>
      <c r="G137" s="34" t="s">
        <v>59</v>
      </c>
      <c r="H137" s="39" t="s">
        <v>1997</v>
      </c>
      <c r="I137" s="35">
        <v>46162</v>
      </c>
      <c r="J137" s="34">
        <f t="shared" ref="J137:J139" ca="1" si="338">+TODAY()-I137</f>
        <v>22</v>
      </c>
      <c r="K137" s="34" t="str">
        <f t="shared" ref="K137:K139" si="339">+U137</f>
        <v>Pending</v>
      </c>
      <c r="L137" s="34" t="s">
        <v>270</v>
      </c>
      <c r="M137" s="34">
        <v>39000</v>
      </c>
      <c r="N137" s="34">
        <v>34000</v>
      </c>
      <c r="O137" s="35">
        <v>46164</v>
      </c>
      <c r="P137" s="34">
        <f t="shared" ref="P137:P139" si="340">+M137-N137</f>
        <v>5000</v>
      </c>
      <c r="Q137" s="17" t="s">
        <v>33</v>
      </c>
      <c r="R137" s="34" t="s">
        <v>61</v>
      </c>
      <c r="S137" s="34">
        <v>46000</v>
      </c>
      <c r="T137" s="34" t="str">
        <f>VLOOKUP(H137,'[1]MIS Sanjeev Auto'!$H$1:$T$168,13,0)</f>
        <v>Pending</v>
      </c>
      <c r="U137" s="35" t="str">
        <f>VLOOKUP(H137,'[1]MIS Sanjeev Auto'!$H$1:$U$168,14,0)</f>
        <v>Pending</v>
      </c>
      <c r="V137" s="34" t="s">
        <v>28</v>
      </c>
      <c r="W137" s="34">
        <f t="shared" ref="W137:W139" si="341">+S137-M137</f>
        <v>7000</v>
      </c>
      <c r="X137" s="34" t="s">
        <v>36</v>
      </c>
      <c r="Y137" s="34" t="s">
        <v>29</v>
      </c>
      <c r="Z137" s="36">
        <f t="shared" ref="Z137:Z139" si="342">+W137*100/M137</f>
        <v>17.948717948717949</v>
      </c>
      <c r="AA137" s="34"/>
    </row>
    <row r="138" spans="1:27" ht="15.75" customHeight="1">
      <c r="A138" s="34">
        <f>SUBTOTAL(3,C$2:C138)</f>
        <v>137</v>
      </c>
      <c r="B138" s="34" t="s">
        <v>1086</v>
      </c>
      <c r="C138" s="37" t="s">
        <v>31</v>
      </c>
      <c r="D138" s="34" t="s">
        <v>32</v>
      </c>
      <c r="E138" s="34" t="s">
        <v>33</v>
      </c>
      <c r="F138" s="34" t="s">
        <v>1999</v>
      </c>
      <c r="G138" s="34" t="s">
        <v>34</v>
      </c>
      <c r="H138" s="39" t="s">
        <v>2004</v>
      </c>
      <c r="I138" s="35">
        <v>46164</v>
      </c>
      <c r="J138" s="34">
        <f t="shared" ref="J138" ca="1" si="343">+TODAY()-I138</f>
        <v>20</v>
      </c>
      <c r="K138" s="34" t="str">
        <f t="shared" ref="K138" si="344">+U138</f>
        <v>Pending</v>
      </c>
      <c r="L138" s="34" t="s">
        <v>397</v>
      </c>
      <c r="M138" s="34">
        <v>19000</v>
      </c>
      <c r="N138" s="34">
        <v>17000</v>
      </c>
      <c r="O138" s="35">
        <v>46164</v>
      </c>
      <c r="P138" s="34">
        <f t="shared" ref="P138" si="345">+M138-N138</f>
        <v>2000</v>
      </c>
      <c r="Q138" s="17" t="s">
        <v>33</v>
      </c>
      <c r="R138" s="34" t="s">
        <v>61</v>
      </c>
      <c r="S138" s="34">
        <v>22000</v>
      </c>
      <c r="T138" s="34" t="str">
        <f>VLOOKUP(H138,'[1]MIS Sanjeev Auto'!$H$1:$T$168,13,0)</f>
        <v>Pending</v>
      </c>
      <c r="U138" s="35" t="str">
        <f>VLOOKUP(H138,'[1]MIS Sanjeev Auto'!$H$1:$U$168,14,0)</f>
        <v>Pending</v>
      </c>
      <c r="V138" s="34" t="s">
        <v>28</v>
      </c>
      <c r="W138" s="34">
        <f t="shared" ref="W138" si="346">+S138-M138</f>
        <v>3000</v>
      </c>
      <c r="X138" s="34" t="s">
        <v>36</v>
      </c>
      <c r="Y138" s="34" t="s">
        <v>29</v>
      </c>
      <c r="Z138" s="36">
        <f t="shared" ref="Z138" si="347">+W138*100/M138</f>
        <v>15.789473684210526</v>
      </c>
      <c r="AA138" s="34"/>
    </row>
    <row r="139" spans="1:27" ht="15.75" customHeight="1">
      <c r="A139" s="34">
        <f>SUBTOTAL(3,C$2:C139)</f>
        <v>138</v>
      </c>
      <c r="B139" s="34" t="s">
        <v>1086</v>
      </c>
      <c r="C139" s="37" t="s">
        <v>31</v>
      </c>
      <c r="D139" s="34" t="s">
        <v>32</v>
      </c>
      <c r="E139" s="34" t="s">
        <v>33</v>
      </c>
      <c r="F139" s="34" t="s">
        <v>1998</v>
      </c>
      <c r="G139" s="34" t="s">
        <v>34</v>
      </c>
      <c r="H139" s="39" t="s">
        <v>2005</v>
      </c>
      <c r="I139" s="35">
        <v>46164</v>
      </c>
      <c r="J139" s="34">
        <f t="shared" ca="1" si="338"/>
        <v>20</v>
      </c>
      <c r="K139" s="34" t="str">
        <f t="shared" si="339"/>
        <v>Pending</v>
      </c>
      <c r="L139" s="34" t="s">
        <v>397</v>
      </c>
      <c r="M139" s="34">
        <v>19000</v>
      </c>
      <c r="N139" s="34">
        <v>17000</v>
      </c>
      <c r="O139" s="35">
        <v>46164</v>
      </c>
      <c r="P139" s="34">
        <f t="shared" si="340"/>
        <v>2000</v>
      </c>
      <c r="Q139" s="17" t="s">
        <v>33</v>
      </c>
      <c r="R139" s="34" t="s">
        <v>61</v>
      </c>
      <c r="S139" s="34">
        <v>22000</v>
      </c>
      <c r="T139" s="34" t="str">
        <f>VLOOKUP(H139,'[1]MIS Sanjeev Auto'!$H$1:$T$168,13,0)</f>
        <v>Pending</v>
      </c>
      <c r="U139" s="35" t="str">
        <f>VLOOKUP(H139,'[1]MIS Sanjeev Auto'!$H$1:$U$168,14,0)</f>
        <v>Pending</v>
      </c>
      <c r="V139" s="34" t="s">
        <v>28</v>
      </c>
      <c r="W139" s="34">
        <f t="shared" si="341"/>
        <v>3000</v>
      </c>
      <c r="X139" s="34" t="s">
        <v>36</v>
      </c>
      <c r="Y139" s="34" t="s">
        <v>29</v>
      </c>
      <c r="Z139" s="36">
        <f t="shared" si="342"/>
        <v>15.789473684210526</v>
      </c>
      <c r="AA139" s="34"/>
    </row>
    <row r="140" spans="1:27" ht="15.75" customHeight="1">
      <c r="A140" s="34">
        <f>SUBTOTAL(3,C$2:C140)</f>
        <v>139</v>
      </c>
      <c r="B140" s="34" t="s">
        <v>1086</v>
      </c>
      <c r="C140" s="37" t="s">
        <v>31</v>
      </c>
      <c r="D140" s="34" t="s">
        <v>32</v>
      </c>
      <c r="E140" s="34" t="s">
        <v>33</v>
      </c>
      <c r="F140" s="34" t="s">
        <v>2024</v>
      </c>
      <c r="G140" s="34" t="s">
        <v>34</v>
      </c>
      <c r="H140" s="39" t="s">
        <v>2058</v>
      </c>
      <c r="I140" s="35">
        <v>46164</v>
      </c>
      <c r="J140" s="34">
        <f t="shared" ref="J140" ca="1" si="348">+TODAY()-I140</f>
        <v>20</v>
      </c>
      <c r="K140" s="34" t="str">
        <f t="shared" ref="K140" si="349">+U140</f>
        <v>Pending</v>
      </c>
      <c r="L140" s="34" t="s">
        <v>397</v>
      </c>
      <c r="M140" s="34">
        <v>19000</v>
      </c>
      <c r="N140" s="34">
        <v>17000</v>
      </c>
      <c r="O140" s="35">
        <v>46165</v>
      </c>
      <c r="P140" s="34">
        <f t="shared" ref="P140" si="350">+M140-N140</f>
        <v>2000</v>
      </c>
      <c r="Q140" s="17" t="s">
        <v>33</v>
      </c>
      <c r="R140" s="34" t="s">
        <v>61</v>
      </c>
      <c r="S140" s="34">
        <v>22000</v>
      </c>
      <c r="T140" s="34" t="str">
        <f>VLOOKUP(H140,'[1]MIS Sanjeev Auto'!$H$1:$T$168,13,0)</f>
        <v>Pending</v>
      </c>
      <c r="U140" s="35" t="str">
        <f>VLOOKUP(H140,'[1]MIS Sanjeev Auto'!$H$1:$U$168,14,0)</f>
        <v>Pending</v>
      </c>
      <c r="V140" s="34" t="s">
        <v>28</v>
      </c>
      <c r="W140" s="34">
        <f t="shared" ref="W140" si="351">+S140-M140</f>
        <v>3000</v>
      </c>
      <c r="X140" s="34" t="s">
        <v>36</v>
      </c>
      <c r="Y140" s="34" t="s">
        <v>29</v>
      </c>
      <c r="Z140" s="36">
        <f t="shared" ref="Z140" si="352">+W140*100/M140</f>
        <v>15.789473684210526</v>
      </c>
      <c r="AA140" s="34"/>
    </row>
    <row r="141" spans="1:27" ht="15.75" customHeight="1">
      <c r="A141" s="34">
        <f>SUBTOTAL(3,C$2:C141)</f>
        <v>140</v>
      </c>
      <c r="B141" s="34" t="s">
        <v>1086</v>
      </c>
      <c r="C141" s="37" t="s">
        <v>31</v>
      </c>
      <c r="D141" s="34" t="s">
        <v>32</v>
      </c>
      <c r="E141" s="34" t="s">
        <v>33</v>
      </c>
      <c r="F141" s="34" t="s">
        <v>271</v>
      </c>
      <c r="G141" s="34" t="s">
        <v>34</v>
      </c>
      <c r="H141" s="39" t="s">
        <v>2059</v>
      </c>
      <c r="I141" s="35">
        <v>46165</v>
      </c>
      <c r="J141" s="34">
        <f t="shared" ref="J141:J143" ca="1" si="353">+TODAY()-I141</f>
        <v>19</v>
      </c>
      <c r="K141" s="34" t="str">
        <f t="shared" ref="K141:K143" si="354">+U141</f>
        <v>Pending</v>
      </c>
      <c r="L141" s="34" t="s">
        <v>397</v>
      </c>
      <c r="M141" s="34">
        <v>19000</v>
      </c>
      <c r="N141" s="34">
        <v>17000</v>
      </c>
      <c r="O141" s="35">
        <v>46165</v>
      </c>
      <c r="P141" s="34">
        <f t="shared" ref="P141:P143" si="355">+M141-N141</f>
        <v>2000</v>
      </c>
      <c r="Q141" s="17" t="s">
        <v>33</v>
      </c>
      <c r="R141" s="34" t="s">
        <v>61</v>
      </c>
      <c r="S141" s="34">
        <v>22000</v>
      </c>
      <c r="T141" s="34" t="str">
        <f>VLOOKUP(H141,'[1]MIS Sanjeev Auto'!$H$1:$T$168,13,0)</f>
        <v>Pending</v>
      </c>
      <c r="U141" s="35" t="str">
        <f>VLOOKUP(H141,'[1]MIS Sanjeev Auto'!$H$1:$U$168,14,0)</f>
        <v>Pending</v>
      </c>
      <c r="V141" s="34" t="s">
        <v>28</v>
      </c>
      <c r="W141" s="34">
        <f t="shared" ref="W141:W143" si="356">+S141-M141</f>
        <v>3000</v>
      </c>
      <c r="X141" s="34" t="s">
        <v>36</v>
      </c>
      <c r="Y141" s="34" t="s">
        <v>29</v>
      </c>
      <c r="Z141" s="36">
        <f t="shared" ref="Z141:Z143" si="357">+W141*100/M141</f>
        <v>15.789473684210526</v>
      </c>
      <c r="AA141" s="34"/>
    </row>
    <row r="142" spans="1:27" ht="15.75" customHeight="1">
      <c r="A142" s="34">
        <f>SUBTOTAL(3,C$2:C142)</f>
        <v>141</v>
      </c>
      <c r="B142" s="34" t="s">
        <v>1086</v>
      </c>
      <c r="C142" s="37" t="s">
        <v>57</v>
      </c>
      <c r="D142" s="34" t="s">
        <v>32</v>
      </c>
      <c r="E142" s="34" t="s">
        <v>33</v>
      </c>
      <c r="F142" s="34" t="s">
        <v>1041</v>
      </c>
      <c r="G142" s="34" t="s">
        <v>59</v>
      </c>
      <c r="H142" s="39" t="s">
        <v>2060</v>
      </c>
      <c r="I142" s="35">
        <v>46165</v>
      </c>
      <c r="J142" s="34">
        <f t="shared" ca="1" si="353"/>
        <v>19</v>
      </c>
      <c r="K142" s="34" t="str">
        <f t="shared" si="354"/>
        <v>Pending</v>
      </c>
      <c r="L142" s="34" t="s">
        <v>1042</v>
      </c>
      <c r="M142" s="34">
        <v>39000</v>
      </c>
      <c r="N142" s="34">
        <v>34000</v>
      </c>
      <c r="O142" s="35">
        <v>46165</v>
      </c>
      <c r="P142" s="34">
        <f t="shared" si="355"/>
        <v>5000</v>
      </c>
      <c r="Q142" s="17" t="s">
        <v>33</v>
      </c>
      <c r="R142" s="34" t="s">
        <v>61</v>
      </c>
      <c r="S142" s="34">
        <v>46000</v>
      </c>
      <c r="T142" s="34" t="str">
        <f>VLOOKUP(H142,'[1]MIS Sanjeev Auto'!$H$1:$T$168,13,0)</f>
        <v>Pending</v>
      </c>
      <c r="U142" s="35" t="str">
        <f>VLOOKUP(H142,'[1]MIS Sanjeev Auto'!$H$1:$U$168,14,0)</f>
        <v>Pending</v>
      </c>
      <c r="V142" s="34" t="s">
        <v>28</v>
      </c>
      <c r="W142" s="34">
        <f t="shared" si="356"/>
        <v>7000</v>
      </c>
      <c r="X142" s="34" t="s">
        <v>36</v>
      </c>
      <c r="Y142" s="34" t="s">
        <v>29</v>
      </c>
      <c r="Z142" s="36">
        <f t="shared" si="357"/>
        <v>17.948717948717949</v>
      </c>
      <c r="AA142" s="34"/>
    </row>
    <row r="143" spans="1:27" ht="15.75" customHeight="1">
      <c r="A143" s="34">
        <f>SUBTOTAL(3,C$2:C143)</f>
        <v>142</v>
      </c>
      <c r="B143" s="34" t="s">
        <v>1086</v>
      </c>
      <c r="C143" s="37" t="s">
        <v>44</v>
      </c>
      <c r="D143" s="34" t="s">
        <v>32</v>
      </c>
      <c r="E143" s="34" t="s">
        <v>33</v>
      </c>
      <c r="F143" s="34" t="s">
        <v>126</v>
      </c>
      <c r="G143" s="34" t="s">
        <v>59</v>
      </c>
      <c r="H143" s="39" t="s">
        <v>2061</v>
      </c>
      <c r="I143" s="35">
        <v>46165</v>
      </c>
      <c r="J143" s="34">
        <f t="shared" ca="1" si="353"/>
        <v>19</v>
      </c>
      <c r="K143" s="34" t="str">
        <f t="shared" si="354"/>
        <v>Pending</v>
      </c>
      <c r="L143" s="34" t="s">
        <v>705</v>
      </c>
      <c r="M143" s="34">
        <v>27500</v>
      </c>
      <c r="N143" s="34">
        <v>24500</v>
      </c>
      <c r="O143" s="35">
        <v>46165</v>
      </c>
      <c r="P143" s="34">
        <f t="shared" si="355"/>
        <v>3000</v>
      </c>
      <c r="Q143" s="17" t="s">
        <v>33</v>
      </c>
      <c r="R143" s="34" t="s">
        <v>61</v>
      </c>
      <c r="S143" s="34">
        <v>32000</v>
      </c>
      <c r="T143" s="34" t="str">
        <f>VLOOKUP(H143,'[1]MIS Sanjeev Auto'!$H$1:$T$168,13,0)</f>
        <v>Pending</v>
      </c>
      <c r="U143" s="35" t="str">
        <f>VLOOKUP(H143,'[1]MIS Sanjeev Auto'!$H$1:$U$168,14,0)</f>
        <v>Pending</v>
      </c>
      <c r="V143" s="34" t="s">
        <v>28</v>
      </c>
      <c r="W143" s="34">
        <f t="shared" si="356"/>
        <v>4500</v>
      </c>
      <c r="X143" s="34" t="s">
        <v>36</v>
      </c>
      <c r="Y143" s="34" t="s">
        <v>29</v>
      </c>
      <c r="Z143" s="36">
        <f t="shared" si="357"/>
        <v>16.363636363636363</v>
      </c>
      <c r="AA143" s="34"/>
    </row>
    <row r="144" spans="1:27" ht="15.75" customHeight="1">
      <c r="A144" s="34">
        <f>SUBTOTAL(3,C$2:C144)</f>
        <v>143</v>
      </c>
      <c r="B144" s="34" t="s">
        <v>1086</v>
      </c>
      <c r="C144" s="37" t="s">
        <v>44</v>
      </c>
      <c r="D144" s="34" t="s">
        <v>32</v>
      </c>
      <c r="E144" s="34" t="s">
        <v>33</v>
      </c>
      <c r="F144" s="34" t="s">
        <v>58</v>
      </c>
      <c r="G144" s="34" t="s">
        <v>59</v>
      </c>
      <c r="H144" s="39" t="s">
        <v>2136</v>
      </c>
      <c r="I144" s="35">
        <v>46165</v>
      </c>
      <c r="J144" s="34">
        <f t="shared" ref="J144:J145" ca="1" si="358">+TODAY()-I144</f>
        <v>19</v>
      </c>
      <c r="K144" s="34" t="str">
        <f t="shared" ref="K144:K145" si="359">+U144</f>
        <v>Pending</v>
      </c>
      <c r="L144" s="34" t="s">
        <v>705</v>
      </c>
      <c r="M144" s="34">
        <v>27500</v>
      </c>
      <c r="N144" s="34">
        <v>24500</v>
      </c>
      <c r="O144" s="35">
        <v>46167</v>
      </c>
      <c r="P144" s="34">
        <f t="shared" ref="P144:P145" si="360">+M144-N144</f>
        <v>3000</v>
      </c>
      <c r="Q144" s="17" t="s">
        <v>33</v>
      </c>
      <c r="R144" s="34" t="s">
        <v>61</v>
      </c>
      <c r="S144" s="34">
        <v>32000</v>
      </c>
      <c r="T144" s="34" t="str">
        <f>VLOOKUP(H144,'[1]MIS Sanjeev Auto'!$H$1:$T$168,13,0)</f>
        <v>Pending</v>
      </c>
      <c r="U144" s="35" t="str">
        <f>VLOOKUP(H144,'[1]MIS Sanjeev Auto'!$H$1:$U$168,14,0)</f>
        <v>Pending</v>
      </c>
      <c r="V144" s="34" t="s">
        <v>28</v>
      </c>
      <c r="W144" s="34">
        <f t="shared" ref="W144:W145" si="361">+S144-M144</f>
        <v>4500</v>
      </c>
      <c r="X144" s="34" t="s">
        <v>36</v>
      </c>
      <c r="Y144" s="34" t="s">
        <v>29</v>
      </c>
      <c r="Z144" s="36">
        <f t="shared" ref="Z144:Z145" si="362">+W144*100/M144</f>
        <v>16.363636363636363</v>
      </c>
      <c r="AA144" s="34"/>
    </row>
    <row r="145" spans="1:27" ht="15.75" customHeight="1">
      <c r="A145" s="34">
        <f>SUBTOTAL(3,C$2:C145)</f>
        <v>144</v>
      </c>
      <c r="B145" s="34" t="s">
        <v>1086</v>
      </c>
      <c r="C145" s="37" t="s">
        <v>80</v>
      </c>
      <c r="D145" s="34" t="s">
        <v>32</v>
      </c>
      <c r="E145" s="34" t="s">
        <v>33</v>
      </c>
      <c r="F145" s="34" t="s">
        <v>2245</v>
      </c>
      <c r="G145" s="34" t="s">
        <v>59</v>
      </c>
      <c r="H145" s="39" t="s">
        <v>2246</v>
      </c>
      <c r="I145" s="35">
        <v>46165</v>
      </c>
      <c r="J145" s="34">
        <f t="shared" ca="1" si="358"/>
        <v>19</v>
      </c>
      <c r="K145" s="34" t="str">
        <f t="shared" si="359"/>
        <v>Pending</v>
      </c>
      <c r="L145" s="34" t="s">
        <v>2247</v>
      </c>
      <c r="M145" s="34">
        <v>39000</v>
      </c>
      <c r="N145" s="34">
        <v>34000</v>
      </c>
      <c r="O145" s="35">
        <v>46169</v>
      </c>
      <c r="P145" s="34">
        <f t="shared" si="360"/>
        <v>5000</v>
      </c>
      <c r="Q145" s="17" t="s">
        <v>33</v>
      </c>
      <c r="R145" s="34" t="s">
        <v>61</v>
      </c>
      <c r="S145" s="34">
        <v>46000</v>
      </c>
      <c r="T145" s="34" t="str">
        <f>VLOOKUP(H145,'[1]MIS Sanjeev Auto'!$H$1:$T$168,13,0)</f>
        <v>Pending</v>
      </c>
      <c r="U145" s="35" t="str">
        <f>VLOOKUP(H145,'[1]MIS Sanjeev Auto'!$H$1:$U$168,14,0)</f>
        <v>Pending</v>
      </c>
      <c r="V145" s="34" t="s">
        <v>28</v>
      </c>
      <c r="W145" s="34">
        <f t="shared" si="361"/>
        <v>7000</v>
      </c>
      <c r="X145" s="34" t="s">
        <v>36</v>
      </c>
      <c r="Y145" s="34" t="s">
        <v>29</v>
      </c>
      <c r="Z145" s="36">
        <f t="shared" si="362"/>
        <v>17.948717948717949</v>
      </c>
      <c r="AA145" s="34"/>
    </row>
    <row r="146" spans="1:27" ht="15.75" customHeight="1">
      <c r="A146" s="34">
        <f>SUBTOTAL(3,C$2:C146)</f>
        <v>145</v>
      </c>
      <c r="B146" s="34" t="s">
        <v>1086</v>
      </c>
      <c r="C146" s="37" t="s">
        <v>80</v>
      </c>
      <c r="D146" s="34" t="s">
        <v>32</v>
      </c>
      <c r="E146" s="34" t="s">
        <v>33</v>
      </c>
      <c r="F146" s="34" t="s">
        <v>613</v>
      </c>
      <c r="G146" s="34" t="s">
        <v>59</v>
      </c>
      <c r="H146" s="55" t="s">
        <v>2248</v>
      </c>
      <c r="I146" s="35">
        <v>46167</v>
      </c>
      <c r="J146" s="34">
        <f t="shared" ref="J146:J147" ca="1" si="363">+TODAY()-I146</f>
        <v>17</v>
      </c>
      <c r="K146" s="34" t="str">
        <f t="shared" ref="K146:K147" si="364">+U146</f>
        <v>Pending</v>
      </c>
      <c r="L146" s="34" t="s">
        <v>2247</v>
      </c>
      <c r="M146" s="34">
        <v>39000</v>
      </c>
      <c r="N146" s="34">
        <v>34000</v>
      </c>
      <c r="O146" s="35">
        <v>46169</v>
      </c>
      <c r="P146" s="34">
        <f t="shared" ref="P146:P147" si="365">+M146-N146</f>
        <v>5000</v>
      </c>
      <c r="Q146" s="17" t="s">
        <v>33</v>
      </c>
      <c r="R146" s="34" t="s">
        <v>61</v>
      </c>
      <c r="S146" s="34">
        <v>46000</v>
      </c>
      <c r="T146" s="34" t="str">
        <f>VLOOKUP(H146,'[1]MIS Sanjeev Auto'!$H$1:$T$168,13,0)</f>
        <v>Pending</v>
      </c>
      <c r="U146" s="35" t="str">
        <f>VLOOKUP(H146,'[1]MIS Sanjeev Auto'!$H$1:$U$168,14,0)</f>
        <v>Pending</v>
      </c>
      <c r="V146" s="34" t="s">
        <v>28</v>
      </c>
      <c r="W146" s="34">
        <f t="shared" ref="W146:W147" si="366">+S146-M146</f>
        <v>7000</v>
      </c>
      <c r="X146" s="34" t="s">
        <v>36</v>
      </c>
      <c r="Y146" s="34" t="s">
        <v>29</v>
      </c>
      <c r="Z146" s="36">
        <f t="shared" ref="Z146:Z147" si="367">+W146*100/M146</f>
        <v>17.948717948717949</v>
      </c>
      <c r="AA146" s="34"/>
    </row>
    <row r="147" spans="1:27" ht="15.75" customHeight="1">
      <c r="A147" s="34">
        <f>SUBTOTAL(3,C$2:C147)</f>
        <v>146</v>
      </c>
      <c r="B147" s="34" t="s">
        <v>1086</v>
      </c>
      <c r="C147" s="37" t="s">
        <v>31</v>
      </c>
      <c r="D147" s="34" t="s">
        <v>32</v>
      </c>
      <c r="E147" s="34" t="s">
        <v>33</v>
      </c>
      <c r="F147" s="34" t="s">
        <v>2249</v>
      </c>
      <c r="G147" s="34" t="s">
        <v>34</v>
      </c>
      <c r="H147" s="39" t="s">
        <v>2250</v>
      </c>
      <c r="I147" s="35">
        <v>46165</v>
      </c>
      <c r="J147" s="34">
        <f t="shared" ca="1" si="363"/>
        <v>19</v>
      </c>
      <c r="K147" s="34" t="str">
        <f t="shared" si="364"/>
        <v>Pending</v>
      </c>
      <c r="L147" s="34" t="s">
        <v>397</v>
      </c>
      <c r="M147" s="34">
        <v>19000</v>
      </c>
      <c r="N147" s="34">
        <v>17000</v>
      </c>
      <c r="O147" s="35">
        <v>46169</v>
      </c>
      <c r="P147" s="34">
        <f t="shared" si="365"/>
        <v>2000</v>
      </c>
      <c r="Q147" s="17" t="s">
        <v>33</v>
      </c>
      <c r="R147" s="34" t="s">
        <v>61</v>
      </c>
      <c r="S147" s="34">
        <v>22000</v>
      </c>
      <c r="T147" s="34" t="str">
        <f>VLOOKUP(H147,'[1]MIS Sanjeev Auto'!$H$1:$T$168,13,0)</f>
        <v>Pending</v>
      </c>
      <c r="U147" s="35" t="str">
        <f>VLOOKUP(H147,'[1]MIS Sanjeev Auto'!$H$1:$U$168,14,0)</f>
        <v>Pending</v>
      </c>
      <c r="V147" s="34" t="s">
        <v>28</v>
      </c>
      <c r="W147" s="34">
        <f t="shared" si="366"/>
        <v>3000</v>
      </c>
      <c r="X147" s="34" t="s">
        <v>36</v>
      </c>
      <c r="Y147" s="34" t="s">
        <v>29</v>
      </c>
      <c r="Z147" s="36">
        <f t="shared" si="367"/>
        <v>15.789473684210526</v>
      </c>
      <c r="AA147" s="34"/>
    </row>
    <row r="148" spans="1:27" ht="15.75" customHeight="1">
      <c r="A148" s="34">
        <f>SUBTOTAL(3,C$2:C148)</f>
        <v>147</v>
      </c>
      <c r="B148" s="34" t="s">
        <v>1086</v>
      </c>
      <c r="C148" s="37" t="s">
        <v>31</v>
      </c>
      <c r="D148" s="34" t="s">
        <v>32</v>
      </c>
      <c r="E148" s="34" t="s">
        <v>33</v>
      </c>
      <c r="F148" s="34" t="s">
        <v>493</v>
      </c>
      <c r="G148" s="34" t="s">
        <v>34</v>
      </c>
      <c r="H148" s="39" t="s">
        <v>2251</v>
      </c>
      <c r="I148" s="35">
        <v>46165</v>
      </c>
      <c r="J148" s="34">
        <f t="shared" ref="J148" ca="1" si="368">+TODAY()-I148</f>
        <v>19</v>
      </c>
      <c r="K148" s="34" t="str">
        <f t="shared" ref="K148" si="369">+U148</f>
        <v>Pending</v>
      </c>
      <c r="L148" s="34" t="s">
        <v>397</v>
      </c>
      <c r="M148" s="34">
        <v>19000</v>
      </c>
      <c r="N148" s="34">
        <v>17000</v>
      </c>
      <c r="O148" s="35">
        <v>46169</v>
      </c>
      <c r="P148" s="34">
        <f t="shared" ref="P148" si="370">+M148-N148</f>
        <v>2000</v>
      </c>
      <c r="Q148" s="17" t="s">
        <v>33</v>
      </c>
      <c r="R148" s="34" t="s">
        <v>61</v>
      </c>
      <c r="S148" s="34">
        <v>22000</v>
      </c>
      <c r="T148" s="34" t="str">
        <f>VLOOKUP(H148,'[1]MIS Sanjeev Auto'!$H$1:$T$168,13,0)</f>
        <v>Pending</v>
      </c>
      <c r="U148" s="35" t="str">
        <f>VLOOKUP(H148,'[1]MIS Sanjeev Auto'!$H$1:$U$168,14,0)</f>
        <v>Pending</v>
      </c>
      <c r="V148" s="34" t="s">
        <v>28</v>
      </c>
      <c r="W148" s="34">
        <f t="shared" ref="W148" si="371">+S148-M148</f>
        <v>3000</v>
      </c>
      <c r="X148" s="34" t="s">
        <v>36</v>
      </c>
      <c r="Y148" s="34" t="s">
        <v>29</v>
      </c>
      <c r="Z148" s="36">
        <f t="shared" ref="Z148" si="372">+W148*100/M148</f>
        <v>15.789473684210526</v>
      </c>
      <c r="AA148" s="34"/>
    </row>
    <row r="149" spans="1:27" ht="15.75" customHeight="1">
      <c r="A149" s="34">
        <f>SUBTOTAL(3,C$2:C149)</f>
        <v>148</v>
      </c>
      <c r="B149" s="34" t="s">
        <v>1086</v>
      </c>
      <c r="C149" s="37" t="s">
        <v>31</v>
      </c>
      <c r="D149" s="34" t="s">
        <v>32</v>
      </c>
      <c r="E149" s="34" t="s">
        <v>33</v>
      </c>
      <c r="F149" s="34" t="s">
        <v>2252</v>
      </c>
      <c r="G149" s="34" t="s">
        <v>34</v>
      </c>
      <c r="H149" s="55" t="s">
        <v>2253</v>
      </c>
      <c r="I149" s="35">
        <v>46167</v>
      </c>
      <c r="J149" s="34">
        <f t="shared" ref="J149" ca="1" si="373">+TODAY()-I149</f>
        <v>17</v>
      </c>
      <c r="K149" s="34" t="str">
        <f t="shared" ref="K149" si="374">+U149</f>
        <v>Pending</v>
      </c>
      <c r="L149" s="34" t="s">
        <v>397</v>
      </c>
      <c r="M149" s="34">
        <v>19000</v>
      </c>
      <c r="N149" s="34">
        <v>17000</v>
      </c>
      <c r="O149" s="35">
        <v>46169</v>
      </c>
      <c r="P149" s="34">
        <f t="shared" ref="P149" si="375">+M149-N149</f>
        <v>2000</v>
      </c>
      <c r="Q149" s="17" t="s">
        <v>33</v>
      </c>
      <c r="R149" s="34" t="s">
        <v>61</v>
      </c>
      <c r="S149" s="34">
        <v>22000</v>
      </c>
      <c r="T149" s="34" t="str">
        <f>VLOOKUP(H149,'[1]MIS Sanjeev Auto'!$H$1:$T$168,13,0)</f>
        <v>Pending</v>
      </c>
      <c r="U149" s="35" t="str">
        <f>VLOOKUP(H149,'[1]MIS Sanjeev Auto'!$H$1:$U$168,14,0)</f>
        <v>Pending</v>
      </c>
      <c r="V149" s="34" t="s">
        <v>28</v>
      </c>
      <c r="W149" s="34">
        <f t="shared" ref="W149" si="376">+S149-M149</f>
        <v>3000</v>
      </c>
      <c r="X149" s="34" t="s">
        <v>36</v>
      </c>
      <c r="Y149" s="34" t="s">
        <v>29</v>
      </c>
      <c r="Z149" s="36">
        <f t="shared" ref="Z149" si="377">+W149*100/M149</f>
        <v>15.789473684210526</v>
      </c>
      <c r="AA149" s="34"/>
    </row>
    <row r="150" spans="1:27" ht="15.75" customHeight="1">
      <c r="A150" s="34">
        <f>SUBTOTAL(3,C$2:C150)</f>
        <v>149</v>
      </c>
      <c r="B150" s="34" t="s">
        <v>1086</v>
      </c>
      <c r="C150" s="37" t="s">
        <v>31</v>
      </c>
      <c r="D150" s="34" t="s">
        <v>32</v>
      </c>
      <c r="E150" s="34" t="s">
        <v>33</v>
      </c>
      <c r="F150" s="34" t="s">
        <v>346</v>
      </c>
      <c r="G150" s="34" t="s">
        <v>34</v>
      </c>
      <c r="H150" s="55" t="s">
        <v>2254</v>
      </c>
      <c r="I150" s="35">
        <v>46167</v>
      </c>
      <c r="J150" s="34">
        <f t="shared" ref="J150" ca="1" si="378">+TODAY()-I150</f>
        <v>17</v>
      </c>
      <c r="K150" s="34" t="str">
        <f t="shared" ref="K150" si="379">+U150</f>
        <v>Pending</v>
      </c>
      <c r="L150" s="34" t="s">
        <v>397</v>
      </c>
      <c r="M150" s="34">
        <v>19000</v>
      </c>
      <c r="N150" s="34">
        <v>17000</v>
      </c>
      <c r="O150" s="35">
        <v>46169</v>
      </c>
      <c r="P150" s="34">
        <f t="shared" ref="P150" si="380">+M150-N150</f>
        <v>2000</v>
      </c>
      <c r="Q150" s="17" t="s">
        <v>33</v>
      </c>
      <c r="R150" s="34" t="s">
        <v>61</v>
      </c>
      <c r="S150" s="34">
        <v>22000</v>
      </c>
      <c r="T150" s="34" t="str">
        <f>VLOOKUP(H150,'[1]MIS Sanjeev Auto'!$H$1:$T$168,13,0)</f>
        <v>Pending</v>
      </c>
      <c r="U150" s="35" t="str">
        <f>VLOOKUP(H150,'[1]MIS Sanjeev Auto'!$H$1:$U$168,14,0)</f>
        <v>Pending</v>
      </c>
      <c r="V150" s="34" t="s">
        <v>28</v>
      </c>
      <c r="W150" s="34">
        <f t="shared" ref="W150" si="381">+S150-M150</f>
        <v>3000</v>
      </c>
      <c r="X150" s="34" t="s">
        <v>36</v>
      </c>
      <c r="Y150" s="34" t="s">
        <v>29</v>
      </c>
      <c r="Z150" s="36">
        <f t="shared" ref="Z150" si="382">+W150*100/M150</f>
        <v>15.789473684210526</v>
      </c>
      <c r="AA150" s="34"/>
    </row>
    <row r="151" spans="1:27" ht="15.75" customHeight="1">
      <c r="A151" s="34">
        <f>SUBTOTAL(3,C$2:C151)</f>
        <v>150</v>
      </c>
      <c r="B151" s="34" t="s">
        <v>1086</v>
      </c>
      <c r="C151" s="37" t="s">
        <v>31</v>
      </c>
      <c r="D151" s="34" t="s">
        <v>32</v>
      </c>
      <c r="E151" s="34" t="s">
        <v>33</v>
      </c>
      <c r="F151" s="34" t="s">
        <v>2255</v>
      </c>
      <c r="G151" s="34" t="s">
        <v>34</v>
      </c>
      <c r="H151" s="55" t="s">
        <v>2256</v>
      </c>
      <c r="I151" s="35">
        <v>46168</v>
      </c>
      <c r="J151" s="34">
        <f t="shared" ref="J151" ca="1" si="383">+TODAY()-I151</f>
        <v>16</v>
      </c>
      <c r="K151" s="34" t="str">
        <f t="shared" ref="K151" si="384">+U151</f>
        <v>Pending</v>
      </c>
      <c r="L151" s="34" t="s">
        <v>397</v>
      </c>
      <c r="M151" s="34">
        <v>19000</v>
      </c>
      <c r="N151" s="34">
        <v>17000</v>
      </c>
      <c r="O151" s="35">
        <v>46169</v>
      </c>
      <c r="P151" s="34">
        <f t="shared" ref="P151" si="385">+M151-N151</f>
        <v>2000</v>
      </c>
      <c r="Q151" s="17" t="s">
        <v>33</v>
      </c>
      <c r="R151" s="34" t="s">
        <v>61</v>
      </c>
      <c r="S151" s="34">
        <v>22000</v>
      </c>
      <c r="T151" s="34" t="str">
        <f>VLOOKUP(H151,'[1]MIS Sanjeev Auto'!$H$1:$T$168,13,0)</f>
        <v>Pending</v>
      </c>
      <c r="U151" s="35" t="str">
        <f>VLOOKUP(H151,'[1]MIS Sanjeev Auto'!$H$1:$U$168,14,0)</f>
        <v>Pending</v>
      </c>
      <c r="V151" s="34" t="s">
        <v>28</v>
      </c>
      <c r="W151" s="34">
        <f t="shared" ref="W151" si="386">+S151-M151</f>
        <v>3000</v>
      </c>
      <c r="X151" s="34" t="s">
        <v>36</v>
      </c>
      <c r="Y151" s="34" t="s">
        <v>29</v>
      </c>
      <c r="Z151" s="36">
        <f t="shared" ref="Z151" si="387">+W151*100/M151</f>
        <v>15.789473684210526</v>
      </c>
      <c r="AA151" s="34"/>
    </row>
    <row r="152" spans="1:27" ht="15.75" customHeight="1">
      <c r="A152" s="34">
        <f>SUBTOTAL(3,C$2:C152)</f>
        <v>151</v>
      </c>
      <c r="B152" s="34" t="s">
        <v>1086</v>
      </c>
      <c r="C152" s="37" t="s">
        <v>31</v>
      </c>
      <c r="D152" s="34" t="s">
        <v>32</v>
      </c>
      <c r="E152" s="34" t="s">
        <v>33</v>
      </c>
      <c r="F152" s="34" t="s">
        <v>2257</v>
      </c>
      <c r="G152" s="34" t="s">
        <v>34</v>
      </c>
      <c r="H152" s="55" t="s">
        <v>2258</v>
      </c>
      <c r="I152" s="35">
        <v>46168</v>
      </c>
      <c r="J152" s="34">
        <f t="shared" ref="J152" ca="1" si="388">+TODAY()-I152</f>
        <v>16</v>
      </c>
      <c r="K152" s="34" t="str">
        <f t="shared" ref="K152" si="389">+U152</f>
        <v>Pending</v>
      </c>
      <c r="L152" s="34" t="s">
        <v>397</v>
      </c>
      <c r="M152" s="34">
        <v>19000</v>
      </c>
      <c r="N152" s="34">
        <v>17000</v>
      </c>
      <c r="O152" s="35">
        <v>46169</v>
      </c>
      <c r="P152" s="34">
        <f t="shared" ref="P152" si="390">+M152-N152</f>
        <v>2000</v>
      </c>
      <c r="Q152" s="17" t="s">
        <v>33</v>
      </c>
      <c r="R152" s="34" t="s">
        <v>61</v>
      </c>
      <c r="S152" s="34">
        <v>22000</v>
      </c>
      <c r="T152" s="34" t="str">
        <f>VLOOKUP(H152,'[1]MIS Sanjeev Auto'!$H$1:$T$168,13,0)</f>
        <v>Pending</v>
      </c>
      <c r="U152" s="35" t="str">
        <f>VLOOKUP(H152,'[1]MIS Sanjeev Auto'!$H$1:$U$168,14,0)</f>
        <v>Pending</v>
      </c>
      <c r="V152" s="34" t="s">
        <v>28</v>
      </c>
      <c r="W152" s="34">
        <f t="shared" ref="W152" si="391">+S152-M152</f>
        <v>3000</v>
      </c>
      <c r="X152" s="34" t="s">
        <v>36</v>
      </c>
      <c r="Y152" s="34" t="s">
        <v>29</v>
      </c>
      <c r="Z152" s="36">
        <f t="shared" ref="Z152" si="392">+W152*100/M152</f>
        <v>15.789473684210526</v>
      </c>
      <c r="AA152" s="34"/>
    </row>
    <row r="153" spans="1:27" ht="15.75" customHeight="1">
      <c r="A153" s="34">
        <f>SUBTOTAL(3,C$2:C153)</f>
        <v>152</v>
      </c>
      <c r="B153" s="34" t="s">
        <v>1086</v>
      </c>
      <c r="C153" s="37" t="s">
        <v>31</v>
      </c>
      <c r="D153" s="34" t="s">
        <v>32</v>
      </c>
      <c r="E153" s="34" t="s">
        <v>33</v>
      </c>
      <c r="F153" s="34" t="s">
        <v>255</v>
      </c>
      <c r="G153" s="34" t="s">
        <v>34</v>
      </c>
      <c r="H153" s="55" t="s">
        <v>2318</v>
      </c>
      <c r="I153" s="35">
        <v>46169</v>
      </c>
      <c r="J153" s="34">
        <f t="shared" ref="J153" ca="1" si="393">+TODAY()-I153</f>
        <v>15</v>
      </c>
      <c r="K153" s="34" t="str">
        <f t="shared" ref="K153" si="394">+U153</f>
        <v>Pending</v>
      </c>
      <c r="L153" s="34" t="s">
        <v>397</v>
      </c>
      <c r="M153" s="34">
        <v>19000</v>
      </c>
      <c r="N153" s="34">
        <v>17000</v>
      </c>
      <c r="O153" s="35">
        <v>46170</v>
      </c>
      <c r="P153" s="34">
        <f t="shared" ref="P153" si="395">+M153-N153</f>
        <v>2000</v>
      </c>
      <c r="Q153" s="17" t="s">
        <v>33</v>
      </c>
      <c r="R153" s="34" t="s">
        <v>61</v>
      </c>
      <c r="S153" s="34">
        <v>22000</v>
      </c>
      <c r="T153" s="34" t="str">
        <f>VLOOKUP(H153,'[1]MIS Sanjeev Auto'!$H$1:$T$168,13,0)</f>
        <v>Pending</v>
      </c>
      <c r="U153" s="35" t="str">
        <f>VLOOKUP(H153,'[1]MIS Sanjeev Auto'!$H$1:$U$168,14,0)</f>
        <v>Pending</v>
      </c>
      <c r="V153" s="34" t="s">
        <v>28</v>
      </c>
      <c r="W153" s="34">
        <f t="shared" ref="W153" si="396">+S153-M153</f>
        <v>3000</v>
      </c>
      <c r="X153" s="34" t="s">
        <v>36</v>
      </c>
      <c r="Y153" s="34" t="s">
        <v>29</v>
      </c>
      <c r="Z153" s="36">
        <f t="shared" ref="Z153" si="397">+W153*100/M153</f>
        <v>15.789473684210526</v>
      </c>
      <c r="AA153" s="34"/>
    </row>
    <row r="154" spans="1:27" ht="15.75" customHeight="1">
      <c r="A154" s="34">
        <f>SUBTOTAL(3,C$2:C154)</f>
        <v>153</v>
      </c>
      <c r="B154" s="34" t="s">
        <v>1086</v>
      </c>
      <c r="C154" s="37" t="s">
        <v>31</v>
      </c>
      <c r="D154" s="34" t="s">
        <v>32</v>
      </c>
      <c r="E154" s="34" t="s">
        <v>33</v>
      </c>
      <c r="F154" s="34" t="s">
        <v>696</v>
      </c>
      <c r="G154" s="34" t="s">
        <v>34</v>
      </c>
      <c r="H154" s="55" t="s">
        <v>2319</v>
      </c>
      <c r="I154" s="35">
        <v>46170</v>
      </c>
      <c r="J154" s="34">
        <f t="shared" ref="J154" ca="1" si="398">+TODAY()-I154</f>
        <v>14</v>
      </c>
      <c r="K154" s="34" t="str">
        <f t="shared" ref="K154" si="399">+U154</f>
        <v>Pending</v>
      </c>
      <c r="L154" s="34" t="s">
        <v>397</v>
      </c>
      <c r="M154" s="34">
        <v>19000</v>
      </c>
      <c r="N154" s="34">
        <v>17000</v>
      </c>
      <c r="O154" s="35">
        <v>46170</v>
      </c>
      <c r="P154" s="34">
        <f t="shared" ref="P154" si="400">+M154-N154</f>
        <v>2000</v>
      </c>
      <c r="Q154" s="17" t="s">
        <v>33</v>
      </c>
      <c r="R154" s="34" t="s">
        <v>61</v>
      </c>
      <c r="S154" s="34">
        <v>22000</v>
      </c>
      <c r="T154" s="34" t="str">
        <f>VLOOKUP(H154,'[1]MIS Sanjeev Auto'!$H$1:$T$168,13,0)</f>
        <v>Pending</v>
      </c>
      <c r="U154" s="35" t="str">
        <f>VLOOKUP(H154,'[1]MIS Sanjeev Auto'!$H$1:$U$168,14,0)</f>
        <v>Pending</v>
      </c>
      <c r="V154" s="34" t="s">
        <v>28</v>
      </c>
      <c r="W154" s="34">
        <f t="shared" ref="W154" si="401">+S154-M154</f>
        <v>3000</v>
      </c>
      <c r="X154" s="34" t="s">
        <v>36</v>
      </c>
      <c r="Y154" s="34" t="s">
        <v>29</v>
      </c>
      <c r="Z154" s="36">
        <f t="shared" ref="Z154" si="402">+W154*100/M154</f>
        <v>15.789473684210526</v>
      </c>
      <c r="AA154" s="34"/>
    </row>
    <row r="155" spans="1:27" ht="15.75" customHeight="1">
      <c r="A155" s="34">
        <f>SUBTOTAL(3,C$2:C155)</f>
        <v>154</v>
      </c>
      <c r="B155" s="34" t="s">
        <v>1086</v>
      </c>
      <c r="C155" s="37" t="s">
        <v>31</v>
      </c>
      <c r="D155" s="34" t="s">
        <v>32</v>
      </c>
      <c r="E155" s="34" t="s">
        <v>33</v>
      </c>
      <c r="F155" s="34" t="s">
        <v>193</v>
      </c>
      <c r="G155" s="34" t="s">
        <v>34</v>
      </c>
      <c r="H155" s="55" t="s">
        <v>2392</v>
      </c>
      <c r="I155" s="35">
        <v>46170</v>
      </c>
      <c r="J155" s="34">
        <f t="shared" ref="J155" ca="1" si="403">+TODAY()-I155</f>
        <v>14</v>
      </c>
      <c r="K155" s="34" t="str">
        <f t="shared" ref="K155" si="404">+U155</f>
        <v>Pending</v>
      </c>
      <c r="L155" s="34" t="s">
        <v>397</v>
      </c>
      <c r="M155" s="34">
        <v>19000</v>
      </c>
      <c r="N155" s="34">
        <v>17000</v>
      </c>
      <c r="O155" s="35">
        <v>46171</v>
      </c>
      <c r="P155" s="34">
        <f t="shared" ref="P155" si="405">+M155-N155</f>
        <v>2000</v>
      </c>
      <c r="Q155" s="17" t="s">
        <v>33</v>
      </c>
      <c r="R155" s="34" t="s">
        <v>61</v>
      </c>
      <c r="S155" s="34">
        <v>22000</v>
      </c>
      <c r="T155" s="34" t="str">
        <f>VLOOKUP(H155,'[1]MIS Sanjeev Auto'!$H$1:$T$168,13,0)</f>
        <v>Pending</v>
      </c>
      <c r="U155" s="35" t="str">
        <f>VLOOKUP(H155,'[1]MIS Sanjeev Auto'!$H$1:$U$168,14,0)</f>
        <v>Pending</v>
      </c>
      <c r="V155" s="34" t="s">
        <v>28</v>
      </c>
      <c r="W155" s="34">
        <f t="shared" ref="W155" si="406">+S155-M155</f>
        <v>3000</v>
      </c>
      <c r="X155" s="34" t="s">
        <v>36</v>
      </c>
      <c r="Y155" s="34" t="s">
        <v>29</v>
      </c>
      <c r="Z155" s="36">
        <f t="shared" ref="Z155" si="407">+W155*100/M155</f>
        <v>15.789473684210526</v>
      </c>
      <c r="AA155" s="34"/>
    </row>
    <row r="156" spans="1:27" ht="15.75" customHeight="1">
      <c r="A156" s="34">
        <f>SUBTOTAL(3,C$2:C156)</f>
        <v>155</v>
      </c>
      <c r="B156" s="34" t="s">
        <v>1086</v>
      </c>
      <c r="C156" s="37" t="s">
        <v>31</v>
      </c>
      <c r="D156" s="34" t="s">
        <v>32</v>
      </c>
      <c r="E156" s="34" t="s">
        <v>33</v>
      </c>
      <c r="F156" s="34" t="s">
        <v>249</v>
      </c>
      <c r="G156" s="34" t="s">
        <v>34</v>
      </c>
      <c r="H156" s="55" t="s">
        <v>2393</v>
      </c>
      <c r="I156" s="35">
        <v>46171</v>
      </c>
      <c r="J156" s="34">
        <f t="shared" ref="J156" ca="1" si="408">+TODAY()-I156</f>
        <v>13</v>
      </c>
      <c r="K156" s="34" t="str">
        <f t="shared" ref="K156" si="409">+U156</f>
        <v>Pending</v>
      </c>
      <c r="L156" s="34" t="s">
        <v>397</v>
      </c>
      <c r="M156" s="34">
        <v>19000</v>
      </c>
      <c r="N156" s="34">
        <v>17000</v>
      </c>
      <c r="O156" s="35">
        <v>46171</v>
      </c>
      <c r="P156" s="34">
        <f t="shared" ref="P156" si="410">+M156-N156</f>
        <v>2000</v>
      </c>
      <c r="Q156" s="17" t="s">
        <v>33</v>
      </c>
      <c r="R156" s="34" t="s">
        <v>61</v>
      </c>
      <c r="S156" s="34">
        <v>22000</v>
      </c>
      <c r="T156" s="34" t="str">
        <f>VLOOKUP(H156,'[1]MIS Sanjeev Auto'!$H$1:$T$168,13,0)</f>
        <v>Pending</v>
      </c>
      <c r="U156" s="35" t="str">
        <f>VLOOKUP(H156,'[1]MIS Sanjeev Auto'!$H$1:$U$168,14,0)</f>
        <v>Pending</v>
      </c>
      <c r="V156" s="34" t="s">
        <v>28</v>
      </c>
      <c r="W156" s="34">
        <f t="shared" ref="W156" si="411">+S156-M156</f>
        <v>3000</v>
      </c>
      <c r="X156" s="34" t="s">
        <v>36</v>
      </c>
      <c r="Y156" s="34" t="s">
        <v>29</v>
      </c>
      <c r="Z156" s="36">
        <f t="shared" ref="Z156" si="412">+W156*100/M156</f>
        <v>15.789473684210526</v>
      </c>
      <c r="AA156" s="34"/>
    </row>
    <row r="157" spans="1:27" ht="15.75" customHeight="1">
      <c r="A157" s="34">
        <f>SUBTOTAL(3,C$2:C157)</f>
        <v>156</v>
      </c>
      <c r="B157" s="34" t="s">
        <v>1086</v>
      </c>
      <c r="C157" s="37" t="s">
        <v>31</v>
      </c>
      <c r="D157" s="34" t="s">
        <v>32</v>
      </c>
      <c r="E157" s="34" t="s">
        <v>33</v>
      </c>
      <c r="F157" s="34" t="s">
        <v>2358</v>
      </c>
      <c r="G157" s="34" t="s">
        <v>34</v>
      </c>
      <c r="H157" s="55" t="s">
        <v>2394</v>
      </c>
      <c r="I157" s="35">
        <v>46170</v>
      </c>
      <c r="J157" s="34">
        <f t="shared" ref="J157:J158" ca="1" si="413">+TODAY()-I157</f>
        <v>14</v>
      </c>
      <c r="K157" s="34" t="str">
        <f t="shared" ref="K157:K158" si="414">+U157</f>
        <v>Pending</v>
      </c>
      <c r="L157" s="34" t="s">
        <v>397</v>
      </c>
      <c r="M157" s="34">
        <v>19000</v>
      </c>
      <c r="N157" s="34">
        <v>17000</v>
      </c>
      <c r="O157" s="35">
        <v>46171</v>
      </c>
      <c r="P157" s="34">
        <f t="shared" ref="P157:P158" si="415">+M157-N157</f>
        <v>2000</v>
      </c>
      <c r="Q157" s="17" t="s">
        <v>33</v>
      </c>
      <c r="R157" s="34" t="s">
        <v>61</v>
      </c>
      <c r="S157" s="34">
        <v>22000</v>
      </c>
      <c r="T157" s="34" t="str">
        <f>VLOOKUP(H157,'[1]MIS Sanjeev Auto'!$H$1:$T$168,13,0)</f>
        <v>Pending</v>
      </c>
      <c r="U157" s="35" t="str">
        <f>VLOOKUP(H157,'[1]MIS Sanjeev Auto'!$H$1:$U$168,14,0)</f>
        <v>Pending</v>
      </c>
      <c r="V157" s="34" t="s">
        <v>28</v>
      </c>
      <c r="W157" s="34">
        <f t="shared" ref="W157:W158" si="416">+S157-M157</f>
        <v>3000</v>
      </c>
      <c r="X157" s="34" t="s">
        <v>36</v>
      </c>
      <c r="Y157" s="34" t="s">
        <v>29</v>
      </c>
      <c r="Z157" s="36">
        <f t="shared" ref="Z157:Z158" si="417">+W157*100/M157</f>
        <v>15.789473684210526</v>
      </c>
      <c r="AA157" s="34"/>
    </row>
    <row r="158" spans="1:27" ht="15.75" customHeight="1">
      <c r="A158" s="34">
        <f>SUBTOTAL(3,C$2:C158)</f>
        <v>157</v>
      </c>
      <c r="B158" s="34" t="s">
        <v>1086</v>
      </c>
      <c r="C158" s="37" t="s">
        <v>44</v>
      </c>
      <c r="D158" s="34" t="s">
        <v>32</v>
      </c>
      <c r="E158" s="34" t="s">
        <v>33</v>
      </c>
      <c r="F158" s="34" t="s">
        <v>1414</v>
      </c>
      <c r="G158" s="34" t="s">
        <v>1093</v>
      </c>
      <c r="H158" s="55" t="s">
        <v>2414</v>
      </c>
      <c r="I158" s="35">
        <v>46170</v>
      </c>
      <c r="J158" s="34">
        <f t="shared" ca="1" si="413"/>
        <v>14</v>
      </c>
      <c r="K158" s="34" t="str">
        <f t="shared" si="414"/>
        <v>Pending</v>
      </c>
      <c r="L158" s="34" t="s">
        <v>2415</v>
      </c>
      <c r="M158" s="34">
        <v>33000</v>
      </c>
      <c r="N158" s="34">
        <v>30000</v>
      </c>
      <c r="O158" s="35">
        <v>46172</v>
      </c>
      <c r="P158" s="34">
        <f t="shared" si="415"/>
        <v>3000</v>
      </c>
      <c r="Q158" s="17" t="s">
        <v>33</v>
      </c>
      <c r="R158" s="34" t="s">
        <v>61</v>
      </c>
      <c r="S158" s="34">
        <v>38000</v>
      </c>
      <c r="T158" s="34" t="str">
        <f>VLOOKUP(H158,'[1]MIS Sanjeev Auto'!$H$1:$T$168,13,0)</f>
        <v>Pending</v>
      </c>
      <c r="U158" s="35" t="str">
        <f>VLOOKUP(H158,'[1]MIS Sanjeev Auto'!$H$1:$U$168,14,0)</f>
        <v>Pending</v>
      </c>
      <c r="V158" s="34" t="s">
        <v>28</v>
      </c>
      <c r="W158" s="34">
        <f t="shared" si="416"/>
        <v>5000</v>
      </c>
      <c r="X158" s="34" t="s">
        <v>36</v>
      </c>
      <c r="Y158" s="34" t="s">
        <v>29</v>
      </c>
      <c r="Z158" s="36">
        <f t="shared" si="417"/>
        <v>15.151515151515152</v>
      </c>
      <c r="AA158" s="34"/>
    </row>
    <row r="159" spans="1:27" ht="15.75" customHeight="1">
      <c r="A159" s="34">
        <f>SUBTOTAL(3,C$2:C159)</f>
        <v>158</v>
      </c>
      <c r="B159" s="34" t="s">
        <v>1086</v>
      </c>
      <c r="C159" s="37" t="s">
        <v>44</v>
      </c>
      <c r="D159" s="34" t="s">
        <v>32</v>
      </c>
      <c r="E159" s="34" t="s">
        <v>33</v>
      </c>
      <c r="F159" s="34" t="s">
        <v>2416</v>
      </c>
      <c r="G159" s="34" t="s">
        <v>59</v>
      </c>
      <c r="H159" s="55" t="s">
        <v>2417</v>
      </c>
      <c r="I159" s="35">
        <v>46170</v>
      </c>
      <c r="J159" s="34">
        <f t="shared" ref="J159" ca="1" si="418">+TODAY()-I159</f>
        <v>14</v>
      </c>
      <c r="K159" s="34" t="str">
        <f t="shared" ref="K159" si="419">+U159</f>
        <v>Pending</v>
      </c>
      <c r="L159" s="34" t="s">
        <v>705</v>
      </c>
      <c r="M159" s="34">
        <v>27500</v>
      </c>
      <c r="N159" s="34">
        <v>24500</v>
      </c>
      <c r="O159" s="35">
        <v>46172</v>
      </c>
      <c r="P159" s="34">
        <f t="shared" ref="P159" si="420">+M159-N159</f>
        <v>3000</v>
      </c>
      <c r="Q159" s="17" t="s">
        <v>33</v>
      </c>
      <c r="R159" s="34" t="s">
        <v>61</v>
      </c>
      <c r="S159" s="34">
        <v>32000</v>
      </c>
      <c r="T159" s="34" t="str">
        <f>VLOOKUP(H159,'[1]MIS Sanjeev Auto'!$H$1:$T$168,13,0)</f>
        <v>Pending</v>
      </c>
      <c r="U159" s="35" t="str">
        <f>VLOOKUP(H159,'[1]MIS Sanjeev Auto'!$H$1:$U$168,14,0)</f>
        <v>Pending</v>
      </c>
      <c r="V159" s="34" t="s">
        <v>28</v>
      </c>
      <c r="W159" s="34">
        <f t="shared" ref="W159" si="421">+S159-M159</f>
        <v>4500</v>
      </c>
      <c r="X159" s="34" t="s">
        <v>36</v>
      </c>
      <c r="Y159" s="34" t="s">
        <v>29</v>
      </c>
      <c r="Z159" s="36">
        <f t="shared" ref="Z159" si="422">+W159*100/M159</f>
        <v>16.363636363636363</v>
      </c>
      <c r="AA159" s="34"/>
    </row>
    <row r="160" spans="1:27" ht="15.75" customHeight="1">
      <c r="A160" s="34">
        <f>SUBTOTAL(3,C$2:C160)</f>
        <v>159</v>
      </c>
      <c r="B160" s="34" t="s">
        <v>1086</v>
      </c>
      <c r="C160" s="37" t="s">
        <v>44</v>
      </c>
      <c r="D160" s="34" t="s">
        <v>32</v>
      </c>
      <c r="E160" s="34" t="s">
        <v>33</v>
      </c>
      <c r="F160" s="34" t="s">
        <v>1984</v>
      </c>
      <c r="G160" s="34" t="s">
        <v>59</v>
      </c>
      <c r="H160" s="39" t="s">
        <v>2418</v>
      </c>
      <c r="I160" s="35">
        <v>46168</v>
      </c>
      <c r="J160" s="34">
        <f t="shared" ref="J160:J162" ca="1" si="423">+TODAY()-I160</f>
        <v>16</v>
      </c>
      <c r="K160" s="34" t="str">
        <f t="shared" ref="K160:K162" si="424">+U160</f>
        <v>Pending</v>
      </c>
      <c r="L160" s="34" t="s">
        <v>705</v>
      </c>
      <c r="M160" s="34">
        <v>27500</v>
      </c>
      <c r="N160" s="34">
        <v>24500</v>
      </c>
      <c r="O160" s="35">
        <v>46172</v>
      </c>
      <c r="P160" s="34">
        <f t="shared" ref="P160:P162" si="425">+M160-N160</f>
        <v>3000</v>
      </c>
      <c r="Q160" s="17" t="s">
        <v>33</v>
      </c>
      <c r="R160" s="34" t="s">
        <v>61</v>
      </c>
      <c r="S160" s="34">
        <v>32000</v>
      </c>
      <c r="T160" s="34" t="str">
        <f>VLOOKUP(H160,'[1]MIS Sanjeev Auto'!$H$1:$T$168,13,0)</f>
        <v>Pending</v>
      </c>
      <c r="U160" s="35" t="str">
        <f>VLOOKUP(H160,'[1]MIS Sanjeev Auto'!$H$1:$U$168,14,0)</f>
        <v>Pending</v>
      </c>
      <c r="V160" s="34" t="s">
        <v>28</v>
      </c>
      <c r="W160" s="34">
        <f t="shared" ref="W160:W162" si="426">+S160-M160</f>
        <v>4500</v>
      </c>
      <c r="X160" s="34" t="s">
        <v>36</v>
      </c>
      <c r="Y160" s="34" t="s">
        <v>29</v>
      </c>
      <c r="Z160" s="36">
        <f t="shared" ref="Z160:Z162" si="427">+W160*100/M160</f>
        <v>16.363636363636363</v>
      </c>
      <c r="AA160" s="34"/>
    </row>
    <row r="161" spans="1:27" ht="15.75" customHeight="1">
      <c r="A161" s="34">
        <f>SUBTOTAL(3,C$2:C161)</f>
        <v>160</v>
      </c>
      <c r="B161" s="34" t="s">
        <v>1086</v>
      </c>
      <c r="C161" s="37" t="s">
        <v>31</v>
      </c>
      <c r="D161" s="34" t="s">
        <v>32</v>
      </c>
      <c r="E161" s="34" t="s">
        <v>33</v>
      </c>
      <c r="F161" s="34" t="s">
        <v>92</v>
      </c>
      <c r="G161" s="34" t="s">
        <v>34</v>
      </c>
      <c r="H161" s="55" t="s">
        <v>2437</v>
      </c>
      <c r="I161" s="35">
        <v>46170</v>
      </c>
      <c r="J161" s="34">
        <f t="shared" ca="1" si="423"/>
        <v>14</v>
      </c>
      <c r="K161" s="34" t="str">
        <f t="shared" si="424"/>
        <v>Pending</v>
      </c>
      <c r="L161" s="34" t="s">
        <v>397</v>
      </c>
      <c r="M161" s="34">
        <v>19000</v>
      </c>
      <c r="N161" s="34">
        <v>17000</v>
      </c>
      <c r="O161" s="35">
        <v>46172</v>
      </c>
      <c r="P161" s="34">
        <f t="shared" si="425"/>
        <v>2000</v>
      </c>
      <c r="Q161" s="17" t="s">
        <v>33</v>
      </c>
      <c r="R161" s="34" t="s">
        <v>61</v>
      </c>
      <c r="S161" s="34">
        <v>22000</v>
      </c>
      <c r="T161" s="34" t="str">
        <f>VLOOKUP(H161,'[1]MIS Sanjeev Auto'!$H$1:$T$168,13,0)</f>
        <v>Pending</v>
      </c>
      <c r="U161" s="35" t="str">
        <f>VLOOKUP(H161,'[1]MIS Sanjeev Auto'!$H$1:$U$168,14,0)</f>
        <v>Pending</v>
      </c>
      <c r="V161" s="34" t="s">
        <v>28</v>
      </c>
      <c r="W161" s="34">
        <f t="shared" si="426"/>
        <v>3000</v>
      </c>
      <c r="X161" s="34" t="s">
        <v>36</v>
      </c>
      <c r="Y161" s="34" t="s">
        <v>29</v>
      </c>
      <c r="Z161" s="36">
        <f t="shared" si="427"/>
        <v>15.789473684210526</v>
      </c>
      <c r="AA161" s="34"/>
    </row>
    <row r="162" spans="1:27" ht="15.75" customHeight="1">
      <c r="A162" s="34">
        <f>SUBTOTAL(3,C$2:C162)</f>
        <v>161</v>
      </c>
      <c r="B162" s="34" t="s">
        <v>1086</v>
      </c>
      <c r="C162" s="37" t="s">
        <v>57</v>
      </c>
      <c r="D162" s="34" t="s">
        <v>32</v>
      </c>
      <c r="E162" s="34" t="s">
        <v>33</v>
      </c>
      <c r="F162" s="34" t="s">
        <v>1041</v>
      </c>
      <c r="G162" s="34" t="s">
        <v>59</v>
      </c>
      <c r="H162" s="55" t="s">
        <v>2453</v>
      </c>
      <c r="I162" s="35">
        <v>46171</v>
      </c>
      <c r="J162" s="34">
        <f t="shared" ca="1" si="423"/>
        <v>13</v>
      </c>
      <c r="K162" s="34" t="str">
        <f t="shared" si="424"/>
        <v>Pending</v>
      </c>
      <c r="L162" s="34" t="s">
        <v>60</v>
      </c>
      <c r="M162" s="34">
        <v>39000</v>
      </c>
      <c r="N162" s="34">
        <v>34000</v>
      </c>
      <c r="O162" s="35">
        <v>46172</v>
      </c>
      <c r="P162" s="34">
        <f t="shared" si="425"/>
        <v>5000</v>
      </c>
      <c r="Q162" s="17" t="s">
        <v>33</v>
      </c>
      <c r="R162" s="34" t="s">
        <v>61</v>
      </c>
      <c r="S162" s="34">
        <v>46000</v>
      </c>
      <c r="T162" s="34" t="str">
        <f>VLOOKUP(H162,'[1]MIS Sanjeev Auto'!$H$1:$T$168,13,0)</f>
        <v>Pending</v>
      </c>
      <c r="U162" s="35" t="str">
        <f>VLOOKUP(H162,'[1]MIS Sanjeev Auto'!$H$1:$U$168,14,0)</f>
        <v>Pending</v>
      </c>
      <c r="V162" s="34" t="s">
        <v>28</v>
      </c>
      <c r="W162" s="34">
        <f t="shared" si="426"/>
        <v>7000</v>
      </c>
      <c r="X162" s="34" t="s">
        <v>36</v>
      </c>
      <c r="Y162" s="34" t="s">
        <v>29</v>
      </c>
      <c r="Z162" s="36">
        <f t="shared" si="427"/>
        <v>17.948717948717949</v>
      </c>
      <c r="AA162" s="34"/>
    </row>
    <row r="163" spans="1:27" ht="15.75" customHeight="1">
      <c r="A163" s="34">
        <f>SUBTOTAL(3,C$2:C163)</f>
        <v>162</v>
      </c>
      <c r="B163" s="34" t="s">
        <v>1086</v>
      </c>
      <c r="C163" s="37" t="s">
        <v>31</v>
      </c>
      <c r="D163" s="34" t="s">
        <v>32</v>
      </c>
      <c r="E163" s="34" t="s">
        <v>33</v>
      </c>
      <c r="F163" s="34" t="s">
        <v>615</v>
      </c>
      <c r="G163" s="34" t="s">
        <v>34</v>
      </c>
      <c r="H163" s="55" t="s">
        <v>2454</v>
      </c>
      <c r="I163" s="35">
        <v>46172</v>
      </c>
      <c r="J163" s="34">
        <f t="shared" ref="J163:J164" ca="1" si="428">+TODAY()-I163</f>
        <v>12</v>
      </c>
      <c r="K163" s="34" t="str">
        <f t="shared" ref="K163:K164" si="429">+U163</f>
        <v>Pending</v>
      </c>
      <c r="L163" s="34" t="s">
        <v>397</v>
      </c>
      <c r="M163" s="34">
        <v>19000</v>
      </c>
      <c r="N163" s="34">
        <v>17000</v>
      </c>
      <c r="O163" s="35">
        <v>46172</v>
      </c>
      <c r="P163" s="34">
        <f t="shared" ref="P163:P164" si="430">+M163-N163</f>
        <v>2000</v>
      </c>
      <c r="Q163" s="17" t="s">
        <v>33</v>
      </c>
      <c r="R163" s="34" t="s">
        <v>61</v>
      </c>
      <c r="S163" s="34">
        <v>22000</v>
      </c>
      <c r="T163" s="34" t="str">
        <f>VLOOKUP(H163,'[1]MIS Sanjeev Auto'!$H$1:$T$168,13,0)</f>
        <v>Pending</v>
      </c>
      <c r="U163" s="35" t="str">
        <f>VLOOKUP(H163,'[1]MIS Sanjeev Auto'!$H$1:$U$168,14,0)</f>
        <v>Pending</v>
      </c>
      <c r="V163" s="34" t="s">
        <v>28</v>
      </c>
      <c r="W163" s="34">
        <f t="shared" ref="W163:W164" si="431">+S163-M163</f>
        <v>3000</v>
      </c>
      <c r="X163" s="34" t="s">
        <v>36</v>
      </c>
      <c r="Y163" s="34" t="s">
        <v>29</v>
      </c>
      <c r="Z163" s="36">
        <f t="shared" ref="Z163:Z164" si="432">+W163*100/M163</f>
        <v>15.789473684210526</v>
      </c>
      <c r="AA163" s="34"/>
    </row>
    <row r="164" spans="1:27" ht="15.75" customHeight="1">
      <c r="A164" s="34">
        <f>SUBTOTAL(3,C$2:C164)</f>
        <v>163</v>
      </c>
      <c r="B164" s="34" t="s">
        <v>2469</v>
      </c>
      <c r="C164" s="37" t="s">
        <v>44</v>
      </c>
      <c r="D164" s="34" t="s">
        <v>32</v>
      </c>
      <c r="E164" s="34" t="s">
        <v>33</v>
      </c>
      <c r="F164" s="34" t="s">
        <v>126</v>
      </c>
      <c r="G164" s="34" t="s">
        <v>59</v>
      </c>
      <c r="H164" s="55" t="s">
        <v>2476</v>
      </c>
      <c r="I164" s="35">
        <v>46172</v>
      </c>
      <c r="J164" s="34">
        <f t="shared" ca="1" si="428"/>
        <v>12</v>
      </c>
      <c r="K164" s="34" t="str">
        <f t="shared" si="429"/>
        <v>Pending</v>
      </c>
      <c r="L164" s="34" t="s">
        <v>705</v>
      </c>
      <c r="M164" s="34">
        <v>27500</v>
      </c>
      <c r="N164" s="34">
        <v>24500</v>
      </c>
      <c r="O164" s="35">
        <v>46174</v>
      </c>
      <c r="P164" s="34">
        <f t="shared" si="430"/>
        <v>3000</v>
      </c>
      <c r="Q164" s="17" t="s">
        <v>33</v>
      </c>
      <c r="R164" s="34" t="s">
        <v>61</v>
      </c>
      <c r="S164" s="34">
        <v>32000</v>
      </c>
      <c r="T164" s="34" t="str">
        <f>VLOOKUP(H164,'[1]MIS Sanjeev Auto'!$H$1:$T$168,13,0)</f>
        <v>Pending</v>
      </c>
      <c r="U164" s="35" t="str">
        <f>VLOOKUP(H164,'[1]MIS Sanjeev Auto'!$H$1:$U$168,14,0)</f>
        <v>Pending</v>
      </c>
      <c r="V164" s="34" t="s">
        <v>28</v>
      </c>
      <c r="W164" s="34">
        <f t="shared" si="431"/>
        <v>4500</v>
      </c>
      <c r="X164" s="34" t="s">
        <v>36</v>
      </c>
      <c r="Y164" s="34" t="s">
        <v>29</v>
      </c>
      <c r="Z164" s="36">
        <f t="shared" si="432"/>
        <v>16.363636363636363</v>
      </c>
      <c r="AA164" s="34"/>
    </row>
    <row r="165" spans="1:27" ht="15.75" customHeight="1">
      <c r="A165" s="34">
        <f>SUBTOTAL(3,C$2:C165)</f>
        <v>164</v>
      </c>
      <c r="B165" s="34" t="s">
        <v>2469</v>
      </c>
      <c r="C165" s="37" t="s">
        <v>31</v>
      </c>
      <c r="D165" s="34" t="s">
        <v>32</v>
      </c>
      <c r="E165" s="34" t="s">
        <v>33</v>
      </c>
      <c r="F165" s="34" t="s">
        <v>349</v>
      </c>
      <c r="G165" s="34" t="s">
        <v>34</v>
      </c>
      <c r="H165" s="55" t="s">
        <v>2534</v>
      </c>
      <c r="I165" s="35">
        <v>46172</v>
      </c>
      <c r="J165" s="34">
        <f t="shared" ref="J165:J167" ca="1" si="433">+TODAY()-I165</f>
        <v>12</v>
      </c>
      <c r="K165" s="34" t="str">
        <f t="shared" ref="K165:K167" si="434">+U165</f>
        <v>Pending</v>
      </c>
      <c r="L165" s="34" t="s">
        <v>397</v>
      </c>
      <c r="M165" s="34">
        <v>19000</v>
      </c>
      <c r="N165" s="34">
        <v>17000</v>
      </c>
      <c r="O165" s="35">
        <v>46175</v>
      </c>
      <c r="P165" s="34">
        <f t="shared" ref="P165:P167" si="435">+M165-N165</f>
        <v>2000</v>
      </c>
      <c r="Q165" s="17" t="s">
        <v>33</v>
      </c>
      <c r="R165" s="34" t="s">
        <v>61</v>
      </c>
      <c r="S165" s="34">
        <v>22000</v>
      </c>
      <c r="T165" s="34" t="str">
        <f>VLOOKUP(H165,'[1]MIS Sanjeev Auto'!$H$1:$T$168,13,0)</f>
        <v>Pending</v>
      </c>
      <c r="U165" s="35" t="str">
        <f>VLOOKUP(H165,'[1]MIS Sanjeev Auto'!$H$1:$U$168,14,0)</f>
        <v>Pending</v>
      </c>
      <c r="V165" s="34" t="s">
        <v>28</v>
      </c>
      <c r="W165" s="34">
        <f t="shared" ref="W165:W167" si="436">+S165-M165</f>
        <v>3000</v>
      </c>
      <c r="X165" s="34" t="s">
        <v>36</v>
      </c>
      <c r="Y165" s="34" t="s">
        <v>29</v>
      </c>
      <c r="Z165" s="36">
        <f t="shared" ref="Z165:Z167" si="437">+W165*100/M165</f>
        <v>15.789473684210526</v>
      </c>
      <c r="AA165" s="34"/>
    </row>
    <row r="166" spans="1:27" ht="15.75" customHeight="1">
      <c r="A166" s="34">
        <f>SUBTOTAL(3,C$2:C166)</f>
        <v>165</v>
      </c>
      <c r="B166" s="34" t="s">
        <v>2469</v>
      </c>
      <c r="C166" s="37" t="s">
        <v>80</v>
      </c>
      <c r="D166" s="34" t="s">
        <v>32</v>
      </c>
      <c r="E166" s="34" t="s">
        <v>33</v>
      </c>
      <c r="F166" s="34" t="s">
        <v>2529</v>
      </c>
      <c r="G166" s="34" t="s">
        <v>59</v>
      </c>
      <c r="H166" s="55" t="s">
        <v>2535</v>
      </c>
      <c r="I166" s="35">
        <v>46172</v>
      </c>
      <c r="J166" s="34">
        <f t="shared" ca="1" si="433"/>
        <v>12</v>
      </c>
      <c r="K166" s="34" t="str">
        <f t="shared" si="434"/>
        <v>Pending</v>
      </c>
      <c r="L166" s="34" t="s">
        <v>2247</v>
      </c>
      <c r="M166" s="34">
        <v>39000</v>
      </c>
      <c r="N166" s="34">
        <v>34000</v>
      </c>
      <c r="O166" s="35">
        <v>46175</v>
      </c>
      <c r="P166" s="34">
        <f t="shared" si="435"/>
        <v>5000</v>
      </c>
      <c r="Q166" s="17" t="s">
        <v>33</v>
      </c>
      <c r="R166" s="34" t="s">
        <v>61</v>
      </c>
      <c r="S166" s="34">
        <v>46000</v>
      </c>
      <c r="T166" s="34" t="str">
        <f>VLOOKUP(H166,'[1]MIS Sanjeev Auto'!$H$1:$T$168,13,0)</f>
        <v>Pending</v>
      </c>
      <c r="U166" s="35" t="str">
        <f>VLOOKUP(H166,'[1]MIS Sanjeev Auto'!$H$1:$U$168,14,0)</f>
        <v>Pending</v>
      </c>
      <c r="V166" s="34" t="s">
        <v>28</v>
      </c>
      <c r="W166" s="34">
        <f t="shared" si="436"/>
        <v>7000</v>
      </c>
      <c r="X166" s="34" t="s">
        <v>36</v>
      </c>
      <c r="Y166" s="34" t="s">
        <v>29</v>
      </c>
      <c r="Z166" s="36">
        <f t="shared" si="437"/>
        <v>17.948717948717949</v>
      </c>
      <c r="AA166" s="34"/>
    </row>
    <row r="167" spans="1:27" ht="15.75" customHeight="1">
      <c r="A167" s="34">
        <f>SUBTOTAL(3,C$2:C167)</f>
        <v>166</v>
      </c>
      <c r="B167" s="34" t="s">
        <v>2469</v>
      </c>
      <c r="C167" s="37" t="s">
        <v>31</v>
      </c>
      <c r="D167" s="34" t="s">
        <v>32</v>
      </c>
      <c r="E167" s="34" t="s">
        <v>33</v>
      </c>
      <c r="F167" s="34" t="s">
        <v>1642</v>
      </c>
      <c r="G167" s="34" t="s">
        <v>34</v>
      </c>
      <c r="H167" s="55" t="s">
        <v>2537</v>
      </c>
      <c r="I167" s="35">
        <v>46172</v>
      </c>
      <c r="J167" s="34">
        <f t="shared" ca="1" si="433"/>
        <v>12</v>
      </c>
      <c r="K167" s="34" t="str">
        <f t="shared" si="434"/>
        <v>Pending</v>
      </c>
      <c r="L167" s="34" t="s">
        <v>397</v>
      </c>
      <c r="M167" s="34">
        <v>19000</v>
      </c>
      <c r="N167" s="34">
        <v>17000</v>
      </c>
      <c r="O167" s="35">
        <v>46175</v>
      </c>
      <c r="P167" s="34">
        <f t="shared" si="435"/>
        <v>2000</v>
      </c>
      <c r="Q167" s="17" t="s">
        <v>33</v>
      </c>
      <c r="R167" s="34" t="s">
        <v>61</v>
      </c>
      <c r="S167" s="34">
        <v>22000</v>
      </c>
      <c r="T167" s="34" t="str">
        <f>VLOOKUP(H167,'[1]MIS Sanjeev Auto'!$H$1:$T$168,13,0)</f>
        <v>Pending</v>
      </c>
      <c r="U167" s="35" t="str">
        <f>VLOOKUP(H167,'[1]MIS Sanjeev Auto'!$H$1:$U$168,14,0)</f>
        <v>Pending</v>
      </c>
      <c r="V167" s="34" t="s">
        <v>28</v>
      </c>
      <c r="W167" s="34">
        <f t="shared" si="436"/>
        <v>3000</v>
      </c>
      <c r="X167" s="34" t="s">
        <v>36</v>
      </c>
      <c r="Y167" s="34" t="s">
        <v>29</v>
      </c>
      <c r="Z167" s="36">
        <f t="shared" si="437"/>
        <v>15.789473684210526</v>
      </c>
      <c r="AA167" s="34"/>
    </row>
    <row r="168" spans="1:27" ht="15.75" customHeight="1">
      <c r="A168" s="34">
        <f>SUBTOTAL(3,C$2:C168)</f>
        <v>167</v>
      </c>
      <c r="B168" s="34" t="s">
        <v>2469</v>
      </c>
      <c r="C168" s="37" t="s">
        <v>80</v>
      </c>
      <c r="D168" s="34" t="s">
        <v>32</v>
      </c>
      <c r="E168" s="34" t="s">
        <v>33</v>
      </c>
      <c r="F168" s="34" t="s">
        <v>1364</v>
      </c>
      <c r="G168" s="34" t="s">
        <v>59</v>
      </c>
      <c r="H168" s="55" t="s">
        <v>2536</v>
      </c>
      <c r="I168" s="35">
        <v>46173</v>
      </c>
      <c r="J168" s="34">
        <f t="shared" ref="J168:J169" ca="1" si="438">+TODAY()-I168</f>
        <v>11</v>
      </c>
      <c r="K168" s="34" t="str">
        <f t="shared" ref="K168:K169" si="439">+U168</f>
        <v>Pending</v>
      </c>
      <c r="L168" s="34" t="s">
        <v>2247</v>
      </c>
      <c r="M168" s="34">
        <v>39000</v>
      </c>
      <c r="N168" s="34">
        <v>34000</v>
      </c>
      <c r="O168" s="35">
        <v>46175</v>
      </c>
      <c r="P168" s="34">
        <f t="shared" ref="P168:P169" si="440">+M168-N168</f>
        <v>5000</v>
      </c>
      <c r="Q168" s="17" t="s">
        <v>33</v>
      </c>
      <c r="R168" s="34" t="s">
        <v>61</v>
      </c>
      <c r="S168" s="34">
        <v>46000</v>
      </c>
      <c r="T168" s="34" t="s">
        <v>33</v>
      </c>
      <c r="U168" s="35" t="s">
        <v>33</v>
      </c>
      <c r="V168" s="34" t="s">
        <v>28</v>
      </c>
      <c r="W168" s="34">
        <f t="shared" ref="W168:W169" si="441">+S168-M168</f>
        <v>7000</v>
      </c>
      <c r="X168" s="34" t="s">
        <v>36</v>
      </c>
      <c r="Y168" s="34" t="s">
        <v>29</v>
      </c>
      <c r="Z168" s="36">
        <f t="shared" ref="Z168:Z169" si="442">+W168*100/M168</f>
        <v>17.948717948717949</v>
      </c>
      <c r="AA168" s="34"/>
    </row>
    <row r="169" spans="1:27" ht="15.75" customHeight="1">
      <c r="A169" s="34">
        <f>SUBTOTAL(3,C$2:C169)</f>
        <v>168</v>
      </c>
      <c r="B169" s="34" t="s">
        <v>2469</v>
      </c>
      <c r="C169" s="37" t="s">
        <v>31</v>
      </c>
      <c r="D169" s="34" t="s">
        <v>32</v>
      </c>
      <c r="E169" s="34" t="s">
        <v>33</v>
      </c>
      <c r="F169" s="34" t="s">
        <v>1642</v>
      </c>
      <c r="G169" s="34" t="s">
        <v>34</v>
      </c>
      <c r="H169" s="55" t="s">
        <v>2599</v>
      </c>
      <c r="I169" s="35">
        <v>46174</v>
      </c>
      <c r="J169" s="34">
        <f t="shared" ca="1" si="438"/>
        <v>10</v>
      </c>
      <c r="K169" s="34" t="str">
        <f t="shared" si="439"/>
        <v>Pending</v>
      </c>
      <c r="L169" s="34" t="s">
        <v>397</v>
      </c>
      <c r="M169" s="34">
        <v>19000</v>
      </c>
      <c r="N169" s="34">
        <v>17000</v>
      </c>
      <c r="O169" s="35">
        <v>46176</v>
      </c>
      <c r="P169" s="34">
        <f t="shared" si="440"/>
        <v>2000</v>
      </c>
      <c r="Q169" s="17" t="s">
        <v>33</v>
      </c>
      <c r="R169" s="34" t="s">
        <v>61</v>
      </c>
      <c r="S169" s="34">
        <v>22000</v>
      </c>
      <c r="T169" s="34" t="s">
        <v>33</v>
      </c>
      <c r="U169" s="35" t="s">
        <v>33</v>
      </c>
      <c r="V169" s="34" t="s">
        <v>28</v>
      </c>
      <c r="W169" s="34">
        <f t="shared" si="441"/>
        <v>3000</v>
      </c>
      <c r="X169" s="34" t="s">
        <v>36</v>
      </c>
      <c r="Y169" s="34" t="s">
        <v>29</v>
      </c>
      <c r="Z169" s="36">
        <f t="shared" si="442"/>
        <v>15.789473684210526</v>
      </c>
      <c r="AA169" s="34"/>
    </row>
    <row r="170" spans="1:27" ht="15.75" customHeight="1">
      <c r="A170" s="34">
        <f>SUBTOTAL(3,C$2:C170)</f>
        <v>169</v>
      </c>
      <c r="B170" s="34" t="s">
        <v>2469</v>
      </c>
      <c r="C170" s="37" t="s">
        <v>31</v>
      </c>
      <c r="D170" s="34" t="s">
        <v>32</v>
      </c>
      <c r="E170" s="34" t="s">
        <v>33</v>
      </c>
      <c r="F170" s="34" t="s">
        <v>2601</v>
      </c>
      <c r="G170" s="34" t="s">
        <v>34</v>
      </c>
      <c r="H170" s="55" t="s">
        <v>2600</v>
      </c>
      <c r="I170" s="35">
        <v>46174</v>
      </c>
      <c r="J170" s="34">
        <f t="shared" ref="J170:J171" ca="1" si="443">+TODAY()-I170</f>
        <v>10</v>
      </c>
      <c r="K170" s="34" t="str">
        <f t="shared" ref="K170:K171" si="444">+U170</f>
        <v>Pending</v>
      </c>
      <c r="L170" s="34" t="s">
        <v>397</v>
      </c>
      <c r="M170" s="34">
        <v>19000</v>
      </c>
      <c r="N170" s="34">
        <v>17000</v>
      </c>
      <c r="O170" s="35">
        <v>46176</v>
      </c>
      <c r="P170" s="34">
        <f t="shared" ref="P170:P171" si="445">+M170-N170</f>
        <v>2000</v>
      </c>
      <c r="Q170" s="17" t="s">
        <v>33</v>
      </c>
      <c r="R170" s="34" t="s">
        <v>61</v>
      </c>
      <c r="S170" s="34">
        <v>22000</v>
      </c>
      <c r="T170" s="34" t="s">
        <v>33</v>
      </c>
      <c r="U170" s="35" t="s">
        <v>33</v>
      </c>
      <c r="V170" s="34" t="s">
        <v>28</v>
      </c>
      <c r="W170" s="34">
        <f t="shared" ref="W170:W171" si="446">+S170-M170</f>
        <v>3000</v>
      </c>
      <c r="X170" s="34" t="s">
        <v>36</v>
      </c>
      <c r="Y170" s="34" t="s">
        <v>29</v>
      </c>
      <c r="Z170" s="36">
        <f t="shared" ref="Z170:Z171" si="447">+W170*100/M170</f>
        <v>15.789473684210526</v>
      </c>
      <c r="AA170" s="34"/>
    </row>
    <row r="171" spans="1:27" ht="15.75" customHeight="1">
      <c r="A171" s="34">
        <f>SUBTOTAL(3,C$2:C171)</f>
        <v>170</v>
      </c>
      <c r="B171" s="34" t="s">
        <v>2469</v>
      </c>
      <c r="C171" s="37" t="s">
        <v>80</v>
      </c>
      <c r="D171" s="34" t="s">
        <v>32</v>
      </c>
      <c r="E171" s="34" t="s">
        <v>33</v>
      </c>
      <c r="F171" s="34" t="s">
        <v>613</v>
      </c>
      <c r="G171" s="34" t="s">
        <v>59</v>
      </c>
      <c r="H171" s="55" t="s">
        <v>2602</v>
      </c>
      <c r="I171" s="35">
        <v>46174</v>
      </c>
      <c r="J171" s="34">
        <f t="shared" ca="1" si="443"/>
        <v>10</v>
      </c>
      <c r="K171" s="34" t="str">
        <f t="shared" si="444"/>
        <v>Pending</v>
      </c>
      <c r="L171" s="34" t="s">
        <v>397</v>
      </c>
      <c r="M171" s="34">
        <v>39000</v>
      </c>
      <c r="N171" s="34">
        <v>34000</v>
      </c>
      <c r="O171" s="35">
        <v>46176</v>
      </c>
      <c r="P171" s="34">
        <f t="shared" si="445"/>
        <v>5000</v>
      </c>
      <c r="Q171" s="17" t="s">
        <v>33</v>
      </c>
      <c r="R171" s="34" t="s">
        <v>61</v>
      </c>
      <c r="S171" s="34">
        <v>46000</v>
      </c>
      <c r="T171" s="34" t="s">
        <v>33</v>
      </c>
      <c r="U171" s="35" t="s">
        <v>33</v>
      </c>
      <c r="V171" s="34" t="s">
        <v>28</v>
      </c>
      <c r="W171" s="34">
        <f t="shared" si="446"/>
        <v>7000</v>
      </c>
      <c r="X171" s="34" t="s">
        <v>36</v>
      </c>
      <c r="Y171" s="34" t="s">
        <v>29</v>
      </c>
      <c r="Z171" s="36">
        <f t="shared" si="447"/>
        <v>17.948717948717949</v>
      </c>
      <c r="AA171" s="34"/>
    </row>
    <row r="172" spans="1:27" ht="15.75" customHeight="1">
      <c r="A172" s="34">
        <f>SUBTOTAL(3,C$2:C172)</f>
        <v>171</v>
      </c>
      <c r="B172" s="34" t="s">
        <v>2469</v>
      </c>
      <c r="C172" s="37" t="s">
        <v>31</v>
      </c>
      <c r="D172" s="34" t="s">
        <v>32</v>
      </c>
      <c r="E172" s="34" t="s">
        <v>33</v>
      </c>
      <c r="F172" s="34" t="s">
        <v>92</v>
      </c>
      <c r="G172" s="34" t="s">
        <v>34</v>
      </c>
      <c r="H172" s="55" t="s">
        <v>2604</v>
      </c>
      <c r="I172" s="35">
        <v>46175</v>
      </c>
      <c r="J172" s="34">
        <f t="shared" ref="J172" ca="1" si="448">+TODAY()-I172</f>
        <v>9</v>
      </c>
      <c r="K172" s="34" t="str">
        <f t="shared" ref="K172" si="449">+U172</f>
        <v>Pending</v>
      </c>
      <c r="L172" s="34" t="s">
        <v>397</v>
      </c>
      <c r="M172" s="34">
        <v>19000</v>
      </c>
      <c r="N172" s="34">
        <v>17000</v>
      </c>
      <c r="O172" s="35">
        <v>46176</v>
      </c>
      <c r="P172" s="34">
        <f t="shared" ref="P172" si="450">+M172-N172</f>
        <v>2000</v>
      </c>
      <c r="Q172" s="17" t="s">
        <v>33</v>
      </c>
      <c r="R172" s="34" t="s">
        <v>61</v>
      </c>
      <c r="S172" s="34">
        <v>22000</v>
      </c>
      <c r="T172" s="34" t="s">
        <v>33</v>
      </c>
      <c r="U172" s="35" t="s">
        <v>33</v>
      </c>
      <c r="V172" s="34" t="s">
        <v>28</v>
      </c>
      <c r="W172" s="34">
        <f t="shared" ref="W172" si="451">+S172-M172</f>
        <v>3000</v>
      </c>
      <c r="X172" s="34" t="s">
        <v>36</v>
      </c>
      <c r="Y172" s="34" t="s">
        <v>29</v>
      </c>
      <c r="Z172" s="36">
        <f t="shared" ref="Z172" si="452">+W172*100/M172</f>
        <v>15.789473684210526</v>
      </c>
      <c r="AA172" s="34"/>
    </row>
    <row r="173" spans="1:27" ht="15.75" customHeight="1">
      <c r="A173" s="34">
        <f>SUBTOTAL(3,C$2:C173)</f>
        <v>172</v>
      </c>
      <c r="B173" s="34" t="s">
        <v>2469</v>
      </c>
      <c r="C173" s="37" t="s">
        <v>31</v>
      </c>
      <c r="D173" s="34" t="s">
        <v>32</v>
      </c>
      <c r="E173" s="34" t="s">
        <v>33</v>
      </c>
      <c r="F173" s="34" t="s">
        <v>2603</v>
      </c>
      <c r="G173" s="34" t="s">
        <v>34</v>
      </c>
      <c r="H173" s="55" t="s">
        <v>2605</v>
      </c>
      <c r="I173" s="35">
        <v>46175</v>
      </c>
      <c r="J173" s="34">
        <f t="shared" ref="J173:J175" ca="1" si="453">+TODAY()-I173</f>
        <v>9</v>
      </c>
      <c r="K173" s="34" t="str">
        <f t="shared" ref="K173:K175" si="454">+U173</f>
        <v>Pending</v>
      </c>
      <c r="L173" s="34" t="s">
        <v>397</v>
      </c>
      <c r="M173" s="34">
        <v>19000</v>
      </c>
      <c r="N173" s="34">
        <v>17000</v>
      </c>
      <c r="O173" s="35">
        <v>46176</v>
      </c>
      <c r="P173" s="34">
        <f t="shared" ref="P173:P175" si="455">+M173-N173</f>
        <v>2000</v>
      </c>
      <c r="Q173" s="17" t="s">
        <v>33</v>
      </c>
      <c r="R173" s="34" t="s">
        <v>61</v>
      </c>
      <c r="S173" s="34">
        <v>22000</v>
      </c>
      <c r="T173" s="34" t="s">
        <v>33</v>
      </c>
      <c r="U173" s="35" t="s">
        <v>33</v>
      </c>
      <c r="V173" s="34" t="s">
        <v>28</v>
      </c>
      <c r="W173" s="34">
        <f t="shared" ref="W173:W175" si="456">+S173-M173</f>
        <v>3000</v>
      </c>
      <c r="X173" s="34" t="s">
        <v>36</v>
      </c>
      <c r="Y173" s="34" t="s">
        <v>29</v>
      </c>
      <c r="Z173" s="36">
        <f t="shared" ref="Z173:Z175" si="457">+W173*100/M173</f>
        <v>15.789473684210526</v>
      </c>
      <c r="AA173" s="34"/>
    </row>
    <row r="174" spans="1:27" ht="15.75" customHeight="1">
      <c r="A174" s="34">
        <f>SUBTOTAL(3,C$2:C174)</f>
        <v>173</v>
      </c>
      <c r="B174" s="34" t="s">
        <v>2469</v>
      </c>
      <c r="C174" s="37" t="s">
        <v>44</v>
      </c>
      <c r="D174" s="34" t="s">
        <v>32</v>
      </c>
      <c r="E174" s="34" t="s">
        <v>33</v>
      </c>
      <c r="F174" s="34" t="s">
        <v>126</v>
      </c>
      <c r="G174" s="34" t="s">
        <v>59</v>
      </c>
      <c r="H174" s="55" t="s">
        <v>2607</v>
      </c>
      <c r="I174" s="35">
        <v>46175</v>
      </c>
      <c r="J174" s="34">
        <f t="shared" ca="1" si="453"/>
        <v>9</v>
      </c>
      <c r="K174" s="34" t="str">
        <f t="shared" si="454"/>
        <v>Pending</v>
      </c>
      <c r="L174" s="34" t="s">
        <v>397</v>
      </c>
      <c r="M174" s="34">
        <v>39000</v>
      </c>
      <c r="N174" s="34">
        <v>35000</v>
      </c>
      <c r="O174" s="35">
        <v>46176</v>
      </c>
      <c r="P174" s="34">
        <f t="shared" si="455"/>
        <v>4000</v>
      </c>
      <c r="Q174" s="17" t="s">
        <v>33</v>
      </c>
      <c r="R174" s="34" t="s">
        <v>61</v>
      </c>
      <c r="S174" s="34">
        <v>46000</v>
      </c>
      <c r="T174" s="34" t="s">
        <v>33</v>
      </c>
      <c r="U174" s="35" t="s">
        <v>33</v>
      </c>
      <c r="V174" s="34" t="s">
        <v>28</v>
      </c>
      <c r="W174" s="34">
        <f t="shared" si="456"/>
        <v>7000</v>
      </c>
      <c r="X174" s="34" t="s">
        <v>36</v>
      </c>
      <c r="Y174" s="34" t="s">
        <v>29</v>
      </c>
      <c r="Z174" s="36">
        <f t="shared" si="457"/>
        <v>17.948717948717949</v>
      </c>
      <c r="AA174" s="34"/>
    </row>
    <row r="175" spans="1:27" ht="15.75" customHeight="1">
      <c r="A175" s="34">
        <f>SUBTOTAL(3,C$2:C175)</f>
        <v>174</v>
      </c>
      <c r="B175" s="34" t="s">
        <v>2469</v>
      </c>
      <c r="C175" s="37" t="s">
        <v>44</v>
      </c>
      <c r="D175" s="34" t="s">
        <v>32</v>
      </c>
      <c r="E175" s="34" t="s">
        <v>33</v>
      </c>
      <c r="F175" s="34" t="s">
        <v>437</v>
      </c>
      <c r="G175" s="34" t="s">
        <v>59</v>
      </c>
      <c r="H175" s="55" t="s">
        <v>2606</v>
      </c>
      <c r="I175" s="35">
        <v>46175</v>
      </c>
      <c r="J175" s="34">
        <f t="shared" ca="1" si="453"/>
        <v>9</v>
      </c>
      <c r="K175" s="34" t="str">
        <f t="shared" si="454"/>
        <v>Pending</v>
      </c>
      <c r="L175" s="34" t="s">
        <v>705</v>
      </c>
      <c r="M175" s="34">
        <v>27500</v>
      </c>
      <c r="N175" s="34">
        <v>24500</v>
      </c>
      <c r="O175" s="35">
        <v>46176</v>
      </c>
      <c r="P175" s="34">
        <f t="shared" si="455"/>
        <v>3000</v>
      </c>
      <c r="Q175" s="17" t="s">
        <v>33</v>
      </c>
      <c r="R175" s="34" t="s">
        <v>61</v>
      </c>
      <c r="S175" s="34">
        <v>32000</v>
      </c>
      <c r="T175" s="34" t="s">
        <v>33</v>
      </c>
      <c r="U175" s="35" t="s">
        <v>33</v>
      </c>
      <c r="V175" s="34" t="s">
        <v>28</v>
      </c>
      <c r="W175" s="34">
        <f t="shared" si="456"/>
        <v>4500</v>
      </c>
      <c r="X175" s="34" t="s">
        <v>36</v>
      </c>
      <c r="Y175" s="34" t="s">
        <v>29</v>
      </c>
      <c r="Z175" s="36">
        <f t="shared" si="457"/>
        <v>16.363636363636363</v>
      </c>
      <c r="AA175" s="34"/>
    </row>
    <row r="176" spans="1:27" s="54" customFormat="1" ht="15.75" customHeight="1">
      <c r="A176" s="57">
        <f>SUBTOTAL(3,C$2:C176)</f>
        <v>175</v>
      </c>
      <c r="B176" s="57" t="s">
        <v>2469</v>
      </c>
      <c r="C176" s="58" t="s">
        <v>31</v>
      </c>
      <c r="D176" s="57" t="s">
        <v>32</v>
      </c>
      <c r="E176" s="57" t="s">
        <v>33</v>
      </c>
      <c r="F176" s="54" t="s">
        <v>193</v>
      </c>
      <c r="G176" s="57" t="s">
        <v>34</v>
      </c>
      <c r="H176" s="59" t="s">
        <v>2766</v>
      </c>
      <c r="I176" s="60">
        <v>46176</v>
      </c>
      <c r="J176" s="57">
        <f t="shared" ref="J176" ca="1" si="458">+TODAY()-I176</f>
        <v>8</v>
      </c>
      <c r="K176" s="57" t="str">
        <f t="shared" ref="K176" si="459">+U176</f>
        <v>Pending</v>
      </c>
      <c r="L176" s="57" t="s">
        <v>397</v>
      </c>
      <c r="M176" s="57">
        <v>19000</v>
      </c>
      <c r="N176" s="57">
        <v>17000</v>
      </c>
      <c r="O176" s="60">
        <v>46179</v>
      </c>
      <c r="P176" s="57">
        <f t="shared" ref="P176" si="460">+M176-N176</f>
        <v>2000</v>
      </c>
      <c r="Q176" s="49" t="s">
        <v>33</v>
      </c>
      <c r="R176" s="57" t="s">
        <v>61</v>
      </c>
      <c r="S176" s="57">
        <v>22000</v>
      </c>
      <c r="T176" s="57" t="s">
        <v>33</v>
      </c>
      <c r="U176" s="60" t="s">
        <v>33</v>
      </c>
      <c r="V176" s="57" t="s">
        <v>28</v>
      </c>
      <c r="W176" s="57">
        <f t="shared" ref="W176" si="461">+S176-M176</f>
        <v>3000</v>
      </c>
      <c r="X176" s="57" t="s">
        <v>36</v>
      </c>
      <c r="Y176" s="57" t="s">
        <v>29</v>
      </c>
      <c r="Z176" s="61">
        <f t="shared" ref="Z176" si="462">+W176*100/M176</f>
        <v>15.789473684210526</v>
      </c>
      <c r="AA176" s="57"/>
    </row>
    <row r="177" spans="1:27" s="54" customFormat="1" ht="15.75" customHeight="1">
      <c r="A177" s="57">
        <f>SUBTOTAL(3,C$2:C177)</f>
        <v>176</v>
      </c>
      <c r="B177" s="57" t="s">
        <v>2469</v>
      </c>
      <c r="C177" s="58" t="s">
        <v>31</v>
      </c>
      <c r="D177" s="57" t="s">
        <v>32</v>
      </c>
      <c r="E177" s="57" t="s">
        <v>33</v>
      </c>
      <c r="F177" s="54" t="s">
        <v>2767</v>
      </c>
      <c r="G177" s="57" t="s">
        <v>34</v>
      </c>
      <c r="H177" s="59" t="s">
        <v>2768</v>
      </c>
      <c r="I177" s="60">
        <v>46176</v>
      </c>
      <c r="J177" s="57">
        <f t="shared" ref="J177:J180" ca="1" si="463">+TODAY()-I177</f>
        <v>8</v>
      </c>
      <c r="K177" s="57" t="str">
        <f t="shared" ref="K177:K180" si="464">+U177</f>
        <v>Pending</v>
      </c>
      <c r="L177" s="57" t="s">
        <v>397</v>
      </c>
      <c r="M177" s="57">
        <v>19000</v>
      </c>
      <c r="N177" s="57">
        <v>17000</v>
      </c>
      <c r="O177" s="60">
        <v>46179</v>
      </c>
      <c r="P177" s="57">
        <f t="shared" ref="P177:P180" si="465">+M177-N177</f>
        <v>2000</v>
      </c>
      <c r="Q177" s="49" t="s">
        <v>33</v>
      </c>
      <c r="R177" s="57" t="s">
        <v>61</v>
      </c>
      <c r="S177" s="57">
        <v>22000</v>
      </c>
      <c r="T177" s="57" t="s">
        <v>33</v>
      </c>
      <c r="U177" s="60" t="s">
        <v>33</v>
      </c>
      <c r="V177" s="57" t="s">
        <v>28</v>
      </c>
      <c r="W177" s="57">
        <f t="shared" ref="W177:W180" si="466">+S177-M177</f>
        <v>3000</v>
      </c>
      <c r="X177" s="57" t="s">
        <v>36</v>
      </c>
      <c r="Y177" s="57" t="s">
        <v>29</v>
      </c>
      <c r="Z177" s="61">
        <f t="shared" ref="Z177:Z180" si="467">+W177*100/M177</f>
        <v>15.789473684210526</v>
      </c>
      <c r="AA177" s="57"/>
    </row>
    <row r="178" spans="1:27" s="54" customFormat="1" ht="15.75" customHeight="1">
      <c r="A178" s="57">
        <f>SUBTOTAL(3,C$2:C178)</f>
        <v>177</v>
      </c>
      <c r="B178" s="57" t="s">
        <v>2469</v>
      </c>
      <c r="C178" s="58" t="s">
        <v>80</v>
      </c>
      <c r="D178" s="57" t="s">
        <v>32</v>
      </c>
      <c r="E178" s="57" t="s">
        <v>33</v>
      </c>
      <c r="F178" s="56" t="s">
        <v>2776</v>
      </c>
      <c r="G178" s="57" t="s">
        <v>59</v>
      </c>
      <c r="H178" s="59" t="s">
        <v>2779</v>
      </c>
      <c r="I178" s="60">
        <v>46178</v>
      </c>
      <c r="J178" s="57">
        <f t="shared" ca="1" si="463"/>
        <v>6</v>
      </c>
      <c r="K178" s="57" t="str">
        <f t="shared" si="464"/>
        <v>Pending</v>
      </c>
      <c r="L178" s="56" t="s">
        <v>270</v>
      </c>
      <c r="M178" s="57">
        <v>39000</v>
      </c>
      <c r="N178" s="57">
        <v>34000</v>
      </c>
      <c r="O178" s="60">
        <v>46179</v>
      </c>
      <c r="P178" s="57">
        <f t="shared" si="465"/>
        <v>5000</v>
      </c>
      <c r="Q178" s="49" t="s">
        <v>33</v>
      </c>
      <c r="R178" s="57" t="s">
        <v>61</v>
      </c>
      <c r="S178" s="57">
        <v>46000</v>
      </c>
      <c r="T178" s="57" t="s">
        <v>33</v>
      </c>
      <c r="U178" s="60" t="s">
        <v>33</v>
      </c>
      <c r="V178" s="57" t="s">
        <v>28</v>
      </c>
      <c r="W178" s="57">
        <f t="shared" si="466"/>
        <v>7000</v>
      </c>
      <c r="X178" s="57" t="s">
        <v>36</v>
      </c>
      <c r="Y178" s="57" t="s">
        <v>29</v>
      </c>
      <c r="Z178" s="61">
        <f t="shared" si="467"/>
        <v>17.948717948717949</v>
      </c>
      <c r="AA178" s="57"/>
    </row>
    <row r="179" spans="1:27" s="54" customFormat="1" ht="15.75" customHeight="1">
      <c r="A179" s="57">
        <f>SUBTOTAL(3,C$2:C179)</f>
        <v>178</v>
      </c>
      <c r="B179" s="57" t="s">
        <v>2469</v>
      </c>
      <c r="C179" s="58" t="s">
        <v>80</v>
      </c>
      <c r="D179" s="57" t="s">
        <v>32</v>
      </c>
      <c r="E179" s="57" t="s">
        <v>33</v>
      </c>
      <c r="F179" s="56" t="s">
        <v>2776</v>
      </c>
      <c r="G179" s="57" t="s">
        <v>59</v>
      </c>
      <c r="H179" s="59" t="s">
        <v>2777</v>
      </c>
      <c r="I179" s="60">
        <v>46178</v>
      </c>
      <c r="J179" s="57">
        <f t="shared" ca="1" si="463"/>
        <v>6</v>
      </c>
      <c r="K179" s="57" t="str">
        <f t="shared" si="464"/>
        <v>Pending</v>
      </c>
      <c r="L179" s="56" t="s">
        <v>270</v>
      </c>
      <c r="M179" s="57">
        <v>39000</v>
      </c>
      <c r="N179" s="57">
        <v>34000</v>
      </c>
      <c r="O179" s="60">
        <v>46179</v>
      </c>
      <c r="P179" s="57">
        <f t="shared" si="465"/>
        <v>5000</v>
      </c>
      <c r="Q179" s="49" t="s">
        <v>33</v>
      </c>
      <c r="R179" s="57" t="s">
        <v>61</v>
      </c>
      <c r="S179" s="57">
        <v>46000</v>
      </c>
      <c r="T179" s="57" t="s">
        <v>33</v>
      </c>
      <c r="U179" s="60" t="s">
        <v>33</v>
      </c>
      <c r="V179" s="57" t="s">
        <v>28</v>
      </c>
      <c r="W179" s="57">
        <f t="shared" si="466"/>
        <v>7000</v>
      </c>
      <c r="X179" s="57" t="s">
        <v>36</v>
      </c>
      <c r="Y179" s="57" t="s">
        <v>29</v>
      </c>
      <c r="Z179" s="61">
        <f t="shared" si="467"/>
        <v>17.948717948717949</v>
      </c>
      <c r="AA179" s="57"/>
    </row>
    <row r="180" spans="1:27" s="54" customFormat="1" ht="15.75" customHeight="1">
      <c r="A180" s="57">
        <f>SUBTOTAL(3,C$2:C180)</f>
        <v>179</v>
      </c>
      <c r="B180" s="57" t="s">
        <v>2469</v>
      </c>
      <c r="C180" s="58" t="s">
        <v>44</v>
      </c>
      <c r="D180" s="57" t="s">
        <v>32</v>
      </c>
      <c r="E180" s="57" t="s">
        <v>33</v>
      </c>
      <c r="F180" s="54" t="s">
        <v>613</v>
      </c>
      <c r="G180" s="57" t="s">
        <v>59</v>
      </c>
      <c r="H180" s="59" t="s">
        <v>2778</v>
      </c>
      <c r="I180" s="60">
        <v>46177</v>
      </c>
      <c r="J180" s="57">
        <f t="shared" ca="1" si="463"/>
        <v>7</v>
      </c>
      <c r="K180" s="57" t="str">
        <f t="shared" si="464"/>
        <v>Pending</v>
      </c>
      <c r="L180" s="57" t="s">
        <v>705</v>
      </c>
      <c r="M180" s="57">
        <v>27500</v>
      </c>
      <c r="N180" s="57">
        <v>24500</v>
      </c>
      <c r="O180" s="60">
        <v>46179</v>
      </c>
      <c r="P180" s="57">
        <f t="shared" si="465"/>
        <v>3000</v>
      </c>
      <c r="Q180" s="49" t="s">
        <v>33</v>
      </c>
      <c r="R180" s="57" t="s">
        <v>61</v>
      </c>
      <c r="S180" s="57">
        <v>32000</v>
      </c>
      <c r="T180" s="57" t="s">
        <v>33</v>
      </c>
      <c r="U180" s="60" t="s">
        <v>33</v>
      </c>
      <c r="V180" s="57" t="s">
        <v>28</v>
      </c>
      <c r="W180" s="57">
        <f t="shared" si="466"/>
        <v>4500</v>
      </c>
      <c r="X180" s="57" t="s">
        <v>36</v>
      </c>
      <c r="Y180" s="57" t="s">
        <v>29</v>
      </c>
      <c r="Z180" s="61">
        <f t="shared" si="467"/>
        <v>16.363636363636363</v>
      </c>
      <c r="AA180" s="57"/>
    </row>
    <row r="181" spans="1:27" s="54" customFormat="1" ht="15.75" customHeight="1">
      <c r="A181" s="57">
        <f>SUBTOTAL(3,C$2:C181)</f>
        <v>180</v>
      </c>
      <c r="B181" s="57" t="s">
        <v>2469</v>
      </c>
      <c r="C181" s="58" t="s">
        <v>31</v>
      </c>
      <c r="D181" s="57" t="s">
        <v>32</v>
      </c>
      <c r="E181" s="57" t="s">
        <v>33</v>
      </c>
      <c r="F181" s="54" t="s">
        <v>2769</v>
      </c>
      <c r="G181" s="57" t="s">
        <v>34</v>
      </c>
      <c r="H181" s="59" t="s">
        <v>2770</v>
      </c>
      <c r="I181" s="60">
        <v>46177</v>
      </c>
      <c r="J181" s="57">
        <f t="shared" ref="J181" ca="1" si="468">+TODAY()-I181</f>
        <v>7</v>
      </c>
      <c r="K181" s="57" t="str">
        <f t="shared" ref="K181" si="469">+U181</f>
        <v>Pending</v>
      </c>
      <c r="L181" s="57" t="s">
        <v>397</v>
      </c>
      <c r="M181" s="57">
        <v>19000</v>
      </c>
      <c r="N181" s="57">
        <v>17000</v>
      </c>
      <c r="O181" s="60">
        <v>46179</v>
      </c>
      <c r="P181" s="57">
        <f t="shared" ref="P181" si="470">+M181-N181</f>
        <v>2000</v>
      </c>
      <c r="Q181" s="49" t="s">
        <v>33</v>
      </c>
      <c r="R181" s="57" t="s">
        <v>61</v>
      </c>
      <c r="S181" s="57">
        <v>22000</v>
      </c>
      <c r="T181" s="57" t="s">
        <v>33</v>
      </c>
      <c r="U181" s="60" t="s">
        <v>33</v>
      </c>
      <c r="V181" s="57" t="s">
        <v>28</v>
      </c>
      <c r="W181" s="57">
        <f t="shared" ref="W181" si="471">+S181-M181</f>
        <v>3000</v>
      </c>
      <c r="X181" s="57" t="s">
        <v>36</v>
      </c>
      <c r="Y181" s="57" t="s">
        <v>29</v>
      </c>
      <c r="Z181" s="61">
        <f t="shared" ref="Z181" si="472">+W181*100/M181</f>
        <v>15.789473684210526</v>
      </c>
      <c r="AA181" s="57"/>
    </row>
    <row r="182" spans="1:27" s="54" customFormat="1" ht="15.75" customHeight="1">
      <c r="A182" s="57">
        <f>SUBTOTAL(3,C$2:C182)</f>
        <v>181</v>
      </c>
      <c r="B182" s="57" t="s">
        <v>2469</v>
      </c>
      <c r="C182" s="58" t="s">
        <v>31</v>
      </c>
      <c r="D182" s="57" t="s">
        <v>32</v>
      </c>
      <c r="E182" s="57" t="s">
        <v>33</v>
      </c>
      <c r="F182" s="54" t="s">
        <v>2772</v>
      </c>
      <c r="G182" s="57" t="s">
        <v>34</v>
      </c>
      <c r="H182" s="59" t="s">
        <v>2771</v>
      </c>
      <c r="I182" s="60">
        <v>46177</v>
      </c>
      <c r="J182" s="57">
        <f t="shared" ref="J182" ca="1" si="473">+TODAY()-I182</f>
        <v>7</v>
      </c>
      <c r="K182" s="57" t="str">
        <f t="shared" ref="K182" si="474">+U182</f>
        <v>Pending</v>
      </c>
      <c r="L182" s="57" t="s">
        <v>397</v>
      </c>
      <c r="M182" s="57">
        <v>19000</v>
      </c>
      <c r="N182" s="57">
        <v>17000</v>
      </c>
      <c r="O182" s="60">
        <v>46179</v>
      </c>
      <c r="P182" s="57">
        <f t="shared" ref="P182" si="475">+M182-N182</f>
        <v>2000</v>
      </c>
      <c r="Q182" s="49" t="s">
        <v>33</v>
      </c>
      <c r="R182" s="57" t="s">
        <v>61</v>
      </c>
      <c r="S182" s="57">
        <v>22000</v>
      </c>
      <c r="T182" s="57" t="s">
        <v>33</v>
      </c>
      <c r="U182" s="60" t="s">
        <v>33</v>
      </c>
      <c r="V182" s="57" t="s">
        <v>28</v>
      </c>
      <c r="W182" s="57">
        <f t="shared" ref="W182" si="476">+S182-M182</f>
        <v>3000</v>
      </c>
      <c r="X182" s="57" t="s">
        <v>36</v>
      </c>
      <c r="Y182" s="57" t="s">
        <v>29</v>
      </c>
      <c r="Z182" s="61">
        <f t="shared" ref="Z182" si="477">+W182*100/M182</f>
        <v>15.789473684210526</v>
      </c>
      <c r="AA182" s="57"/>
    </row>
    <row r="183" spans="1:27" s="54" customFormat="1" ht="15.75" customHeight="1">
      <c r="A183" s="57">
        <f>SUBTOTAL(3,C$2:C183)</f>
        <v>182</v>
      </c>
      <c r="B183" s="57" t="s">
        <v>2469</v>
      </c>
      <c r="C183" s="58" t="s">
        <v>31</v>
      </c>
      <c r="D183" s="57" t="s">
        <v>32</v>
      </c>
      <c r="E183" s="57" t="s">
        <v>33</v>
      </c>
      <c r="F183" s="54" t="s">
        <v>2773</v>
      </c>
      <c r="G183" s="57" t="s">
        <v>34</v>
      </c>
      <c r="H183" s="59" t="s">
        <v>2774</v>
      </c>
      <c r="I183" s="60">
        <v>46178</v>
      </c>
      <c r="J183" s="57">
        <f t="shared" ref="J183" ca="1" si="478">+TODAY()-I183</f>
        <v>6</v>
      </c>
      <c r="K183" s="57" t="str">
        <f t="shared" ref="K183" si="479">+U183</f>
        <v>Pending</v>
      </c>
      <c r="L183" s="57" t="s">
        <v>397</v>
      </c>
      <c r="M183" s="57">
        <v>19000</v>
      </c>
      <c r="N183" s="57">
        <v>17000</v>
      </c>
      <c r="O183" s="60">
        <v>46179</v>
      </c>
      <c r="P183" s="57">
        <f t="shared" ref="P183" si="480">+M183-N183</f>
        <v>2000</v>
      </c>
      <c r="Q183" s="49" t="s">
        <v>33</v>
      </c>
      <c r="R183" s="57" t="s">
        <v>61</v>
      </c>
      <c r="S183" s="57">
        <v>22000</v>
      </c>
      <c r="T183" s="57" t="s">
        <v>33</v>
      </c>
      <c r="U183" s="60" t="s">
        <v>33</v>
      </c>
      <c r="V183" s="57" t="s">
        <v>28</v>
      </c>
      <c r="W183" s="57">
        <f t="shared" ref="W183" si="481">+S183-M183</f>
        <v>3000</v>
      </c>
      <c r="X183" s="57" t="s">
        <v>36</v>
      </c>
      <c r="Y183" s="57" t="s">
        <v>29</v>
      </c>
      <c r="Z183" s="61">
        <f t="shared" ref="Z183" si="482">+W183*100/M183</f>
        <v>15.789473684210526</v>
      </c>
      <c r="AA183" s="57"/>
    </row>
    <row r="184" spans="1:27" s="54" customFormat="1" ht="15.75" customHeight="1">
      <c r="A184" s="57">
        <f>SUBTOTAL(3,C$2:C184)</f>
        <v>183</v>
      </c>
      <c r="B184" s="57" t="s">
        <v>2469</v>
      </c>
      <c r="C184" s="58" t="s">
        <v>31</v>
      </c>
      <c r="D184" s="57" t="s">
        <v>32</v>
      </c>
      <c r="E184" s="57" t="s">
        <v>33</v>
      </c>
      <c r="F184" s="54" t="s">
        <v>1667</v>
      </c>
      <c r="G184" s="57" t="s">
        <v>34</v>
      </c>
      <c r="H184" s="59" t="s">
        <v>2775</v>
      </c>
      <c r="I184" s="60">
        <v>46179</v>
      </c>
      <c r="J184" s="57">
        <f t="shared" ref="J184:J185" ca="1" si="483">+TODAY()-I184</f>
        <v>5</v>
      </c>
      <c r="K184" s="57" t="str">
        <f t="shared" ref="K184:K185" si="484">+U184</f>
        <v>Pending</v>
      </c>
      <c r="L184" s="57" t="s">
        <v>397</v>
      </c>
      <c r="M184" s="57">
        <v>19000</v>
      </c>
      <c r="N184" s="57">
        <v>17000</v>
      </c>
      <c r="O184" s="60">
        <v>46179</v>
      </c>
      <c r="P184" s="57">
        <f t="shared" ref="P184:P185" si="485">+M184-N184</f>
        <v>2000</v>
      </c>
      <c r="Q184" s="49" t="s">
        <v>33</v>
      </c>
      <c r="R184" s="57" t="s">
        <v>61</v>
      </c>
      <c r="S184" s="57">
        <v>22000</v>
      </c>
      <c r="T184" s="57" t="s">
        <v>33</v>
      </c>
      <c r="U184" s="60" t="s">
        <v>33</v>
      </c>
      <c r="V184" s="57" t="s">
        <v>28</v>
      </c>
      <c r="W184" s="57">
        <f t="shared" ref="W184:W185" si="486">+S184-M184</f>
        <v>3000</v>
      </c>
      <c r="X184" s="57" t="s">
        <v>36</v>
      </c>
      <c r="Y184" s="57" t="s">
        <v>29</v>
      </c>
      <c r="Z184" s="61">
        <f t="shared" ref="Z184:Z185" si="487">+W184*100/M184</f>
        <v>15.789473684210526</v>
      </c>
      <c r="AA184" s="57"/>
    </row>
    <row r="185" spans="1:27" s="54" customFormat="1" ht="15.75" customHeight="1">
      <c r="A185" s="57">
        <f>SUBTOTAL(3,C$2:C185)</f>
        <v>184</v>
      </c>
      <c r="B185" s="57" t="s">
        <v>2469</v>
      </c>
      <c r="C185" s="58" t="s">
        <v>44</v>
      </c>
      <c r="D185" s="57" t="s">
        <v>32</v>
      </c>
      <c r="E185" s="57" t="s">
        <v>33</v>
      </c>
      <c r="F185" s="56" t="s">
        <v>645</v>
      </c>
      <c r="G185" s="57" t="s">
        <v>59</v>
      </c>
      <c r="H185" s="59" t="s">
        <v>2780</v>
      </c>
      <c r="I185" s="60">
        <v>46179</v>
      </c>
      <c r="J185" s="57">
        <f t="shared" ca="1" si="483"/>
        <v>5</v>
      </c>
      <c r="K185" s="57" t="str">
        <f t="shared" si="484"/>
        <v>Pending</v>
      </c>
      <c r="L185" s="56" t="s">
        <v>54</v>
      </c>
      <c r="M185" s="57">
        <v>39000</v>
      </c>
      <c r="N185" s="57">
        <v>34000</v>
      </c>
      <c r="O185" s="60">
        <v>46179</v>
      </c>
      <c r="P185" s="57">
        <f t="shared" si="485"/>
        <v>5000</v>
      </c>
      <c r="Q185" s="49" t="s">
        <v>33</v>
      </c>
      <c r="R185" s="57" t="s">
        <v>61</v>
      </c>
      <c r="S185" s="57">
        <v>46000</v>
      </c>
      <c r="T185" s="57" t="s">
        <v>33</v>
      </c>
      <c r="U185" s="60" t="s">
        <v>33</v>
      </c>
      <c r="V185" s="57" t="s">
        <v>28</v>
      </c>
      <c r="W185" s="57">
        <f t="shared" si="486"/>
        <v>7000</v>
      </c>
      <c r="X185" s="57" t="s">
        <v>36</v>
      </c>
      <c r="Y185" s="57" t="s">
        <v>29</v>
      </c>
      <c r="Z185" s="61">
        <f t="shared" si="487"/>
        <v>17.948717948717949</v>
      </c>
      <c r="AA185" s="57"/>
    </row>
  </sheetData>
  <autoFilter ref="A1:AA174" xr:uid="{00000000-0009-0000-0000-000001000000}"/>
  <conditionalFormatting sqref="E2:E175">
    <cfRule type="containsText" dxfId="1041" priority="1959" operator="containsText" text="Received ">
      <formula>NOT(ISERROR(SEARCH("Received ",E2)))</formula>
    </cfRule>
    <cfRule type="containsText" dxfId="1040" priority="1943" operator="containsText" text="Pending">
      <formula>NOT(ISERROR(SEARCH("Pending",E2)))</formula>
    </cfRule>
    <cfRule type="containsText" dxfId="1039" priority="1944" operator="containsText" text="Received">
      <formula>NOT(ISERROR(SEARCH("Received",E2)))</formula>
    </cfRule>
    <cfRule type="containsText" dxfId="1038" priority="1945" operator="containsText" text="Received ">
      <formula>NOT(ISERROR(SEARCH("Received ",E2)))</formula>
    </cfRule>
    <cfRule type="containsText" dxfId="1037" priority="1946" operator="containsText" text="Pending">
      <formula>NOT(ISERROR(SEARCH("Pending",E2)))</formula>
    </cfRule>
    <cfRule type="containsText" dxfId="1036" priority="1947" operator="containsText" text="Received">
      <formula>NOT(ISERROR(SEARCH("Received",E2)))</formula>
    </cfRule>
    <cfRule type="containsText" dxfId="1035" priority="1948" operator="containsText" text="Received ">
      <formula>NOT(ISERROR(SEARCH("Received ",E2)))</formula>
    </cfRule>
    <cfRule type="containsText" dxfId="1034" priority="1949" operator="containsText" text="Pending">
      <formula>NOT(ISERROR(SEARCH("Pending",E2)))</formula>
    </cfRule>
    <cfRule type="containsText" dxfId="1033" priority="1952" operator="containsText" text="Received">
      <formula>NOT(ISERROR(SEARCH("Received",E2)))</formula>
    </cfRule>
    <cfRule type="containsText" dxfId="1032" priority="1953" operator="containsText" text="Received ">
      <formula>NOT(ISERROR(SEARCH("Received ",E2)))</formula>
    </cfRule>
    <cfRule type="containsText" dxfId="1031" priority="1954" operator="containsText" text="Pending">
      <formula>NOT(ISERROR(SEARCH("Pending",E2)))</formula>
    </cfRule>
    <cfRule type="containsText" dxfId="1030" priority="1957" operator="containsText" text="Pending">
      <formula>NOT(ISERROR(SEARCH("Pending",E2)))</formula>
    </cfRule>
    <cfRule type="containsText" dxfId="1029" priority="1958" operator="containsText" text="Received">
      <formula>NOT(ISERROR(SEARCH("Received",E2)))</formula>
    </cfRule>
    <cfRule type="containsText" dxfId="1028" priority="1955" operator="containsText" text="Received">
      <formula>NOT(ISERROR(SEARCH("Received",E2)))</formula>
    </cfRule>
    <cfRule type="containsText" dxfId="1027" priority="1956" operator="containsText" text="Received ">
      <formula>NOT(ISERROR(SEARCH("Received ",E2)))</formula>
    </cfRule>
    <cfRule type="containsText" dxfId="1026" priority="1942" operator="containsText" text="Received ">
      <formula>NOT(ISERROR(SEARCH("Received ",E2)))</formula>
    </cfRule>
    <cfRule type="containsText" dxfId="1025" priority="1941" operator="containsText" text="Received">
      <formula>NOT(ISERROR(SEARCH("Received",E2)))</formula>
    </cfRule>
    <cfRule type="containsText" dxfId="1024" priority="1057" operator="containsText" text="Pending">
      <formula>NOT(ISERROR(SEARCH("Pending",E2)))</formula>
    </cfRule>
    <cfRule type="containsText" dxfId="1023" priority="1960" operator="containsText" text="Pending">
      <formula>NOT(ISERROR(SEARCH("Pending",E2)))</formula>
    </cfRule>
  </conditionalFormatting>
  <conditionalFormatting sqref="E2:E185">
    <cfRule type="containsText" dxfId="1022" priority="57" operator="containsText" text="Pending">
      <formula>NOT(ISERROR(SEARCH("Pending",E2)))</formula>
    </cfRule>
  </conditionalFormatting>
  <conditionalFormatting sqref="E169">
    <cfRule type="containsText" dxfId="1021" priority="1043" operator="containsText" text="Received">
      <formula>NOT(ISERROR(SEARCH("Received",E169)))</formula>
    </cfRule>
    <cfRule type="containsText" dxfId="1020" priority="1044" operator="containsText" text="Received ">
      <formula>NOT(ISERROR(SEARCH("Received ",E169)))</formula>
    </cfRule>
    <cfRule type="containsText" dxfId="1019" priority="1045" operator="containsText" text="Pending">
      <formula>NOT(ISERROR(SEARCH("Pending",E169)))</formula>
    </cfRule>
    <cfRule type="containsText" dxfId="1018" priority="1046" operator="containsText" text="Received">
      <formula>NOT(ISERROR(SEARCH("Received",E169)))</formula>
    </cfRule>
    <cfRule type="containsText" dxfId="1017" priority="1047" operator="containsText" text="Received ">
      <formula>NOT(ISERROR(SEARCH("Received ",E169)))</formula>
    </cfRule>
    <cfRule type="containsText" dxfId="1016" priority="1049" operator="containsText" text="Received">
      <formula>NOT(ISERROR(SEARCH("Received",E169)))</formula>
    </cfRule>
    <cfRule type="containsText" dxfId="1015" priority="1055" operator="containsText" text="Received">
      <formula>NOT(ISERROR(SEARCH("Received",E169)))</formula>
    </cfRule>
    <cfRule type="containsText" dxfId="1014" priority="1050" operator="containsText" text="Received ">
      <formula>NOT(ISERROR(SEARCH("Received ",E169)))</formula>
    </cfRule>
    <cfRule type="containsText" dxfId="1013" priority="1041" operator="containsText" text="Received ">
      <formula>NOT(ISERROR(SEARCH("Received ",E169)))</formula>
    </cfRule>
    <cfRule type="containsText" dxfId="1012" priority="1048" operator="containsText" text="Pending">
      <formula>NOT(ISERROR(SEARCH("Pending",E169)))</formula>
    </cfRule>
    <cfRule type="containsText" dxfId="1011" priority="1053" operator="containsText" text="Received ">
      <formula>NOT(ISERROR(SEARCH("Received ",E169)))</formula>
    </cfRule>
    <cfRule type="containsText" dxfId="1010" priority="1040" operator="containsText" text="Received">
      <formula>NOT(ISERROR(SEARCH("Received",E169)))</formula>
    </cfRule>
    <cfRule type="containsText" dxfId="1009" priority="1052" operator="containsText" text="Received">
      <formula>NOT(ISERROR(SEARCH("Received",E169)))</formula>
    </cfRule>
    <cfRule type="containsText" dxfId="1008" priority="1056" operator="containsText" text="Received ">
      <formula>NOT(ISERROR(SEARCH("Received ",E169)))</formula>
    </cfRule>
    <cfRule type="containsText" dxfId="1007" priority="1054" operator="containsText" text="Pending">
      <formula>NOT(ISERROR(SEARCH("Pending",E169)))</formula>
    </cfRule>
    <cfRule type="containsText" dxfId="1006" priority="1051" operator="containsText" text="Pending">
      <formula>NOT(ISERROR(SEARCH("Pending",E169)))</formula>
    </cfRule>
    <cfRule type="containsText" dxfId="1005" priority="1042" operator="containsText" text="Pending">
      <formula>NOT(ISERROR(SEARCH("Pending",E169)))</formula>
    </cfRule>
  </conditionalFormatting>
  <conditionalFormatting sqref="E169:E170 Q2:Q185">
    <cfRule type="containsText" dxfId="1004" priority="1030" operator="containsText" text="Pending">
      <formula>NOT(ISERROR(SEARCH("Pending",E2)))</formula>
    </cfRule>
  </conditionalFormatting>
  <conditionalFormatting sqref="E170">
    <cfRule type="containsText" dxfId="1003" priority="1024" operator="containsText" text="Pending">
      <formula>NOT(ISERROR(SEARCH("Pending",E170)))</formula>
    </cfRule>
    <cfRule type="containsText" dxfId="1002" priority="1023" operator="containsText" text="Received ">
      <formula>NOT(ISERROR(SEARCH("Received ",E170)))</formula>
    </cfRule>
    <cfRule type="containsText" dxfId="1001" priority="1022" operator="containsText" text="Received">
      <formula>NOT(ISERROR(SEARCH("Received",E170)))</formula>
    </cfRule>
    <cfRule type="containsText" dxfId="1000" priority="1020" operator="containsText" text="Received ">
      <formula>NOT(ISERROR(SEARCH("Received ",E170)))</formula>
    </cfRule>
    <cfRule type="containsText" dxfId="999" priority="1019" operator="containsText" text="Received">
      <formula>NOT(ISERROR(SEARCH("Received",E170)))</formula>
    </cfRule>
    <cfRule type="containsText" dxfId="998" priority="1026" operator="containsText" text="Received ">
      <formula>NOT(ISERROR(SEARCH("Received ",E170)))</formula>
    </cfRule>
    <cfRule type="containsText" dxfId="997" priority="1029" operator="containsText" text="Received ">
      <formula>NOT(ISERROR(SEARCH("Received ",E170)))</formula>
    </cfRule>
    <cfRule type="containsText" dxfId="996" priority="1021" operator="containsText" text="Pending">
      <formula>NOT(ISERROR(SEARCH("Pending",E170)))</formula>
    </cfRule>
    <cfRule type="containsText" dxfId="995" priority="1028" operator="containsText" text="Received">
      <formula>NOT(ISERROR(SEARCH("Received",E170)))</formula>
    </cfRule>
    <cfRule type="containsText" dxfId="994" priority="1027" operator="containsText" text="Pending">
      <formula>NOT(ISERROR(SEARCH("Pending",E170)))</formula>
    </cfRule>
    <cfRule type="containsText" dxfId="993" priority="1018" operator="containsText" text="Pending">
      <formula>NOT(ISERROR(SEARCH("Pending",E170)))</formula>
    </cfRule>
    <cfRule type="containsText" dxfId="992" priority="1016" operator="containsText" text="Received">
      <formula>NOT(ISERROR(SEARCH("Received",E170)))</formula>
    </cfRule>
    <cfRule type="containsText" dxfId="991" priority="1015" operator="containsText" text="Pending">
      <formula>NOT(ISERROR(SEARCH("Pending",E170)))</formula>
    </cfRule>
    <cfRule type="containsText" dxfId="990" priority="1014" operator="containsText" text="Received ">
      <formula>NOT(ISERROR(SEARCH("Received ",E170)))</formula>
    </cfRule>
    <cfRule type="containsText" dxfId="989" priority="1013" operator="containsText" text="Received">
      <formula>NOT(ISERROR(SEARCH("Received",E170)))</formula>
    </cfRule>
    <cfRule type="containsText" dxfId="988" priority="1025" operator="containsText" text="Received">
      <formula>NOT(ISERROR(SEARCH("Received",E170)))</formula>
    </cfRule>
    <cfRule type="containsText" dxfId="987" priority="1017" operator="containsText" text="Received ">
      <formula>NOT(ISERROR(SEARCH("Received ",E170)))</formula>
    </cfRule>
  </conditionalFormatting>
  <conditionalFormatting sqref="E170:E171">
    <cfRule type="containsText" dxfId="986" priority="836" operator="containsText" text="Pending">
      <formula>NOT(ISERROR(SEARCH("Pending",E170)))</formula>
    </cfRule>
  </conditionalFormatting>
  <conditionalFormatting sqref="E171">
    <cfRule type="containsText" dxfId="985" priority="821" operator="containsText" text="Pending">
      <formula>NOT(ISERROR(SEARCH("Pending",E171)))</formula>
    </cfRule>
    <cfRule type="containsText" dxfId="984" priority="824" operator="containsText" text="Pending">
      <formula>NOT(ISERROR(SEARCH("Pending",E171)))</formula>
    </cfRule>
    <cfRule type="containsText" dxfId="983" priority="835" operator="containsText" text="Received ">
      <formula>NOT(ISERROR(SEARCH("Received ",E171)))</formula>
    </cfRule>
    <cfRule type="containsText" dxfId="982" priority="834" operator="containsText" text="Received">
      <formula>NOT(ISERROR(SEARCH("Received",E171)))</formula>
    </cfRule>
    <cfRule type="containsText" dxfId="981" priority="823" operator="containsText" text="Received ">
      <formula>NOT(ISERROR(SEARCH("Received ",E171)))</formula>
    </cfRule>
    <cfRule type="containsText" dxfId="980" priority="833" operator="containsText" text="Pending">
      <formula>NOT(ISERROR(SEARCH("Pending",E171)))</formula>
    </cfRule>
    <cfRule type="containsText" dxfId="979" priority="832" operator="containsText" text="Received ">
      <formula>NOT(ISERROR(SEARCH("Received ",E171)))</formula>
    </cfRule>
    <cfRule type="containsText" dxfId="978" priority="831" operator="containsText" text="Received">
      <formula>NOT(ISERROR(SEARCH("Received",E171)))</formula>
    </cfRule>
    <cfRule type="containsText" dxfId="977" priority="830" operator="containsText" text="Pending">
      <formula>NOT(ISERROR(SEARCH("Pending",E171)))</formula>
    </cfRule>
    <cfRule type="containsText" dxfId="976" priority="822" operator="containsText" text="Received">
      <formula>NOT(ISERROR(SEARCH("Received",E171)))</formula>
    </cfRule>
    <cfRule type="containsText" dxfId="975" priority="820" operator="containsText" text="Received ">
      <formula>NOT(ISERROR(SEARCH("Received ",E171)))</formula>
    </cfRule>
    <cfRule type="containsText" dxfId="974" priority="819" operator="containsText" text="Received">
      <formula>NOT(ISERROR(SEARCH("Received",E171)))</formula>
    </cfRule>
    <cfRule type="containsText" dxfId="973" priority="818" operator="containsText" text="Pending">
      <formula>NOT(ISERROR(SEARCH("Pending",E171)))</formula>
    </cfRule>
    <cfRule type="containsText" dxfId="972" priority="825" operator="containsText" text="Received">
      <formula>NOT(ISERROR(SEARCH("Received",E171)))</formula>
    </cfRule>
    <cfRule type="containsText" dxfId="971" priority="829" operator="containsText" text="Received ">
      <formula>NOT(ISERROR(SEARCH("Received ",E171)))</formula>
    </cfRule>
    <cfRule type="containsText" dxfId="970" priority="828" operator="containsText" text="Received">
      <formula>NOT(ISERROR(SEARCH("Received",E171)))</formula>
    </cfRule>
    <cfRule type="containsText" dxfId="969" priority="827" operator="containsText" text="Pending">
      <formula>NOT(ISERROR(SEARCH("Pending",E171)))</formula>
    </cfRule>
    <cfRule type="containsText" dxfId="968" priority="826" operator="containsText" text="Received ">
      <formula>NOT(ISERROR(SEARCH("Received ",E171)))</formula>
    </cfRule>
  </conditionalFormatting>
  <conditionalFormatting sqref="E172">
    <cfRule type="containsText" dxfId="967" priority="1002" operator="containsText" text="Received ">
      <formula>NOT(ISERROR(SEARCH("Received ",E172)))</formula>
    </cfRule>
    <cfRule type="containsText" dxfId="966" priority="986" operator="containsText" text="Received">
      <formula>NOT(ISERROR(SEARCH("Received",E172)))</formula>
    </cfRule>
    <cfRule type="containsText" dxfId="965" priority="987" operator="containsText" text="Received ">
      <formula>NOT(ISERROR(SEARCH("Received ",E172)))</formula>
    </cfRule>
    <cfRule type="containsText" dxfId="964" priority="988" operator="containsText" text="Pending">
      <formula>NOT(ISERROR(SEARCH("Pending",E172)))</formula>
    </cfRule>
    <cfRule type="containsText" dxfId="963" priority="989" operator="containsText" text="Received">
      <formula>NOT(ISERROR(SEARCH("Received",E172)))</formula>
    </cfRule>
    <cfRule type="containsText" dxfId="962" priority="997" operator="containsText" text="Pending">
      <formula>NOT(ISERROR(SEARCH("Pending",E172)))</formula>
    </cfRule>
    <cfRule type="containsText" dxfId="961" priority="1001" operator="containsText" text="Received">
      <formula>NOT(ISERROR(SEARCH("Received",E172)))</formula>
    </cfRule>
    <cfRule type="containsText" dxfId="960" priority="1000" operator="containsText" text="Pending">
      <formula>NOT(ISERROR(SEARCH("Pending",E172)))</formula>
    </cfRule>
    <cfRule type="containsText" dxfId="959" priority="999" operator="containsText" text="Received ">
      <formula>NOT(ISERROR(SEARCH("Received ",E172)))</formula>
    </cfRule>
    <cfRule type="containsText" dxfId="958" priority="998" operator="containsText" text="Received">
      <formula>NOT(ISERROR(SEARCH("Received",E172)))</formula>
    </cfRule>
    <cfRule type="containsText" dxfId="957" priority="990" operator="containsText" text="Received ">
      <formula>NOT(ISERROR(SEARCH("Received ",E172)))</formula>
    </cfRule>
    <cfRule type="containsText" dxfId="956" priority="996" operator="containsText" text="Received ">
      <formula>NOT(ISERROR(SEARCH("Received ",E172)))</formula>
    </cfRule>
    <cfRule type="containsText" dxfId="955" priority="995" operator="containsText" text="Received">
      <formula>NOT(ISERROR(SEARCH("Received",E172)))</formula>
    </cfRule>
    <cfRule type="containsText" dxfId="954" priority="994" operator="containsText" text="Pending">
      <formula>NOT(ISERROR(SEARCH("Pending",E172)))</formula>
    </cfRule>
    <cfRule type="containsText" dxfId="953" priority="993" operator="containsText" text="Received ">
      <formula>NOT(ISERROR(SEARCH("Received ",E172)))</formula>
    </cfRule>
    <cfRule type="containsText" dxfId="952" priority="992" operator="containsText" text="Received">
      <formula>NOT(ISERROR(SEARCH("Received",E172)))</formula>
    </cfRule>
    <cfRule type="containsText" dxfId="951" priority="991" operator="containsText" text="Pending">
      <formula>NOT(ISERROR(SEARCH("Pending",E172)))</formula>
    </cfRule>
    <cfRule type="containsText" dxfId="950" priority="1003" operator="containsText" text="Pending">
      <formula>NOT(ISERROR(SEARCH("Pending",E172)))</formula>
    </cfRule>
  </conditionalFormatting>
  <conditionalFormatting sqref="E172:E173">
    <cfRule type="containsText" dxfId="949" priority="976" operator="containsText" text="Pending">
      <formula>NOT(ISERROR(SEARCH("Pending",E172)))</formula>
    </cfRule>
  </conditionalFormatting>
  <conditionalFormatting sqref="E173">
    <cfRule type="containsText" dxfId="948" priority="968" operator="containsText" text="Received">
      <formula>NOT(ISERROR(SEARCH("Received",E173)))</formula>
    </cfRule>
    <cfRule type="containsText" dxfId="947" priority="959" operator="containsText" text="Received">
      <formula>NOT(ISERROR(SEARCH("Received",E173)))</formula>
    </cfRule>
    <cfRule type="containsText" dxfId="946" priority="960" operator="containsText" text="Received ">
      <formula>NOT(ISERROR(SEARCH("Received ",E173)))</formula>
    </cfRule>
    <cfRule type="containsText" dxfId="945" priority="961" operator="containsText" text="Pending">
      <formula>NOT(ISERROR(SEARCH("Pending",E173)))</formula>
    </cfRule>
    <cfRule type="containsText" dxfId="944" priority="962" operator="containsText" text="Received">
      <formula>NOT(ISERROR(SEARCH("Received",E173)))</formula>
    </cfRule>
    <cfRule type="containsText" dxfId="943" priority="963" operator="containsText" text="Received ">
      <formula>NOT(ISERROR(SEARCH("Received ",E173)))</formula>
    </cfRule>
    <cfRule type="containsText" dxfId="942" priority="964" operator="containsText" text="Pending">
      <formula>NOT(ISERROR(SEARCH("Pending",E173)))</formula>
    </cfRule>
    <cfRule type="containsText" dxfId="941" priority="965" operator="containsText" text="Received">
      <formula>NOT(ISERROR(SEARCH("Received",E173)))</formula>
    </cfRule>
    <cfRule type="containsText" dxfId="940" priority="966" operator="containsText" text="Received ">
      <formula>NOT(ISERROR(SEARCH("Received ",E173)))</formula>
    </cfRule>
    <cfRule type="containsText" dxfId="939" priority="967" operator="containsText" text="Pending">
      <formula>NOT(ISERROR(SEARCH("Pending",E173)))</formula>
    </cfRule>
    <cfRule type="containsText" dxfId="938" priority="969" operator="containsText" text="Received ">
      <formula>NOT(ISERROR(SEARCH("Received ",E173)))</formula>
    </cfRule>
    <cfRule type="containsText" dxfId="937" priority="970" operator="containsText" text="Pending">
      <formula>NOT(ISERROR(SEARCH("Pending",E173)))</formula>
    </cfRule>
    <cfRule type="containsText" dxfId="936" priority="971" operator="containsText" text="Received">
      <formula>NOT(ISERROR(SEARCH("Received",E173)))</formula>
    </cfRule>
    <cfRule type="containsText" dxfId="935" priority="972" operator="containsText" text="Received ">
      <formula>NOT(ISERROR(SEARCH("Received ",E173)))</formula>
    </cfRule>
    <cfRule type="containsText" dxfId="934" priority="973" operator="containsText" text="Pending">
      <formula>NOT(ISERROR(SEARCH("Pending",E173)))</formula>
    </cfRule>
    <cfRule type="containsText" dxfId="933" priority="974" operator="containsText" text="Received">
      <formula>NOT(ISERROR(SEARCH("Received",E173)))</formula>
    </cfRule>
    <cfRule type="containsText" dxfId="932" priority="975" operator="containsText" text="Received ">
      <formula>NOT(ISERROR(SEARCH("Received ",E173)))</formula>
    </cfRule>
  </conditionalFormatting>
  <conditionalFormatting sqref="E173:E175">
    <cfRule type="containsText" dxfId="931" priority="868" operator="containsText" text="Pending">
      <formula>NOT(ISERROR(SEARCH("Pending",E173)))</formula>
    </cfRule>
  </conditionalFormatting>
  <conditionalFormatting sqref="E174">
    <cfRule type="containsText" dxfId="930" priority="867" operator="containsText" text="Received ">
      <formula>NOT(ISERROR(SEARCH("Received ",E174)))</formula>
    </cfRule>
    <cfRule type="containsText" dxfId="929" priority="866" operator="containsText" text="Received">
      <formula>NOT(ISERROR(SEARCH("Received",E174)))</formula>
    </cfRule>
    <cfRule type="containsText" dxfId="928" priority="865" operator="containsText" text="Pending">
      <formula>NOT(ISERROR(SEARCH("Pending",E174)))</formula>
    </cfRule>
    <cfRule type="containsText" dxfId="927" priority="863" operator="containsText" text="Received">
      <formula>NOT(ISERROR(SEARCH("Received",E174)))</formula>
    </cfRule>
    <cfRule type="containsText" dxfId="926" priority="862" operator="containsText" text="Pending">
      <formula>NOT(ISERROR(SEARCH("Pending",E174)))</formula>
    </cfRule>
    <cfRule type="containsText" dxfId="925" priority="861" operator="containsText" text="Received ">
      <formula>NOT(ISERROR(SEARCH("Received ",E174)))</formula>
    </cfRule>
    <cfRule type="containsText" dxfId="924" priority="859" operator="containsText" text="Pending">
      <formula>NOT(ISERROR(SEARCH("Pending",E174)))</formula>
    </cfRule>
    <cfRule type="containsText" dxfId="923" priority="858" operator="containsText" text="Received ">
      <formula>NOT(ISERROR(SEARCH("Received ",E174)))</formula>
    </cfRule>
    <cfRule type="containsText" dxfId="922" priority="857" operator="containsText" text="Received">
      <formula>NOT(ISERROR(SEARCH("Received",E174)))</formula>
    </cfRule>
    <cfRule type="containsText" dxfId="921" priority="856" operator="containsText" text="Pending">
      <formula>NOT(ISERROR(SEARCH("Pending",E174)))</formula>
    </cfRule>
    <cfRule type="containsText" dxfId="920" priority="864" operator="containsText" text="Received ">
      <formula>NOT(ISERROR(SEARCH("Received ",E174)))</formula>
    </cfRule>
    <cfRule type="containsText" dxfId="919" priority="855" operator="containsText" text="Received ">
      <formula>NOT(ISERROR(SEARCH("Received ",E174)))</formula>
    </cfRule>
    <cfRule type="containsText" dxfId="918" priority="854" operator="containsText" text="Received">
      <formula>NOT(ISERROR(SEARCH("Received",E174)))</formula>
    </cfRule>
    <cfRule type="containsText" dxfId="917" priority="853" operator="containsText" text="Pending">
      <formula>NOT(ISERROR(SEARCH("Pending",E174)))</formula>
    </cfRule>
    <cfRule type="containsText" dxfId="916" priority="852" operator="containsText" text="Received ">
      <formula>NOT(ISERROR(SEARCH("Received ",E174)))</formula>
    </cfRule>
    <cfRule type="containsText" dxfId="915" priority="851" operator="containsText" text="Received">
      <formula>NOT(ISERROR(SEARCH("Received",E174)))</formula>
    </cfRule>
    <cfRule type="containsText" dxfId="914" priority="846" operator="containsText" text="Pending">
      <formula>NOT(ISERROR(SEARCH("Pending",E174)))</formula>
    </cfRule>
    <cfRule type="containsText" dxfId="913" priority="860" operator="containsText" text="Received">
      <formula>NOT(ISERROR(SEARCH("Received",E174)))</formula>
    </cfRule>
  </conditionalFormatting>
  <conditionalFormatting sqref="E175">
    <cfRule type="containsText" dxfId="912" priority="922" operator="containsText" text="Pending">
      <formula>NOT(ISERROR(SEARCH("Pending",E175)))</formula>
    </cfRule>
    <cfRule type="containsText" dxfId="911" priority="921" operator="containsText" text="Received ">
      <formula>NOT(ISERROR(SEARCH("Received ",E175)))</formula>
    </cfRule>
    <cfRule type="containsText" dxfId="910" priority="920" operator="containsText" text="Received">
      <formula>NOT(ISERROR(SEARCH("Received",E175)))</formula>
    </cfRule>
    <cfRule type="containsText" dxfId="909" priority="919" operator="containsText" text="Pending">
      <formula>NOT(ISERROR(SEARCH("Pending",E175)))</formula>
    </cfRule>
    <cfRule type="containsText" dxfId="908" priority="918" operator="containsText" text="Received ">
      <formula>NOT(ISERROR(SEARCH("Received ",E175)))</formula>
    </cfRule>
    <cfRule type="containsText" dxfId="907" priority="917" operator="containsText" text="Received">
      <formula>NOT(ISERROR(SEARCH("Received",E175)))</formula>
    </cfRule>
    <cfRule type="containsText" dxfId="906" priority="916" operator="containsText" text="Pending">
      <formula>NOT(ISERROR(SEARCH("Pending",E175)))</formula>
    </cfRule>
    <cfRule type="containsText" dxfId="905" priority="915" operator="containsText" text="Received ">
      <formula>NOT(ISERROR(SEARCH("Received ",E175)))</formula>
    </cfRule>
    <cfRule type="containsText" dxfId="904" priority="914" operator="containsText" text="Received">
      <formula>NOT(ISERROR(SEARCH("Received",E175)))</formula>
    </cfRule>
    <cfRule type="containsText" dxfId="903" priority="913" operator="containsText" text="Pending">
      <formula>NOT(ISERROR(SEARCH("Pending",E175)))</formula>
    </cfRule>
    <cfRule type="containsText" dxfId="902" priority="912" operator="containsText" text="Received ">
      <formula>NOT(ISERROR(SEARCH("Received ",E175)))</formula>
    </cfRule>
    <cfRule type="containsText" dxfId="901" priority="911" operator="containsText" text="Received">
      <formula>NOT(ISERROR(SEARCH("Received",E175)))</formula>
    </cfRule>
    <cfRule type="containsText" dxfId="900" priority="910" operator="containsText" text="Pending">
      <formula>NOT(ISERROR(SEARCH("Pending",E175)))</formula>
    </cfRule>
    <cfRule type="containsText" dxfId="899" priority="909" operator="containsText" text="Received ">
      <formula>NOT(ISERROR(SEARCH("Received ",E175)))</formula>
    </cfRule>
    <cfRule type="containsText" dxfId="898" priority="908" operator="containsText" text="Received">
      <formula>NOT(ISERROR(SEARCH("Received",E175)))</formula>
    </cfRule>
    <cfRule type="containsText" dxfId="897" priority="907" operator="containsText" text="Pending">
      <formula>NOT(ISERROR(SEARCH("Pending",E175)))</formula>
    </cfRule>
    <cfRule type="containsText" dxfId="896" priority="906" operator="containsText" text="Received ">
      <formula>NOT(ISERROR(SEARCH("Received ",E175)))</formula>
    </cfRule>
    <cfRule type="containsText" dxfId="895" priority="905" operator="containsText" text="Received">
      <formula>NOT(ISERROR(SEARCH("Received",E175)))</formula>
    </cfRule>
  </conditionalFormatting>
  <conditionalFormatting sqref="E176">
    <cfRule type="containsText" dxfId="894" priority="792" operator="containsText" text="Received">
      <formula>NOT(ISERROR(SEARCH("Received",E176)))</formula>
    </cfRule>
    <cfRule type="containsText" dxfId="893" priority="781" operator="containsText" text="Pending">
      <formula>NOT(ISERROR(SEARCH("Pending",E176)))</formula>
    </cfRule>
    <cfRule type="containsText" dxfId="892" priority="780" operator="containsText" text="Received ">
      <formula>NOT(ISERROR(SEARCH("Received ",E176)))</formula>
    </cfRule>
    <cfRule type="containsText" dxfId="891" priority="779" operator="containsText" text="Received">
      <formula>NOT(ISERROR(SEARCH("Received",E176)))</formula>
    </cfRule>
    <cfRule type="containsText" dxfId="890" priority="778" operator="containsText" text="Pending">
      <formula>NOT(ISERROR(SEARCH("Pending",E176)))</formula>
    </cfRule>
    <cfRule type="containsText" dxfId="889" priority="777" operator="containsText" text="Received ">
      <formula>NOT(ISERROR(SEARCH("Received ",E176)))</formula>
    </cfRule>
    <cfRule type="containsText" dxfId="888" priority="776" operator="containsText" text="Received">
      <formula>NOT(ISERROR(SEARCH("Received",E176)))</formula>
    </cfRule>
    <cfRule type="containsText" dxfId="887" priority="775" operator="containsText" text="Pending">
      <formula>NOT(ISERROR(SEARCH("Pending",E176)))</formula>
    </cfRule>
    <cfRule type="containsText" dxfId="886" priority="768" operator="containsText" text="Received ">
      <formula>NOT(ISERROR(SEARCH("Received ",E176)))</formula>
    </cfRule>
    <cfRule type="containsText" dxfId="885" priority="766" operator="containsText" text="Pending">
      <formula>NOT(ISERROR(SEARCH("Pending",E176)))</formula>
    </cfRule>
    <cfRule type="containsText" dxfId="884" priority="771" operator="containsText" text="Received ">
      <formula>NOT(ISERROR(SEARCH("Received ",E176)))</formula>
    </cfRule>
    <cfRule type="containsText" dxfId="883" priority="765" operator="containsText" text="Received ">
      <formula>NOT(ISERROR(SEARCH("Received ",E176)))</formula>
    </cfRule>
    <cfRule type="containsText" dxfId="882" priority="764" operator="containsText" text="Received">
      <formula>NOT(ISERROR(SEARCH("Received",E176)))</formula>
    </cfRule>
    <cfRule type="containsText" dxfId="881" priority="793" operator="containsText" text="Received ">
      <formula>NOT(ISERROR(SEARCH("Received ",E176)))</formula>
    </cfRule>
    <cfRule type="containsText" dxfId="880" priority="802" operator="containsText" text="Received ">
      <formula>NOT(ISERROR(SEARCH("Received ",E176)))</formula>
    </cfRule>
    <cfRule type="containsText" dxfId="879" priority="801" operator="containsText" text="Received">
      <formula>NOT(ISERROR(SEARCH("Received",E176)))</formula>
    </cfRule>
    <cfRule type="containsText" dxfId="878" priority="770" operator="containsText" text="Received">
      <formula>NOT(ISERROR(SEARCH("Received",E176)))</formula>
    </cfRule>
    <cfRule type="containsText" dxfId="877" priority="800" operator="containsText" text="Pending">
      <formula>NOT(ISERROR(SEARCH("Pending",E176)))</formula>
    </cfRule>
    <cfRule type="containsText" dxfId="876" priority="774" operator="containsText" text="Received ">
      <formula>NOT(ISERROR(SEARCH("Received ",E176)))</formula>
    </cfRule>
    <cfRule type="containsText" dxfId="875" priority="773" operator="containsText" text="Received">
      <formula>NOT(ISERROR(SEARCH("Received",E176)))</formula>
    </cfRule>
    <cfRule type="containsText" dxfId="874" priority="799" operator="containsText" text="Received ">
      <formula>NOT(ISERROR(SEARCH("Received ",E176)))</formula>
    </cfRule>
    <cfRule type="containsText" dxfId="873" priority="772" operator="containsText" text="Pending">
      <formula>NOT(ISERROR(SEARCH("Pending",E176)))</formula>
    </cfRule>
    <cfRule type="containsText" dxfId="872" priority="798" operator="containsText" text="Received">
      <formula>NOT(ISERROR(SEARCH("Received",E176)))</formula>
    </cfRule>
    <cfRule type="containsText" dxfId="871" priority="797" operator="containsText" text="Pending">
      <formula>NOT(ISERROR(SEARCH("Pending",E176)))</formula>
    </cfRule>
    <cfRule type="containsText" dxfId="870" priority="796" operator="containsText" text="Received ">
      <formula>NOT(ISERROR(SEARCH("Received ",E176)))</formula>
    </cfRule>
    <cfRule type="containsText" dxfId="869" priority="795" operator="containsText" text="Received">
      <formula>NOT(ISERROR(SEARCH("Received",E176)))</formula>
    </cfRule>
    <cfRule type="containsText" dxfId="868" priority="794" operator="containsText" text="Pending">
      <formula>NOT(ISERROR(SEARCH("Pending",E176)))</formula>
    </cfRule>
    <cfRule type="containsText" dxfId="867" priority="767" operator="containsText" text="Received">
      <formula>NOT(ISERROR(SEARCH("Received",E176)))</formula>
    </cfRule>
    <cfRule type="containsText" dxfId="866" priority="809" operator="containsText" text="Pending">
      <formula>NOT(ISERROR(SEARCH("Pending",E176)))</formula>
    </cfRule>
    <cfRule type="containsText" dxfId="865" priority="808" operator="containsText" text="Received ">
      <formula>NOT(ISERROR(SEARCH("Received ",E176)))</formula>
    </cfRule>
    <cfRule type="containsText" dxfId="864" priority="807" operator="containsText" text="Received">
      <formula>NOT(ISERROR(SEARCH("Received",E176)))</formula>
    </cfRule>
    <cfRule type="containsText" dxfId="863" priority="806" operator="containsText" text="Pending">
      <formula>NOT(ISERROR(SEARCH("Pending",E176)))</formula>
    </cfRule>
    <cfRule type="containsText" dxfId="862" priority="805" operator="containsText" text="Received ">
      <formula>NOT(ISERROR(SEARCH("Received ",E176)))</formula>
    </cfRule>
    <cfRule type="containsText" dxfId="861" priority="804" operator="containsText" text="Received">
      <formula>NOT(ISERROR(SEARCH("Received",E176)))</formula>
    </cfRule>
    <cfRule type="containsText" dxfId="860" priority="803" operator="containsText" text="Pending">
      <formula>NOT(ISERROR(SEARCH("Pending",E176)))</formula>
    </cfRule>
    <cfRule type="containsText" dxfId="859" priority="769" operator="containsText" text="Pending">
      <formula>NOT(ISERROR(SEARCH("Pending",E176)))</formula>
    </cfRule>
  </conditionalFormatting>
  <conditionalFormatting sqref="E176:E177">
    <cfRule type="containsText" dxfId="858" priority="754" operator="containsText" text="Pending">
      <formula>NOT(ISERROR(SEARCH("Pending",E176)))</formula>
    </cfRule>
  </conditionalFormatting>
  <conditionalFormatting sqref="E177">
    <cfRule type="containsText" dxfId="857" priority="722" operator="containsText" text="Received ">
      <formula>NOT(ISERROR(SEARCH("Received ",E177)))</formula>
    </cfRule>
    <cfRule type="containsText" dxfId="856" priority="721" operator="containsText" text="Received">
      <formula>NOT(ISERROR(SEARCH("Received",E177)))</formula>
    </cfRule>
    <cfRule type="containsText" dxfId="855" priority="720" operator="containsText" text="Pending">
      <formula>NOT(ISERROR(SEARCH("Pending",E177)))</formula>
    </cfRule>
    <cfRule type="containsText" dxfId="854" priority="719" operator="containsText" text="Received ">
      <formula>NOT(ISERROR(SEARCH("Received ",E177)))</formula>
    </cfRule>
    <cfRule type="containsText" dxfId="853" priority="718" operator="containsText" text="Received">
      <formula>NOT(ISERROR(SEARCH("Received",E177)))</formula>
    </cfRule>
    <cfRule type="containsText" dxfId="852" priority="717" operator="containsText" text="Pending">
      <formula>NOT(ISERROR(SEARCH("Pending",E177)))</formula>
    </cfRule>
    <cfRule type="containsText" dxfId="851" priority="715" operator="containsText" text="Received">
      <formula>NOT(ISERROR(SEARCH("Received",E177)))</formula>
    </cfRule>
    <cfRule type="containsText" dxfId="850" priority="709" operator="containsText" text="Received">
      <formula>NOT(ISERROR(SEARCH("Received",E177)))</formula>
    </cfRule>
    <cfRule type="containsText" dxfId="849" priority="710" operator="containsText" text="Received ">
      <formula>NOT(ISERROR(SEARCH("Received ",E177)))</formula>
    </cfRule>
    <cfRule type="containsText" dxfId="848" priority="711" operator="containsText" text="Pending">
      <formula>NOT(ISERROR(SEARCH("Pending",E177)))</formula>
    </cfRule>
    <cfRule type="containsText" dxfId="847" priority="712" operator="containsText" text="Received">
      <formula>NOT(ISERROR(SEARCH("Received",E177)))</formula>
    </cfRule>
    <cfRule type="containsText" dxfId="846" priority="713" operator="containsText" text="Received ">
      <formula>NOT(ISERROR(SEARCH("Received ",E177)))</formula>
    </cfRule>
    <cfRule type="containsText" dxfId="845" priority="714" operator="containsText" text="Pending">
      <formula>NOT(ISERROR(SEARCH("Pending",E177)))</formula>
    </cfRule>
    <cfRule type="containsText" dxfId="844" priority="716" operator="containsText" text="Received ">
      <formula>NOT(ISERROR(SEARCH("Received ",E177)))</formula>
    </cfRule>
    <cfRule type="containsText" dxfId="843" priority="745" operator="containsText" text="Pending">
      <formula>NOT(ISERROR(SEARCH("Pending",E177)))</formula>
    </cfRule>
    <cfRule type="containsText" dxfId="842" priority="744" operator="containsText" text="Received ">
      <formula>NOT(ISERROR(SEARCH("Received ",E177)))</formula>
    </cfRule>
    <cfRule type="containsText" dxfId="841" priority="743" operator="containsText" text="Received">
      <formula>NOT(ISERROR(SEARCH("Received",E177)))</formula>
    </cfRule>
    <cfRule type="containsText" dxfId="840" priority="742" operator="containsText" text="Pending">
      <formula>NOT(ISERROR(SEARCH("Pending",E177)))</formula>
    </cfRule>
    <cfRule type="containsText" dxfId="839" priority="741" operator="containsText" text="Received ">
      <formula>NOT(ISERROR(SEARCH("Received ",E177)))</formula>
    </cfRule>
    <cfRule type="containsText" dxfId="838" priority="740" operator="containsText" text="Received">
      <formula>NOT(ISERROR(SEARCH("Received",E177)))</formula>
    </cfRule>
    <cfRule type="containsText" dxfId="837" priority="739" operator="containsText" text="Pending">
      <formula>NOT(ISERROR(SEARCH("Pending",E177)))</formula>
    </cfRule>
    <cfRule type="containsText" dxfId="836" priority="738" operator="containsText" text="Received ">
      <formula>NOT(ISERROR(SEARCH("Received ",E177)))</formula>
    </cfRule>
    <cfRule type="containsText" dxfId="835" priority="737" operator="containsText" text="Received">
      <formula>NOT(ISERROR(SEARCH("Received",E177)))</formula>
    </cfRule>
    <cfRule type="containsText" dxfId="834" priority="726" operator="containsText" text="Pending">
      <formula>NOT(ISERROR(SEARCH("Pending",E177)))</formula>
    </cfRule>
    <cfRule type="containsText" dxfId="833" priority="746" operator="containsText" text="Received">
      <formula>NOT(ISERROR(SEARCH("Received",E177)))</formula>
    </cfRule>
    <cfRule type="containsText" dxfId="832" priority="724" operator="containsText" text="Received">
      <formula>NOT(ISERROR(SEARCH("Received",E177)))</formula>
    </cfRule>
    <cfRule type="containsText" dxfId="831" priority="723" operator="containsText" text="Pending">
      <formula>NOT(ISERROR(SEARCH("Pending",E177)))</formula>
    </cfRule>
    <cfRule type="containsText" dxfId="830" priority="753" operator="containsText" text="Received ">
      <formula>NOT(ISERROR(SEARCH("Received ",E177)))</formula>
    </cfRule>
    <cfRule type="containsText" dxfId="829" priority="752" operator="containsText" text="Received">
      <formula>NOT(ISERROR(SEARCH("Received",E177)))</formula>
    </cfRule>
    <cfRule type="containsText" dxfId="828" priority="751" operator="containsText" text="Pending">
      <formula>NOT(ISERROR(SEARCH("Pending",E177)))</formula>
    </cfRule>
    <cfRule type="containsText" dxfId="827" priority="750" operator="containsText" text="Received ">
      <formula>NOT(ISERROR(SEARCH("Received ",E177)))</formula>
    </cfRule>
    <cfRule type="containsText" dxfId="826" priority="749" operator="containsText" text="Received">
      <formula>NOT(ISERROR(SEARCH("Received",E177)))</formula>
    </cfRule>
    <cfRule type="containsText" dxfId="825" priority="748" operator="containsText" text="Pending">
      <formula>NOT(ISERROR(SEARCH("Pending",E177)))</formula>
    </cfRule>
    <cfRule type="containsText" dxfId="824" priority="747" operator="containsText" text="Received ">
      <formula>NOT(ISERROR(SEARCH("Received ",E177)))</formula>
    </cfRule>
    <cfRule type="containsText" dxfId="823" priority="725" operator="containsText" text="Received ">
      <formula>NOT(ISERROR(SEARCH("Received ",E177)))</formula>
    </cfRule>
  </conditionalFormatting>
  <conditionalFormatting sqref="E177:E178">
    <cfRule type="containsText" dxfId="822" priority="170" operator="containsText" text="Pending">
      <formula>NOT(ISERROR(SEARCH("Pending",E177)))</formula>
    </cfRule>
  </conditionalFormatting>
  <conditionalFormatting sqref="E178">
    <cfRule type="containsText" dxfId="821" priority="163" operator="containsText" text="Received ">
      <formula>NOT(ISERROR(SEARCH("Received ",E178)))</formula>
    </cfRule>
    <cfRule type="containsText" dxfId="820" priority="162" operator="containsText" text="Received">
      <formula>NOT(ISERROR(SEARCH("Received",E178)))</formula>
    </cfRule>
    <cfRule type="containsText" dxfId="819" priority="161" operator="containsText" text="Pending">
      <formula>NOT(ISERROR(SEARCH("Pending",E178)))</formula>
    </cfRule>
    <cfRule type="containsText" dxfId="818" priority="160" operator="containsText" text="Received ">
      <formula>NOT(ISERROR(SEARCH("Received ",E178)))</formula>
    </cfRule>
    <cfRule type="containsText" dxfId="817" priority="159" operator="containsText" text="Received">
      <formula>NOT(ISERROR(SEARCH("Received",E178)))</formula>
    </cfRule>
    <cfRule type="containsText" dxfId="816" priority="158" operator="containsText" text="Pending">
      <formula>NOT(ISERROR(SEARCH("Pending",E178)))</formula>
    </cfRule>
    <cfRule type="containsText" dxfId="815" priority="157" operator="containsText" text="Received ">
      <formula>NOT(ISERROR(SEARCH("Received ",E178)))</formula>
    </cfRule>
    <cfRule type="containsText" dxfId="814" priority="155" operator="containsText" text="Pending">
      <formula>NOT(ISERROR(SEARCH("Pending",E178)))</formula>
    </cfRule>
    <cfRule type="containsText" dxfId="813" priority="154" operator="containsText" text="Received ">
      <formula>NOT(ISERROR(SEARCH("Received ",E178)))</formula>
    </cfRule>
    <cfRule type="containsText" dxfId="812" priority="153" operator="containsText" text="Received">
      <formula>NOT(ISERROR(SEARCH("Received",E178)))</formula>
    </cfRule>
    <cfRule type="containsText" dxfId="811" priority="156" operator="containsText" text="Received">
      <formula>NOT(ISERROR(SEARCH("Received",E178)))</formula>
    </cfRule>
    <cfRule type="containsText" dxfId="810" priority="169" operator="containsText" text="Received ">
      <formula>NOT(ISERROR(SEARCH("Received ",E178)))</formula>
    </cfRule>
    <cfRule type="containsText" dxfId="809" priority="168" operator="containsText" text="Received">
      <formula>NOT(ISERROR(SEARCH("Received",E178)))</formula>
    </cfRule>
    <cfRule type="containsText" dxfId="808" priority="167" operator="containsText" text="Pending">
      <formula>NOT(ISERROR(SEARCH("Pending",E178)))</formula>
    </cfRule>
    <cfRule type="containsText" dxfId="807" priority="166" operator="containsText" text="Received ">
      <formula>NOT(ISERROR(SEARCH("Received ",E178)))</formula>
    </cfRule>
    <cfRule type="containsText" dxfId="806" priority="165" operator="containsText" text="Received">
      <formula>NOT(ISERROR(SEARCH("Received",E178)))</formula>
    </cfRule>
    <cfRule type="containsText" dxfId="805" priority="164" operator="containsText" text="Pending">
      <formula>NOT(ISERROR(SEARCH("Pending",E178)))</formula>
    </cfRule>
  </conditionalFormatting>
  <conditionalFormatting sqref="E178:E179">
    <cfRule type="containsText" dxfId="804" priority="139" operator="containsText" text="Pending">
      <formula>NOT(ISERROR(SEARCH("Pending",E178)))</formula>
    </cfRule>
  </conditionalFormatting>
  <conditionalFormatting sqref="E179">
    <cfRule type="containsText" dxfId="803" priority="130" operator="containsText" text="Pending">
      <formula>NOT(ISERROR(SEARCH("Pending",E179)))</formula>
    </cfRule>
    <cfRule type="containsText" dxfId="802" priority="124" operator="containsText" text="Pending">
      <formula>NOT(ISERROR(SEARCH("Pending",E179)))</formula>
    </cfRule>
    <cfRule type="containsText" dxfId="801" priority="125" operator="containsText" text="Received">
      <formula>NOT(ISERROR(SEARCH("Received",E179)))</formula>
    </cfRule>
    <cfRule type="containsText" dxfId="800" priority="126" operator="containsText" text="Received ">
      <formula>NOT(ISERROR(SEARCH("Received ",E179)))</formula>
    </cfRule>
    <cfRule type="containsText" dxfId="799" priority="127" operator="containsText" text="Pending">
      <formula>NOT(ISERROR(SEARCH("Pending",E179)))</formula>
    </cfRule>
    <cfRule type="containsText" dxfId="798" priority="128" operator="containsText" text="Received">
      <formula>NOT(ISERROR(SEARCH("Received",E179)))</formula>
    </cfRule>
    <cfRule type="containsText" dxfId="797" priority="129" operator="containsText" text="Received ">
      <formula>NOT(ISERROR(SEARCH("Received ",E179)))</formula>
    </cfRule>
    <cfRule type="containsText" dxfId="796" priority="131" operator="containsText" text="Received">
      <formula>NOT(ISERROR(SEARCH("Received",E179)))</formula>
    </cfRule>
    <cfRule type="containsText" dxfId="795" priority="132" operator="containsText" text="Received ">
      <formula>NOT(ISERROR(SEARCH("Received ",E179)))</formula>
    </cfRule>
    <cfRule type="containsText" dxfId="794" priority="133" operator="containsText" text="Pending">
      <formula>NOT(ISERROR(SEARCH("Pending",E179)))</formula>
    </cfRule>
    <cfRule type="containsText" dxfId="793" priority="134" operator="containsText" text="Received">
      <formula>NOT(ISERROR(SEARCH("Received",E179)))</formula>
    </cfRule>
    <cfRule type="containsText" dxfId="792" priority="135" operator="containsText" text="Received ">
      <formula>NOT(ISERROR(SEARCH("Received ",E179)))</formula>
    </cfRule>
    <cfRule type="containsText" dxfId="791" priority="137" operator="containsText" text="Received">
      <formula>NOT(ISERROR(SEARCH("Received",E179)))</formula>
    </cfRule>
    <cfRule type="containsText" dxfId="790" priority="136" operator="containsText" text="Pending">
      <formula>NOT(ISERROR(SEARCH("Pending",E179)))</formula>
    </cfRule>
    <cfRule type="containsText" dxfId="789" priority="138" operator="containsText" text="Received ">
      <formula>NOT(ISERROR(SEARCH("Received ",E179)))</formula>
    </cfRule>
    <cfRule type="containsText" dxfId="788" priority="123" operator="containsText" text="Received ">
      <formula>NOT(ISERROR(SEARCH("Received ",E179)))</formula>
    </cfRule>
    <cfRule type="containsText" dxfId="787" priority="122" operator="containsText" text="Received">
      <formula>NOT(ISERROR(SEARCH("Received",E179)))</formula>
    </cfRule>
  </conditionalFormatting>
  <conditionalFormatting sqref="E179:E180">
    <cfRule type="containsText" dxfId="786" priority="109" operator="containsText" text="Pending">
      <formula>NOT(ISERROR(SEARCH("Pending",E179)))</formula>
    </cfRule>
  </conditionalFormatting>
  <conditionalFormatting sqref="E180">
    <cfRule type="containsText" dxfId="785" priority="92" operator="containsText" text="Received">
      <formula>NOT(ISERROR(SEARCH("Received",E180)))</formula>
    </cfRule>
    <cfRule type="containsText" dxfId="784" priority="93" operator="containsText" text="Received ">
      <formula>NOT(ISERROR(SEARCH("Received ",E180)))</formula>
    </cfRule>
    <cfRule type="containsText" dxfId="783" priority="94" operator="containsText" text="Pending">
      <formula>NOT(ISERROR(SEARCH("Pending",E180)))</formula>
    </cfRule>
    <cfRule type="containsText" dxfId="782" priority="96" operator="containsText" text="Received ">
      <formula>NOT(ISERROR(SEARCH("Received ",E180)))</formula>
    </cfRule>
    <cfRule type="containsText" dxfId="781" priority="97" operator="containsText" text="Pending">
      <formula>NOT(ISERROR(SEARCH("Pending",E180)))</formula>
    </cfRule>
    <cfRule type="containsText" dxfId="780" priority="98" operator="containsText" text="Received">
      <formula>NOT(ISERROR(SEARCH("Received",E180)))</formula>
    </cfRule>
    <cfRule type="containsText" dxfId="779" priority="99" operator="containsText" text="Received ">
      <formula>NOT(ISERROR(SEARCH("Received ",E180)))</formula>
    </cfRule>
    <cfRule type="containsText" dxfId="778" priority="100" operator="containsText" text="Pending">
      <formula>NOT(ISERROR(SEARCH("Pending",E180)))</formula>
    </cfRule>
    <cfRule type="containsText" dxfId="777" priority="69" operator="containsText" text="Pending">
      <formula>NOT(ISERROR(SEARCH("Pending",E180)))</formula>
    </cfRule>
    <cfRule type="containsText" dxfId="776" priority="58" operator="containsText" text="Pending">
      <formula>NOT(ISERROR(SEARCH("Pending",E180)))</formula>
    </cfRule>
    <cfRule type="containsText" dxfId="775" priority="64" operator="containsText" text="Received">
      <formula>NOT(ISERROR(SEARCH("Received",E180)))</formula>
    </cfRule>
    <cfRule type="containsText" dxfId="774" priority="65" operator="containsText" text="Received ">
      <formula>NOT(ISERROR(SEARCH("Received ",E180)))</formula>
    </cfRule>
    <cfRule type="containsText" dxfId="773" priority="66" operator="containsText" text="Pending">
      <formula>NOT(ISERROR(SEARCH("Pending",E180)))</formula>
    </cfRule>
    <cfRule type="containsText" dxfId="772" priority="67" operator="containsText" text="Received">
      <formula>NOT(ISERROR(SEARCH("Received",E180)))</formula>
    </cfRule>
    <cfRule type="containsText" dxfId="771" priority="95" operator="containsText" text="Received">
      <formula>NOT(ISERROR(SEARCH("Received",E180)))</formula>
    </cfRule>
    <cfRule type="containsText" dxfId="770" priority="68" operator="containsText" text="Received ">
      <formula>NOT(ISERROR(SEARCH("Received ",E180)))</formula>
    </cfRule>
    <cfRule type="containsText" dxfId="769" priority="70" operator="containsText" text="Received">
      <formula>NOT(ISERROR(SEARCH("Received",E180)))</formula>
    </cfRule>
    <cfRule type="containsText" dxfId="768" priority="71" operator="containsText" text="Received ">
      <formula>NOT(ISERROR(SEARCH("Received ",E180)))</formula>
    </cfRule>
    <cfRule type="containsText" dxfId="767" priority="101" operator="containsText" text="Received">
      <formula>NOT(ISERROR(SEARCH("Received",E180)))</formula>
    </cfRule>
    <cfRule type="containsText" dxfId="766" priority="72" operator="containsText" text="Pending">
      <formula>NOT(ISERROR(SEARCH("Pending",E180)))</formula>
    </cfRule>
    <cfRule type="containsText" dxfId="765" priority="73" operator="containsText" text="Received">
      <formula>NOT(ISERROR(SEARCH("Received",E180)))</formula>
    </cfRule>
    <cfRule type="containsText" dxfId="764" priority="75" operator="containsText" text="Pending">
      <formula>NOT(ISERROR(SEARCH("Pending",E180)))</formula>
    </cfRule>
    <cfRule type="containsText" dxfId="763" priority="102" operator="containsText" text="Received ">
      <formula>NOT(ISERROR(SEARCH("Received ",E180)))</formula>
    </cfRule>
    <cfRule type="containsText" dxfId="762" priority="76" operator="containsText" text="Received">
      <formula>NOT(ISERROR(SEARCH("Received",E180)))</formula>
    </cfRule>
    <cfRule type="containsText" dxfId="761" priority="104" operator="containsText" text="Received">
      <formula>NOT(ISERROR(SEARCH("Received",E180)))</formula>
    </cfRule>
    <cfRule type="containsText" dxfId="760" priority="105" operator="containsText" text="Received ">
      <formula>NOT(ISERROR(SEARCH("Received ",E180)))</formula>
    </cfRule>
    <cfRule type="containsText" dxfId="759" priority="106" operator="containsText" text="Pending">
      <formula>NOT(ISERROR(SEARCH("Pending",E180)))</formula>
    </cfRule>
    <cfRule type="containsText" dxfId="758" priority="77" operator="containsText" text="Received ">
      <formula>NOT(ISERROR(SEARCH("Received ",E180)))</formula>
    </cfRule>
    <cfRule type="containsText" dxfId="757" priority="107" operator="containsText" text="Received">
      <formula>NOT(ISERROR(SEARCH("Received",E180)))</formula>
    </cfRule>
    <cfRule type="containsText" dxfId="756" priority="103" operator="containsText" text="Pending">
      <formula>NOT(ISERROR(SEARCH("Pending",E180)))</formula>
    </cfRule>
    <cfRule type="containsText" dxfId="755" priority="74" operator="containsText" text="Received ">
      <formula>NOT(ISERROR(SEARCH("Received ",E180)))</formula>
    </cfRule>
    <cfRule type="containsText" dxfId="754" priority="78" operator="containsText" text="Pending">
      <formula>NOT(ISERROR(SEARCH("Pending",E180)))</formula>
    </cfRule>
    <cfRule type="containsText" dxfId="753" priority="79" operator="containsText" text="Received">
      <formula>NOT(ISERROR(SEARCH("Received",E180)))</formula>
    </cfRule>
    <cfRule type="containsText" dxfId="752" priority="80" operator="containsText" text="Received ">
      <formula>NOT(ISERROR(SEARCH("Received ",E180)))</formula>
    </cfRule>
    <cfRule type="containsText" dxfId="751" priority="81" operator="containsText" text="Pending">
      <formula>NOT(ISERROR(SEARCH("Pending",E180)))</formula>
    </cfRule>
    <cfRule type="containsText" dxfId="750" priority="108" operator="containsText" text="Received ">
      <formula>NOT(ISERROR(SEARCH("Received ",E180)))</formula>
    </cfRule>
  </conditionalFormatting>
  <conditionalFormatting sqref="E181">
    <cfRule type="containsText" dxfId="749" priority="698" operator="containsText" text="Received ">
      <formula>NOT(ISERROR(SEARCH("Received ",E181)))</formula>
    </cfRule>
    <cfRule type="containsText" dxfId="748" priority="697" operator="containsText" text="Received">
      <formula>NOT(ISERROR(SEARCH("Received",E181)))</formula>
    </cfRule>
    <cfRule type="containsText" dxfId="747" priority="696" operator="containsText" text="Pending">
      <formula>NOT(ISERROR(SEARCH("Pending",E181)))</formula>
    </cfRule>
    <cfRule type="containsText" dxfId="746" priority="695" operator="containsText" text="Received ">
      <formula>NOT(ISERROR(SEARCH("Received ",E181)))</formula>
    </cfRule>
    <cfRule type="containsText" dxfId="745" priority="694" operator="containsText" text="Received">
      <formula>NOT(ISERROR(SEARCH("Received",E181)))</formula>
    </cfRule>
    <cfRule type="containsText" dxfId="744" priority="693" operator="containsText" text="Pending">
      <formula>NOT(ISERROR(SEARCH("Pending",E181)))</formula>
    </cfRule>
    <cfRule type="containsText" dxfId="743" priority="692" operator="containsText" text="Received ">
      <formula>NOT(ISERROR(SEARCH("Received ",E181)))</formula>
    </cfRule>
    <cfRule type="containsText" dxfId="742" priority="662" operator="containsText" text="Pending">
      <formula>NOT(ISERROR(SEARCH("Pending",E181)))</formula>
    </cfRule>
    <cfRule type="containsText" dxfId="741" priority="661" operator="containsText" text="Received ">
      <formula>NOT(ISERROR(SEARCH("Received ",E181)))</formula>
    </cfRule>
    <cfRule type="containsText" dxfId="740" priority="660" operator="containsText" text="Received">
      <formula>NOT(ISERROR(SEARCH("Received",E181)))</formula>
    </cfRule>
    <cfRule type="containsText" dxfId="739" priority="659" operator="containsText" text="Pending">
      <formula>NOT(ISERROR(SEARCH("Pending",E181)))</formula>
    </cfRule>
    <cfRule type="containsText" dxfId="738" priority="658" operator="containsText" text="Received ">
      <formula>NOT(ISERROR(SEARCH("Received ",E181)))</formula>
    </cfRule>
    <cfRule type="containsText" dxfId="737" priority="657" operator="containsText" text="Received">
      <formula>NOT(ISERROR(SEARCH("Received",E181)))</formula>
    </cfRule>
    <cfRule type="containsText" dxfId="736" priority="656" operator="containsText" text="Pending">
      <formula>NOT(ISERROR(SEARCH("Pending",E181)))</formula>
    </cfRule>
    <cfRule type="containsText" dxfId="735" priority="655" operator="containsText" text="Received ">
      <formula>NOT(ISERROR(SEARCH("Received ",E181)))</formula>
    </cfRule>
    <cfRule type="containsText" dxfId="734" priority="654" operator="containsText" text="Received">
      <formula>NOT(ISERROR(SEARCH("Received",E181)))</formula>
    </cfRule>
    <cfRule type="containsText" dxfId="733" priority="687" operator="containsText" text="Pending">
      <formula>NOT(ISERROR(SEARCH("Pending",E181)))</formula>
    </cfRule>
    <cfRule type="containsText" dxfId="732" priority="688" operator="containsText" text="Received">
      <formula>NOT(ISERROR(SEARCH("Received",E181)))</formula>
    </cfRule>
    <cfRule type="containsText" dxfId="731" priority="689" operator="containsText" text="Received ">
      <formula>NOT(ISERROR(SEARCH("Received ",E181)))</formula>
    </cfRule>
    <cfRule type="containsText" dxfId="730" priority="690" operator="containsText" text="Pending">
      <formula>NOT(ISERROR(SEARCH("Pending",E181)))</formula>
    </cfRule>
    <cfRule type="containsText" dxfId="729" priority="691" operator="containsText" text="Received">
      <formula>NOT(ISERROR(SEARCH("Received",E181)))</formula>
    </cfRule>
    <cfRule type="containsText" dxfId="728" priority="686" operator="containsText" text="Received ">
      <formula>NOT(ISERROR(SEARCH("Received ",E181)))</formula>
    </cfRule>
    <cfRule type="containsText" dxfId="727" priority="685" operator="containsText" text="Received">
      <formula>NOT(ISERROR(SEARCH("Received",E181)))</formula>
    </cfRule>
    <cfRule type="containsText" dxfId="726" priority="670" operator="containsText" text="Received ">
      <formula>NOT(ISERROR(SEARCH("Received ",E181)))</formula>
    </cfRule>
    <cfRule type="containsText" dxfId="725" priority="684" operator="containsText" text="Pending">
      <formula>NOT(ISERROR(SEARCH("Pending",E181)))</formula>
    </cfRule>
    <cfRule type="containsText" dxfId="724" priority="683" operator="containsText" text="Received ">
      <formula>NOT(ISERROR(SEARCH("Received ",E181)))</formula>
    </cfRule>
    <cfRule type="containsText" dxfId="723" priority="682" operator="containsText" text="Received">
      <formula>NOT(ISERROR(SEARCH("Received",E181)))</formula>
    </cfRule>
    <cfRule type="containsText" dxfId="722" priority="669" operator="containsText" text="Received">
      <formula>NOT(ISERROR(SEARCH("Received",E181)))</formula>
    </cfRule>
    <cfRule type="containsText" dxfId="721" priority="668" operator="containsText" text="Pending">
      <formula>NOT(ISERROR(SEARCH("Pending",E181)))</formula>
    </cfRule>
    <cfRule type="containsText" dxfId="720" priority="667" operator="containsText" text="Received ">
      <formula>NOT(ISERROR(SEARCH("Received ",E181)))</formula>
    </cfRule>
    <cfRule type="containsText" dxfId="719" priority="665" operator="containsText" text="Pending">
      <formula>NOT(ISERROR(SEARCH("Pending",E181)))</formula>
    </cfRule>
    <cfRule type="containsText" dxfId="718" priority="671" operator="containsText" text="Pending">
      <formula>NOT(ISERROR(SEARCH("Pending",E181)))</formula>
    </cfRule>
    <cfRule type="containsText" dxfId="717" priority="666" operator="containsText" text="Received">
      <formula>NOT(ISERROR(SEARCH("Received",E181)))</formula>
    </cfRule>
    <cfRule type="containsText" dxfId="716" priority="664" operator="containsText" text="Received ">
      <formula>NOT(ISERROR(SEARCH("Received ",E181)))</formula>
    </cfRule>
    <cfRule type="containsText" dxfId="715" priority="663" operator="containsText" text="Received">
      <formula>NOT(ISERROR(SEARCH("Received",E181)))</formula>
    </cfRule>
    <cfRule type="containsText" dxfId="714" priority="699" operator="containsText" text="Pending">
      <formula>NOT(ISERROR(SEARCH("Pending",E181)))</formula>
    </cfRule>
  </conditionalFormatting>
  <conditionalFormatting sqref="E181:E182">
    <cfRule type="containsText" dxfId="713" priority="644" operator="containsText" text="Pending">
      <formula>NOT(ISERROR(SEARCH("Pending",E181)))</formula>
    </cfRule>
  </conditionalFormatting>
  <conditionalFormatting sqref="E182">
    <cfRule type="containsText" dxfId="712" priority="627" operator="containsText" text="Received">
      <formula>NOT(ISERROR(SEARCH("Received",E182)))</formula>
    </cfRule>
    <cfRule type="containsText" dxfId="711" priority="638" operator="containsText" text="Pending">
      <formula>NOT(ISERROR(SEARCH("Pending",E182)))</formula>
    </cfRule>
    <cfRule type="containsText" dxfId="710" priority="637" operator="containsText" text="Received ">
      <formula>NOT(ISERROR(SEARCH("Received ",E182)))</formula>
    </cfRule>
    <cfRule type="containsText" dxfId="709" priority="636" operator="containsText" text="Received">
      <formula>NOT(ISERROR(SEARCH("Received",E182)))</formula>
    </cfRule>
    <cfRule type="containsText" dxfId="708" priority="635" operator="containsText" text="Pending">
      <formula>NOT(ISERROR(SEARCH("Pending",E182)))</formula>
    </cfRule>
    <cfRule type="containsText" dxfId="707" priority="599" operator="containsText" text="Received">
      <formula>NOT(ISERROR(SEARCH("Received",E182)))</formula>
    </cfRule>
    <cfRule type="containsText" dxfId="706" priority="643" operator="containsText" text="Received ">
      <formula>NOT(ISERROR(SEARCH("Received ",E182)))</formula>
    </cfRule>
    <cfRule type="containsText" dxfId="705" priority="600" operator="containsText" text="Received ">
      <formula>NOT(ISERROR(SEARCH("Received ",E182)))</formula>
    </cfRule>
    <cfRule type="containsText" dxfId="704" priority="601" operator="containsText" text="Pending">
      <formula>NOT(ISERROR(SEARCH("Pending",E182)))</formula>
    </cfRule>
    <cfRule type="containsText" dxfId="703" priority="602" operator="containsText" text="Received">
      <formula>NOT(ISERROR(SEARCH("Received",E182)))</formula>
    </cfRule>
    <cfRule type="containsText" dxfId="702" priority="634" operator="containsText" text="Received ">
      <formula>NOT(ISERROR(SEARCH("Received ",E182)))</formula>
    </cfRule>
    <cfRule type="containsText" dxfId="701" priority="633" operator="containsText" text="Received">
      <formula>NOT(ISERROR(SEARCH("Received",E182)))</formula>
    </cfRule>
    <cfRule type="containsText" dxfId="700" priority="632" operator="containsText" text="Pending">
      <formula>NOT(ISERROR(SEARCH("Pending",E182)))</formula>
    </cfRule>
    <cfRule type="containsText" dxfId="699" priority="631" operator="containsText" text="Received ">
      <formula>NOT(ISERROR(SEARCH("Received ",E182)))</formula>
    </cfRule>
    <cfRule type="containsText" dxfId="698" priority="630" operator="containsText" text="Received">
      <formula>NOT(ISERROR(SEARCH("Received",E182)))</formula>
    </cfRule>
    <cfRule type="containsText" dxfId="697" priority="629" operator="containsText" text="Pending">
      <formula>NOT(ISERROR(SEARCH("Pending",E182)))</formula>
    </cfRule>
    <cfRule type="containsText" dxfId="696" priority="628" operator="containsText" text="Received ">
      <formula>NOT(ISERROR(SEARCH("Received ",E182)))</formula>
    </cfRule>
    <cfRule type="containsText" dxfId="695" priority="613" operator="containsText" text="Pending">
      <formula>NOT(ISERROR(SEARCH("Pending",E182)))</formula>
    </cfRule>
    <cfRule type="containsText" dxfId="694" priority="616" operator="containsText" text="Pending">
      <formula>NOT(ISERROR(SEARCH("Pending",E182)))</formula>
    </cfRule>
    <cfRule type="containsText" dxfId="693" priority="642" operator="containsText" text="Received">
      <formula>NOT(ISERROR(SEARCH("Received",E182)))</formula>
    </cfRule>
    <cfRule type="containsText" dxfId="692" priority="615" operator="containsText" text="Received ">
      <formula>NOT(ISERROR(SEARCH("Received ",E182)))</formula>
    </cfRule>
    <cfRule type="containsText" dxfId="691" priority="614" operator="containsText" text="Received">
      <formula>NOT(ISERROR(SEARCH("Received",E182)))</formula>
    </cfRule>
    <cfRule type="containsText" dxfId="690" priority="612" operator="containsText" text="Received ">
      <formula>NOT(ISERROR(SEARCH("Received ",E182)))</formula>
    </cfRule>
    <cfRule type="containsText" dxfId="689" priority="611" operator="containsText" text="Received">
      <formula>NOT(ISERROR(SEARCH("Received",E182)))</formula>
    </cfRule>
    <cfRule type="containsText" dxfId="688" priority="610" operator="containsText" text="Pending">
      <formula>NOT(ISERROR(SEARCH("Pending",E182)))</formula>
    </cfRule>
    <cfRule type="containsText" dxfId="687" priority="609" operator="containsText" text="Received ">
      <formula>NOT(ISERROR(SEARCH("Received ",E182)))</formula>
    </cfRule>
    <cfRule type="containsText" dxfId="686" priority="608" operator="containsText" text="Received">
      <formula>NOT(ISERROR(SEARCH("Received",E182)))</formula>
    </cfRule>
    <cfRule type="containsText" dxfId="685" priority="607" operator="containsText" text="Pending">
      <formula>NOT(ISERROR(SEARCH("Pending",E182)))</formula>
    </cfRule>
    <cfRule type="containsText" dxfId="684" priority="606" operator="containsText" text="Received ">
      <formula>NOT(ISERROR(SEARCH("Received ",E182)))</formula>
    </cfRule>
    <cfRule type="containsText" dxfId="683" priority="605" operator="containsText" text="Received">
      <formula>NOT(ISERROR(SEARCH("Received",E182)))</formula>
    </cfRule>
    <cfRule type="containsText" dxfId="682" priority="604" operator="containsText" text="Pending">
      <formula>NOT(ISERROR(SEARCH("Pending",E182)))</formula>
    </cfRule>
    <cfRule type="containsText" dxfId="681" priority="603" operator="containsText" text="Received ">
      <formula>NOT(ISERROR(SEARCH("Received ",E182)))</formula>
    </cfRule>
    <cfRule type="containsText" dxfId="680" priority="641" operator="containsText" text="Pending">
      <formula>NOT(ISERROR(SEARCH("Pending",E182)))</formula>
    </cfRule>
    <cfRule type="containsText" dxfId="679" priority="640" operator="containsText" text="Received ">
      <formula>NOT(ISERROR(SEARCH("Received ",E182)))</formula>
    </cfRule>
    <cfRule type="containsText" dxfId="678" priority="639" operator="containsText" text="Received">
      <formula>NOT(ISERROR(SEARCH("Received",E182)))</formula>
    </cfRule>
  </conditionalFormatting>
  <conditionalFormatting sqref="E182:E183">
    <cfRule type="containsText" dxfId="677" priority="589" operator="containsText" text="Pending">
      <formula>NOT(ISERROR(SEARCH("Pending",E182)))</formula>
    </cfRule>
  </conditionalFormatting>
  <conditionalFormatting sqref="E183">
    <cfRule type="containsText" dxfId="676" priority="586" operator="containsText" text="Pending">
      <formula>NOT(ISERROR(SEARCH("Pending",E183)))</formula>
    </cfRule>
    <cfRule type="containsText" dxfId="675" priority="587" operator="containsText" text="Received">
      <formula>NOT(ISERROR(SEARCH("Received",E183)))</formula>
    </cfRule>
    <cfRule type="containsText" dxfId="674" priority="588" operator="containsText" text="Received ">
      <formula>NOT(ISERROR(SEARCH("Received ",E183)))</formula>
    </cfRule>
    <cfRule type="containsText" dxfId="673" priority="585" operator="containsText" text="Received ">
      <formula>NOT(ISERROR(SEARCH("Received ",E183)))</formula>
    </cfRule>
    <cfRule type="containsText" dxfId="672" priority="544" operator="containsText" text="Received">
      <formula>NOT(ISERROR(SEARCH("Received",E183)))</formula>
    </cfRule>
    <cfRule type="containsText" dxfId="671" priority="545" operator="containsText" text="Received ">
      <formula>NOT(ISERROR(SEARCH("Received ",E183)))</formula>
    </cfRule>
    <cfRule type="containsText" dxfId="670" priority="546" operator="containsText" text="Pending">
      <formula>NOT(ISERROR(SEARCH("Pending",E183)))</formula>
    </cfRule>
    <cfRule type="containsText" dxfId="669" priority="547" operator="containsText" text="Received">
      <formula>NOT(ISERROR(SEARCH("Received",E183)))</formula>
    </cfRule>
    <cfRule type="containsText" dxfId="668" priority="548" operator="containsText" text="Received ">
      <formula>NOT(ISERROR(SEARCH("Received ",E183)))</formula>
    </cfRule>
    <cfRule type="containsText" dxfId="667" priority="549" operator="containsText" text="Pending">
      <formula>NOT(ISERROR(SEARCH("Pending",E183)))</formula>
    </cfRule>
    <cfRule type="containsText" dxfId="666" priority="550" operator="containsText" text="Received">
      <formula>NOT(ISERROR(SEARCH("Received",E183)))</formula>
    </cfRule>
    <cfRule type="containsText" dxfId="665" priority="551" operator="containsText" text="Received ">
      <formula>NOT(ISERROR(SEARCH("Received ",E183)))</formula>
    </cfRule>
    <cfRule type="containsText" dxfId="664" priority="552" operator="containsText" text="Pending">
      <formula>NOT(ISERROR(SEARCH("Pending",E183)))</formula>
    </cfRule>
    <cfRule type="containsText" dxfId="663" priority="553" operator="containsText" text="Received">
      <formula>NOT(ISERROR(SEARCH("Received",E183)))</formula>
    </cfRule>
    <cfRule type="containsText" dxfId="662" priority="554" operator="containsText" text="Received ">
      <formula>NOT(ISERROR(SEARCH("Received ",E183)))</formula>
    </cfRule>
    <cfRule type="containsText" dxfId="661" priority="555" operator="containsText" text="Pending">
      <formula>NOT(ISERROR(SEARCH("Pending",E183)))</formula>
    </cfRule>
    <cfRule type="containsText" dxfId="660" priority="556" operator="containsText" text="Received">
      <formula>NOT(ISERROR(SEARCH("Received",E183)))</formula>
    </cfRule>
    <cfRule type="containsText" dxfId="659" priority="557" operator="containsText" text="Received ">
      <formula>NOT(ISERROR(SEARCH("Received ",E183)))</formula>
    </cfRule>
    <cfRule type="containsText" dxfId="658" priority="558" operator="containsText" text="Pending">
      <formula>NOT(ISERROR(SEARCH("Pending",E183)))</formula>
    </cfRule>
    <cfRule type="containsText" dxfId="657" priority="559" operator="containsText" text="Received">
      <formula>NOT(ISERROR(SEARCH("Received",E183)))</formula>
    </cfRule>
    <cfRule type="containsText" dxfId="656" priority="560" operator="containsText" text="Received ">
      <formula>NOT(ISERROR(SEARCH("Received ",E183)))</formula>
    </cfRule>
    <cfRule type="containsText" dxfId="655" priority="561" operator="containsText" text="Pending">
      <formula>NOT(ISERROR(SEARCH("Pending",E183)))</formula>
    </cfRule>
    <cfRule type="containsText" dxfId="654" priority="572" operator="containsText" text="Received">
      <formula>NOT(ISERROR(SEARCH("Received",E183)))</formula>
    </cfRule>
    <cfRule type="containsText" dxfId="653" priority="573" operator="containsText" text="Received ">
      <formula>NOT(ISERROR(SEARCH("Received ",E183)))</formula>
    </cfRule>
    <cfRule type="containsText" dxfId="652" priority="574" operator="containsText" text="Pending">
      <formula>NOT(ISERROR(SEARCH("Pending",E183)))</formula>
    </cfRule>
    <cfRule type="containsText" dxfId="651" priority="575" operator="containsText" text="Received">
      <formula>NOT(ISERROR(SEARCH("Received",E183)))</formula>
    </cfRule>
    <cfRule type="containsText" dxfId="650" priority="576" operator="containsText" text="Received ">
      <formula>NOT(ISERROR(SEARCH("Received ",E183)))</formula>
    </cfRule>
    <cfRule type="containsText" dxfId="649" priority="577" operator="containsText" text="Pending">
      <formula>NOT(ISERROR(SEARCH("Pending",E183)))</formula>
    </cfRule>
    <cfRule type="containsText" dxfId="648" priority="578" operator="containsText" text="Received">
      <formula>NOT(ISERROR(SEARCH("Received",E183)))</formula>
    </cfRule>
    <cfRule type="containsText" dxfId="647" priority="579" operator="containsText" text="Received ">
      <formula>NOT(ISERROR(SEARCH("Received ",E183)))</formula>
    </cfRule>
    <cfRule type="containsText" dxfId="646" priority="580" operator="containsText" text="Pending">
      <formula>NOT(ISERROR(SEARCH("Pending",E183)))</formula>
    </cfRule>
    <cfRule type="containsText" dxfId="645" priority="581" operator="containsText" text="Received">
      <formula>NOT(ISERROR(SEARCH("Received",E183)))</formula>
    </cfRule>
    <cfRule type="containsText" dxfId="644" priority="582" operator="containsText" text="Received ">
      <formula>NOT(ISERROR(SEARCH("Received ",E183)))</formula>
    </cfRule>
    <cfRule type="containsText" dxfId="643" priority="583" operator="containsText" text="Pending">
      <formula>NOT(ISERROR(SEARCH("Pending",E183)))</formula>
    </cfRule>
    <cfRule type="containsText" dxfId="642" priority="584" operator="containsText" text="Received">
      <formula>NOT(ISERROR(SEARCH("Received",E183)))</formula>
    </cfRule>
  </conditionalFormatting>
  <conditionalFormatting sqref="E183:E184">
    <cfRule type="containsText" dxfId="641" priority="534" operator="containsText" text="Pending">
      <formula>NOT(ISERROR(SEARCH("Pending",E183)))</formula>
    </cfRule>
  </conditionalFormatting>
  <conditionalFormatting sqref="E184">
    <cfRule type="containsText" dxfId="640" priority="522" operator="containsText" text="Pending">
      <formula>NOT(ISERROR(SEARCH("Pending",E184)))</formula>
    </cfRule>
    <cfRule type="containsText" dxfId="639" priority="521" operator="containsText" text="Received ">
      <formula>NOT(ISERROR(SEARCH("Received ",E184)))</formula>
    </cfRule>
    <cfRule type="containsText" dxfId="638" priority="520" operator="containsText" text="Received">
      <formula>NOT(ISERROR(SEARCH("Received",E184)))</formula>
    </cfRule>
    <cfRule type="containsText" dxfId="637" priority="519" operator="containsText" text="Pending">
      <formula>NOT(ISERROR(SEARCH("Pending",E184)))</formula>
    </cfRule>
    <cfRule type="containsText" dxfId="636" priority="527" operator="containsText" text="Received ">
      <formula>NOT(ISERROR(SEARCH("Received ",E184)))</formula>
    </cfRule>
    <cfRule type="containsText" dxfId="635" priority="526" operator="containsText" text="Received">
      <formula>NOT(ISERROR(SEARCH("Received",E184)))</formula>
    </cfRule>
    <cfRule type="containsText" dxfId="634" priority="525" operator="containsText" text="Pending">
      <formula>NOT(ISERROR(SEARCH("Pending",E184)))</formula>
    </cfRule>
    <cfRule type="containsText" dxfId="633" priority="524" operator="containsText" text="Received ">
      <formula>NOT(ISERROR(SEARCH("Received ",E184)))</formula>
    </cfRule>
    <cfRule type="containsText" dxfId="632" priority="531" operator="containsText" text="Pending">
      <formula>NOT(ISERROR(SEARCH("Pending",E184)))</formula>
    </cfRule>
    <cfRule type="containsText" dxfId="631" priority="518" operator="containsText" text="Received ">
      <formula>NOT(ISERROR(SEARCH("Received ",E184)))</formula>
    </cfRule>
    <cfRule type="containsText" dxfId="630" priority="517" operator="containsText" text="Received">
      <formula>NOT(ISERROR(SEARCH("Received",E184)))</formula>
    </cfRule>
    <cfRule type="containsText" dxfId="629" priority="500" operator="containsText" text="Pending">
      <formula>NOT(ISERROR(SEARCH("Pending",E184)))</formula>
    </cfRule>
    <cfRule type="containsText" dxfId="628" priority="502" operator="containsText" text="Received ">
      <formula>NOT(ISERROR(SEARCH("Received ",E184)))</formula>
    </cfRule>
    <cfRule type="containsText" dxfId="627" priority="499" operator="containsText" text="Received ">
      <formula>NOT(ISERROR(SEARCH("Received ",E184)))</formula>
    </cfRule>
    <cfRule type="containsText" dxfId="626" priority="498" operator="containsText" text="Received">
      <formula>NOT(ISERROR(SEARCH("Received",E184)))</formula>
    </cfRule>
    <cfRule type="containsText" dxfId="625" priority="497" operator="containsText" text="Pending">
      <formula>NOT(ISERROR(SEARCH("Pending",E184)))</formula>
    </cfRule>
    <cfRule type="containsText" dxfId="624" priority="496" operator="containsText" text="Received ">
      <formula>NOT(ISERROR(SEARCH("Received ",E184)))</formula>
    </cfRule>
    <cfRule type="containsText" dxfId="623" priority="529" operator="containsText" text="Received">
      <formula>NOT(ISERROR(SEARCH("Received",E184)))</formula>
    </cfRule>
    <cfRule type="containsText" dxfId="622" priority="494" operator="containsText" text="Pending">
      <formula>NOT(ISERROR(SEARCH("Pending",E184)))</formula>
    </cfRule>
    <cfRule type="containsText" dxfId="621" priority="493" operator="containsText" text="Received ">
      <formula>NOT(ISERROR(SEARCH("Received ",E184)))</formula>
    </cfRule>
    <cfRule type="containsText" dxfId="620" priority="492" operator="containsText" text="Received">
      <formula>NOT(ISERROR(SEARCH("Received",E184)))</formula>
    </cfRule>
    <cfRule type="containsText" dxfId="619" priority="506" operator="containsText" text="Pending">
      <formula>NOT(ISERROR(SEARCH("Pending",E184)))</formula>
    </cfRule>
    <cfRule type="containsText" dxfId="618" priority="505" operator="containsText" text="Received ">
      <formula>NOT(ISERROR(SEARCH("Received ",E184)))</formula>
    </cfRule>
    <cfRule type="containsText" dxfId="617" priority="504" operator="containsText" text="Received">
      <formula>NOT(ISERROR(SEARCH("Received",E184)))</formula>
    </cfRule>
    <cfRule type="containsText" dxfId="616" priority="503" operator="containsText" text="Pending">
      <formula>NOT(ISERROR(SEARCH("Pending",E184)))</formula>
    </cfRule>
    <cfRule type="containsText" dxfId="615" priority="491" operator="containsText" text="Pending">
      <formula>NOT(ISERROR(SEARCH("Pending",E184)))</formula>
    </cfRule>
    <cfRule type="containsText" dxfId="614" priority="501" operator="containsText" text="Received">
      <formula>NOT(ISERROR(SEARCH("Received",E184)))</formula>
    </cfRule>
    <cfRule type="containsText" dxfId="613" priority="490" operator="containsText" text="Received ">
      <formula>NOT(ISERROR(SEARCH("Received ",E184)))</formula>
    </cfRule>
    <cfRule type="containsText" dxfId="612" priority="489" operator="containsText" text="Received">
      <formula>NOT(ISERROR(SEARCH("Received",E184)))</formula>
    </cfRule>
    <cfRule type="containsText" dxfId="611" priority="530" operator="containsText" text="Received ">
      <formula>NOT(ISERROR(SEARCH("Received ",E184)))</formula>
    </cfRule>
    <cfRule type="containsText" dxfId="610" priority="528" operator="containsText" text="Pending">
      <formula>NOT(ISERROR(SEARCH("Pending",E184)))</formula>
    </cfRule>
    <cfRule type="containsText" dxfId="609" priority="532" operator="containsText" text="Received">
      <formula>NOT(ISERROR(SEARCH("Received",E184)))</formula>
    </cfRule>
    <cfRule type="containsText" dxfId="608" priority="533" operator="containsText" text="Received ">
      <formula>NOT(ISERROR(SEARCH("Received ",E184)))</formula>
    </cfRule>
    <cfRule type="containsText" dxfId="607" priority="523" operator="containsText" text="Received">
      <formula>NOT(ISERROR(SEARCH("Received",E184)))</formula>
    </cfRule>
    <cfRule type="containsText" dxfId="606" priority="495" operator="containsText" text="Received">
      <formula>NOT(ISERROR(SEARCH("Received",E184)))</formula>
    </cfRule>
  </conditionalFormatting>
  <conditionalFormatting sqref="E184:E185">
    <cfRule type="containsText" dxfId="605" priority="52" operator="containsText" text="Pending">
      <formula>NOT(ISERROR(SEARCH("Pending",E184)))</formula>
    </cfRule>
  </conditionalFormatting>
  <conditionalFormatting sqref="E185">
    <cfRule type="containsText" dxfId="604" priority="38" operator="containsText" text="Received">
      <formula>NOT(ISERROR(SEARCH("Received",E185)))</formula>
    </cfRule>
    <cfRule type="containsText" dxfId="603" priority="36" operator="containsText" text="Received ">
      <formula>NOT(ISERROR(SEARCH("Received ",E185)))</formula>
    </cfRule>
    <cfRule type="containsText" dxfId="602" priority="35" operator="containsText" text="Received">
      <formula>NOT(ISERROR(SEARCH("Received",E185)))</formula>
    </cfRule>
    <cfRule type="containsText" dxfId="601" priority="12" operator="containsText" text="Received ">
      <formula>NOT(ISERROR(SEARCH("Received ",E185)))</formula>
    </cfRule>
    <cfRule type="containsText" dxfId="600" priority="13" operator="containsText" text="Pending">
      <formula>NOT(ISERROR(SEARCH("Pending",E185)))</formula>
    </cfRule>
    <cfRule type="containsText" dxfId="599" priority="14" operator="containsText" text="Received">
      <formula>NOT(ISERROR(SEARCH("Received",E185)))</formula>
    </cfRule>
    <cfRule type="containsText" dxfId="598" priority="15" operator="containsText" text="Received ">
      <formula>NOT(ISERROR(SEARCH("Received ",E185)))</formula>
    </cfRule>
    <cfRule type="containsText" dxfId="597" priority="16" operator="containsText" text="Pending">
      <formula>NOT(ISERROR(SEARCH("Pending",E185)))</formula>
    </cfRule>
    <cfRule type="containsText" dxfId="596" priority="17" operator="containsText" text="Received">
      <formula>NOT(ISERROR(SEARCH("Received",E185)))</formula>
    </cfRule>
    <cfRule type="containsText" dxfId="595" priority="37" operator="containsText" text="Pending">
      <formula>NOT(ISERROR(SEARCH("Pending",E185)))</formula>
    </cfRule>
    <cfRule type="containsText" dxfId="594" priority="18" operator="containsText" text="Received ">
      <formula>NOT(ISERROR(SEARCH("Received ",E185)))</formula>
    </cfRule>
    <cfRule type="containsText" dxfId="593" priority="19" operator="containsText" text="Pending">
      <formula>NOT(ISERROR(SEARCH("Pending",E185)))</formula>
    </cfRule>
    <cfRule type="containsText" dxfId="592" priority="20" operator="containsText" text="Received">
      <formula>NOT(ISERROR(SEARCH("Received",E185)))</formula>
    </cfRule>
    <cfRule type="containsText" dxfId="591" priority="25" operator="containsText" text="Pending">
      <formula>NOT(ISERROR(SEARCH("Pending",E185)))</formula>
    </cfRule>
    <cfRule type="containsText" dxfId="590" priority="24" operator="containsText" text="Received ">
      <formula>NOT(ISERROR(SEARCH("Received ",E185)))</formula>
    </cfRule>
    <cfRule type="containsText" dxfId="589" priority="21" operator="containsText" text="Received ">
      <formula>NOT(ISERROR(SEARCH("Received ",E185)))</formula>
    </cfRule>
    <cfRule type="containsText" dxfId="588" priority="23" operator="containsText" text="Received">
      <formula>NOT(ISERROR(SEARCH("Received",E185)))</formula>
    </cfRule>
    <cfRule type="containsText" dxfId="587" priority="22" operator="containsText" text="Pending">
      <formula>NOT(ISERROR(SEARCH("Pending",E185)))</formula>
    </cfRule>
    <cfRule type="containsText" dxfId="586" priority="9" operator="containsText" text="Received ">
      <formula>NOT(ISERROR(SEARCH("Received ",E185)))</formula>
    </cfRule>
    <cfRule type="containsText" dxfId="585" priority="10" operator="containsText" text="Pending">
      <formula>NOT(ISERROR(SEARCH("Pending",E185)))</formula>
    </cfRule>
    <cfRule type="containsText" dxfId="584" priority="11" operator="containsText" text="Received">
      <formula>NOT(ISERROR(SEARCH("Received",E185)))</formula>
    </cfRule>
    <cfRule type="containsText" dxfId="583" priority="41" operator="containsText" text="Received">
      <formula>NOT(ISERROR(SEARCH("Received",E185)))</formula>
    </cfRule>
    <cfRule type="containsText" dxfId="582" priority="40" operator="containsText" text="Pending">
      <formula>NOT(ISERROR(SEARCH("Pending",E185)))</formula>
    </cfRule>
    <cfRule type="containsText" dxfId="581" priority="39" operator="containsText" text="Received ">
      <formula>NOT(ISERROR(SEARCH("Received ",E185)))</formula>
    </cfRule>
    <cfRule type="containsText" dxfId="580" priority="2" operator="containsText" text="Pending">
      <formula>NOT(ISERROR(SEARCH("Pending",E185)))</formula>
    </cfRule>
    <cfRule type="containsText" dxfId="579" priority="51" operator="containsText" text="Received ">
      <formula>NOT(ISERROR(SEARCH("Received ",E185)))</formula>
    </cfRule>
    <cfRule type="containsText" dxfId="578" priority="50" operator="containsText" text="Received">
      <formula>NOT(ISERROR(SEARCH("Received",E185)))</formula>
    </cfRule>
    <cfRule type="containsText" dxfId="577" priority="49" operator="containsText" text="Pending">
      <formula>NOT(ISERROR(SEARCH("Pending",E185)))</formula>
    </cfRule>
    <cfRule type="containsText" dxfId="576" priority="48" operator="containsText" text="Received ">
      <formula>NOT(ISERROR(SEARCH("Received ",E185)))</formula>
    </cfRule>
    <cfRule type="containsText" dxfId="575" priority="47" operator="containsText" text="Received">
      <formula>NOT(ISERROR(SEARCH("Received",E185)))</formula>
    </cfRule>
    <cfRule type="containsText" dxfId="574" priority="46" operator="containsText" text="Pending">
      <formula>NOT(ISERROR(SEARCH("Pending",E185)))</formula>
    </cfRule>
    <cfRule type="containsText" dxfId="573" priority="45" operator="containsText" text="Received ">
      <formula>NOT(ISERROR(SEARCH("Received ",E185)))</formula>
    </cfRule>
    <cfRule type="containsText" dxfId="572" priority="44" operator="containsText" text="Received">
      <formula>NOT(ISERROR(SEARCH("Received",E185)))</formula>
    </cfRule>
    <cfRule type="containsText" dxfId="571" priority="43" operator="containsText" text="Pending">
      <formula>NOT(ISERROR(SEARCH("Pending",E185)))</formula>
    </cfRule>
    <cfRule type="containsText" dxfId="570" priority="42" operator="containsText" text="Received ">
      <formula>NOT(ISERROR(SEARCH("Received ",E185)))</formula>
    </cfRule>
    <cfRule type="containsText" dxfId="569" priority="8" operator="containsText" text="Received">
      <formula>NOT(ISERROR(SEARCH("Received",E185)))</formula>
    </cfRule>
  </conditionalFormatting>
  <conditionalFormatting sqref="H1">
    <cfRule type="duplicateValues" dxfId="568" priority="1966"/>
    <cfRule type="duplicateValues" dxfId="567" priority="1971"/>
    <cfRule type="duplicateValues" dxfId="566" priority="1970"/>
    <cfRule type="duplicateValues" dxfId="565" priority="1962"/>
    <cfRule type="duplicateValues" dxfId="564" priority="1976"/>
    <cfRule type="duplicateValues" dxfId="563" priority="1965"/>
    <cfRule type="duplicateValues" dxfId="562" priority="1964"/>
    <cfRule type="duplicateValues" dxfId="561" priority="1963"/>
    <cfRule type="duplicateValues" dxfId="560" priority="1972"/>
    <cfRule type="duplicateValues" dxfId="559" priority="1973"/>
    <cfRule type="duplicateValues" dxfId="558" priority="1974"/>
    <cfRule type="duplicateValues" dxfId="557" priority="1969"/>
    <cfRule type="duplicateValues" dxfId="556" priority="1975"/>
    <cfRule type="duplicateValues" dxfId="555" priority="1977"/>
    <cfRule type="duplicateValues" dxfId="554" priority="1968"/>
    <cfRule type="duplicateValues" dxfId="553" priority="1967"/>
  </conditionalFormatting>
  <conditionalFormatting sqref="H1:H1048576">
    <cfRule type="duplicateValues" dxfId="552" priority="53"/>
    <cfRule type="duplicateValues" dxfId="551" priority="54"/>
  </conditionalFormatting>
  <conditionalFormatting sqref="H169">
    <cfRule type="duplicateValues" dxfId="550" priority="1039"/>
    <cfRule type="duplicateValues" dxfId="549" priority="1038"/>
    <cfRule type="duplicateValues" dxfId="548" priority="1037"/>
    <cfRule type="duplicateValues" dxfId="547" priority="1036"/>
    <cfRule type="duplicateValues" dxfId="546" priority="1031"/>
  </conditionalFormatting>
  <conditionalFormatting sqref="H170">
    <cfRule type="duplicateValues" dxfId="545" priority="1004"/>
    <cfRule type="duplicateValues" dxfId="544" priority="1012"/>
    <cfRule type="duplicateValues" dxfId="543" priority="1011"/>
    <cfRule type="duplicateValues" dxfId="542" priority="1010"/>
    <cfRule type="duplicateValues" dxfId="541" priority="1009"/>
  </conditionalFormatting>
  <conditionalFormatting sqref="H171">
    <cfRule type="duplicateValues" dxfId="540" priority="841"/>
    <cfRule type="duplicateValues" dxfId="539" priority="840"/>
    <cfRule type="duplicateValues" dxfId="538" priority="839"/>
    <cfRule type="duplicateValues" dxfId="537" priority="838"/>
    <cfRule type="duplicateValues" dxfId="536" priority="837"/>
  </conditionalFormatting>
  <conditionalFormatting sqref="H172">
    <cfRule type="duplicateValues" dxfId="535" priority="983"/>
    <cfRule type="duplicateValues" dxfId="534" priority="982"/>
    <cfRule type="duplicateValues" dxfId="533" priority="985"/>
    <cfRule type="duplicateValues" dxfId="532" priority="977"/>
    <cfRule type="duplicateValues" dxfId="531" priority="984"/>
  </conditionalFormatting>
  <conditionalFormatting sqref="H173">
    <cfRule type="duplicateValues" dxfId="530" priority="8238"/>
    <cfRule type="duplicateValues" dxfId="529" priority="8239"/>
    <cfRule type="duplicateValues" dxfId="528" priority="8240"/>
    <cfRule type="duplicateValues" dxfId="527" priority="8236"/>
    <cfRule type="duplicateValues" dxfId="526" priority="8237"/>
  </conditionalFormatting>
  <conditionalFormatting sqref="H174">
    <cfRule type="duplicateValues" dxfId="525" priority="847"/>
    <cfRule type="duplicateValues" dxfId="524" priority="848"/>
    <cfRule type="duplicateValues" dxfId="523" priority="849"/>
    <cfRule type="duplicateValues" dxfId="522" priority="842"/>
    <cfRule type="duplicateValues" dxfId="521" priority="850"/>
  </conditionalFormatting>
  <conditionalFormatting sqref="H175">
    <cfRule type="duplicateValues" dxfId="520" priority="896"/>
    <cfRule type="duplicateValues" dxfId="519" priority="901"/>
    <cfRule type="duplicateValues" dxfId="518" priority="902"/>
    <cfRule type="duplicateValues" dxfId="517" priority="903"/>
    <cfRule type="duplicateValues" dxfId="516" priority="904"/>
  </conditionalFormatting>
  <conditionalFormatting sqref="H176">
    <cfRule type="duplicateValues" dxfId="515" priority="810"/>
    <cfRule type="duplicateValues" dxfId="514" priority="811"/>
    <cfRule type="duplicateValues" dxfId="513" priority="812"/>
    <cfRule type="duplicateValues" dxfId="512" priority="813"/>
    <cfRule type="duplicateValues" dxfId="511" priority="814"/>
    <cfRule type="duplicateValues" dxfId="510" priority="788"/>
    <cfRule type="duplicateValues" dxfId="509" priority="783"/>
    <cfRule type="duplicateValues" dxfId="508" priority="784"/>
    <cfRule type="duplicateValues" dxfId="507" priority="785"/>
    <cfRule type="duplicateValues" dxfId="506" priority="786"/>
    <cfRule type="duplicateValues" dxfId="505" priority="789"/>
    <cfRule type="duplicateValues" dxfId="504" priority="790"/>
    <cfRule type="duplicateValues" dxfId="503" priority="791"/>
    <cfRule type="duplicateValues" dxfId="502" priority="787"/>
  </conditionalFormatting>
  <conditionalFormatting sqref="H177">
    <cfRule type="duplicateValues" dxfId="501" priority="732"/>
    <cfRule type="duplicateValues" dxfId="500" priority="731"/>
    <cfRule type="duplicateValues" dxfId="499" priority="730"/>
    <cfRule type="duplicateValues" dxfId="498" priority="755"/>
    <cfRule type="duplicateValues" dxfId="497" priority="735"/>
    <cfRule type="duplicateValues" dxfId="496" priority="736"/>
    <cfRule type="duplicateValues" dxfId="495" priority="759"/>
    <cfRule type="duplicateValues" dxfId="494" priority="729"/>
    <cfRule type="duplicateValues" dxfId="493" priority="728"/>
    <cfRule type="duplicateValues" dxfId="492" priority="758"/>
    <cfRule type="duplicateValues" dxfId="491" priority="734"/>
    <cfRule type="duplicateValues" dxfId="490" priority="757"/>
    <cfRule type="duplicateValues" dxfId="489" priority="756"/>
    <cfRule type="duplicateValues" dxfId="488" priority="733"/>
  </conditionalFormatting>
  <conditionalFormatting sqref="H178">
    <cfRule type="duplicateValues" dxfId="487" priority="152"/>
    <cfRule type="duplicateValues" dxfId="486" priority="146"/>
    <cfRule type="duplicateValues" dxfId="485" priority="144"/>
    <cfRule type="duplicateValues" dxfId="484" priority="145"/>
    <cfRule type="duplicateValues" dxfId="483" priority="147"/>
    <cfRule type="duplicateValues" dxfId="482" priority="148"/>
    <cfRule type="duplicateValues" dxfId="481" priority="149"/>
    <cfRule type="duplicateValues" dxfId="480" priority="150"/>
    <cfRule type="duplicateValues" dxfId="479" priority="151"/>
  </conditionalFormatting>
  <conditionalFormatting sqref="H179">
    <cfRule type="duplicateValues" dxfId="478" priority="118"/>
    <cfRule type="duplicateValues" dxfId="477" priority="121"/>
    <cfRule type="duplicateValues" dxfId="476" priority="120"/>
    <cfRule type="duplicateValues" dxfId="475" priority="119"/>
    <cfRule type="duplicateValues" dxfId="474" priority="117"/>
    <cfRule type="duplicateValues" dxfId="473" priority="116"/>
    <cfRule type="duplicateValues" dxfId="472" priority="115"/>
    <cfRule type="duplicateValues" dxfId="471" priority="114"/>
    <cfRule type="duplicateValues" dxfId="470" priority="113"/>
  </conditionalFormatting>
  <conditionalFormatting sqref="H180">
    <cfRule type="duplicateValues" dxfId="469" priority="88"/>
    <cfRule type="duplicateValues" dxfId="468" priority="84"/>
    <cfRule type="duplicateValues" dxfId="467" priority="63"/>
    <cfRule type="duplicateValues" dxfId="466" priority="83"/>
    <cfRule type="duplicateValues" dxfId="465" priority="91"/>
    <cfRule type="duplicateValues" dxfId="464" priority="90"/>
    <cfRule type="duplicateValues" dxfId="463" priority="86"/>
    <cfRule type="duplicateValues" dxfId="462" priority="87"/>
    <cfRule type="duplicateValues" dxfId="461" priority="59"/>
    <cfRule type="duplicateValues" dxfId="460" priority="60"/>
    <cfRule type="duplicateValues" dxfId="459" priority="61"/>
    <cfRule type="duplicateValues" dxfId="458" priority="62"/>
    <cfRule type="duplicateValues" dxfId="457" priority="85"/>
    <cfRule type="duplicateValues" dxfId="456" priority="89"/>
  </conditionalFormatting>
  <conditionalFormatting sqref="H181">
    <cfRule type="duplicateValues" dxfId="455" priority="702"/>
    <cfRule type="duplicateValues" dxfId="454" priority="700"/>
    <cfRule type="duplicateValues" dxfId="453" priority="679"/>
    <cfRule type="duplicateValues" dxfId="452" priority="680"/>
    <cfRule type="duplicateValues" dxfId="451" priority="681"/>
    <cfRule type="duplicateValues" dxfId="450" priority="677"/>
    <cfRule type="duplicateValues" dxfId="449" priority="676"/>
    <cfRule type="duplicateValues" dxfId="448" priority="675"/>
    <cfRule type="duplicateValues" dxfId="447" priority="674"/>
    <cfRule type="duplicateValues" dxfId="446" priority="673"/>
    <cfRule type="duplicateValues" dxfId="445" priority="703"/>
    <cfRule type="duplicateValues" dxfId="444" priority="704"/>
    <cfRule type="duplicateValues" dxfId="443" priority="701"/>
    <cfRule type="duplicateValues" dxfId="442" priority="678"/>
  </conditionalFormatting>
  <conditionalFormatting sqref="H182">
    <cfRule type="duplicateValues" dxfId="441" priority="649"/>
    <cfRule type="duplicateValues" dxfId="440" priority="619"/>
    <cfRule type="duplicateValues" dxfId="439" priority="648"/>
    <cfRule type="duplicateValues" dxfId="438" priority="623"/>
    <cfRule type="duplicateValues" dxfId="437" priority="624"/>
    <cfRule type="duplicateValues" dxfId="436" priority="625"/>
    <cfRule type="duplicateValues" dxfId="435" priority="626"/>
    <cfRule type="duplicateValues" dxfId="434" priority="647"/>
    <cfRule type="duplicateValues" dxfId="433" priority="620"/>
    <cfRule type="duplicateValues" dxfId="432" priority="621"/>
    <cfRule type="duplicateValues" dxfId="431" priority="622"/>
    <cfRule type="duplicateValues" dxfId="430" priority="618"/>
    <cfRule type="duplicateValues" dxfId="429" priority="646"/>
    <cfRule type="duplicateValues" dxfId="428" priority="645"/>
  </conditionalFormatting>
  <conditionalFormatting sqref="H183">
    <cfRule type="duplicateValues" dxfId="427" priority="592"/>
    <cfRule type="duplicateValues" dxfId="426" priority="594"/>
    <cfRule type="duplicateValues" dxfId="425" priority="593"/>
    <cfRule type="duplicateValues" dxfId="424" priority="571"/>
    <cfRule type="duplicateValues" dxfId="423" priority="591"/>
    <cfRule type="duplicateValues" dxfId="422" priority="590"/>
    <cfRule type="duplicateValues" dxfId="421" priority="570"/>
    <cfRule type="duplicateValues" dxfId="420" priority="569"/>
    <cfRule type="duplicateValues" dxfId="419" priority="568"/>
    <cfRule type="duplicateValues" dxfId="418" priority="567"/>
    <cfRule type="duplicateValues" dxfId="417" priority="566"/>
    <cfRule type="duplicateValues" dxfId="416" priority="565"/>
    <cfRule type="duplicateValues" dxfId="415" priority="564"/>
    <cfRule type="duplicateValues" dxfId="414" priority="563"/>
  </conditionalFormatting>
  <conditionalFormatting sqref="H184">
    <cfRule type="duplicateValues" dxfId="413" priority="515"/>
    <cfRule type="duplicateValues" dxfId="412" priority="512"/>
    <cfRule type="duplicateValues" dxfId="411" priority="513"/>
    <cfRule type="duplicateValues" dxfId="410" priority="514"/>
    <cfRule type="duplicateValues" dxfId="409" priority="537"/>
    <cfRule type="duplicateValues" dxfId="408" priority="535"/>
    <cfRule type="duplicateValues" dxfId="407" priority="538"/>
    <cfRule type="duplicateValues" dxfId="406" priority="536"/>
    <cfRule type="duplicateValues" dxfId="405" priority="539"/>
    <cfRule type="duplicateValues" dxfId="404" priority="516"/>
    <cfRule type="duplicateValues" dxfId="403" priority="508"/>
    <cfRule type="duplicateValues" dxfId="402" priority="509"/>
    <cfRule type="duplicateValues" dxfId="401" priority="510"/>
    <cfRule type="duplicateValues" dxfId="400" priority="511"/>
  </conditionalFormatting>
  <conditionalFormatting sqref="H185">
    <cfRule type="duplicateValues" dxfId="399" priority="4"/>
    <cfRule type="duplicateValues" dxfId="398" priority="5"/>
    <cfRule type="duplicateValues" dxfId="397" priority="6"/>
    <cfRule type="duplicateValues" dxfId="396" priority="7"/>
    <cfRule type="duplicateValues" dxfId="395" priority="34"/>
    <cfRule type="duplicateValues" dxfId="394" priority="33"/>
    <cfRule type="duplicateValues" dxfId="393" priority="31"/>
    <cfRule type="duplicateValues" dxfId="392" priority="30"/>
    <cfRule type="duplicateValues" dxfId="391" priority="32"/>
    <cfRule type="duplicateValues" dxfId="390" priority="26"/>
    <cfRule type="duplicateValues" dxfId="389" priority="27"/>
    <cfRule type="duplicateValues" dxfId="388" priority="28"/>
    <cfRule type="duplicateValues" dxfId="387" priority="29"/>
    <cfRule type="duplicateValues" dxfId="386" priority="3"/>
  </conditionalFormatting>
  <conditionalFormatting sqref="H186:H1048576 H1:H175">
    <cfRule type="duplicateValues" dxfId="385" priority="1240"/>
    <cfRule type="duplicateValues" dxfId="384" priority="1557"/>
    <cfRule type="duplicateValues" dxfId="383" priority="1558"/>
    <cfRule type="duplicateValues" dxfId="382" priority="1062"/>
    <cfRule type="duplicateValues" dxfId="381" priority="1559"/>
    <cfRule type="duplicateValues" dxfId="380" priority="1824"/>
    <cfRule type="duplicateValues" dxfId="379" priority="1825"/>
    <cfRule type="duplicateValues" dxfId="378" priority="1826"/>
    <cfRule type="duplicateValues" dxfId="377" priority="1836"/>
  </conditionalFormatting>
  <conditionalFormatting sqref="T2:U185">
    <cfRule type="containsText" dxfId="376" priority="1" operator="containsText" text="Pending">
      <formula>NOT(ISERROR(SEARCH("Pending",T2)))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178"/>
  <sheetViews>
    <sheetView topLeftCell="C1" zoomScaleNormal="100" workbookViewId="0">
      <selection activeCell="C161" sqref="C161"/>
    </sheetView>
  </sheetViews>
  <sheetFormatPr defaultColWidth="17.84375" defaultRowHeight="14.5"/>
  <cols>
    <col min="1" max="1" width="8.3046875" style="63" bestFit="1" customWidth="1"/>
    <col min="2" max="2" width="11.15234375" style="63" bestFit="1" customWidth="1"/>
    <col min="3" max="3" width="23.15234375" style="63" customWidth="1"/>
    <col min="4" max="4" width="4.3046875" style="63" bestFit="1" customWidth="1"/>
    <col min="5" max="5" width="9.53515625" style="63" bestFit="1" customWidth="1"/>
    <col min="6" max="6" width="15.69140625" style="63" bestFit="1" customWidth="1"/>
    <col min="7" max="7" width="11.53515625" style="63" bestFit="1" customWidth="1"/>
    <col min="8" max="8" width="32.69140625" style="63" bestFit="1" customWidth="1"/>
    <col min="9" max="9" width="10.3828125" style="63" bestFit="1" customWidth="1"/>
    <col min="10" max="10" width="7.3828125" style="63" bestFit="1" customWidth="1"/>
    <col min="11" max="11" width="17.69140625" style="63" bestFit="1" customWidth="1"/>
    <col min="12" max="12" width="33.3828125" style="63" bestFit="1" customWidth="1"/>
    <col min="13" max="13" width="11.15234375" style="63" bestFit="1" customWidth="1"/>
    <col min="14" max="14" width="15.84375" style="63" bestFit="1" customWidth="1"/>
    <col min="15" max="15" width="16.3828125" style="63" bestFit="1" customWidth="1"/>
    <col min="16" max="16" width="15.69140625" style="63" bestFit="1" customWidth="1"/>
    <col min="17" max="17" width="15.84375" style="63" bestFit="1" customWidth="1"/>
    <col min="18" max="18" width="23.84375" style="63" bestFit="1" customWidth="1"/>
    <col min="19" max="19" width="11.3828125" style="63" bestFit="1" customWidth="1"/>
    <col min="20" max="20" width="22.84375" style="63" bestFit="1" customWidth="1"/>
    <col min="21" max="21" width="12.84375" style="63" bestFit="1" customWidth="1"/>
    <col min="22" max="22" width="7.53515625" style="63" bestFit="1" customWidth="1"/>
    <col min="23" max="23" width="11" style="63" bestFit="1" customWidth="1"/>
    <col min="24" max="24" width="14.3828125" style="63" bestFit="1" customWidth="1"/>
    <col min="25" max="25" width="10.53515625" style="63" bestFit="1" customWidth="1"/>
    <col min="26" max="26" width="7.3828125" style="63" bestFit="1" customWidth="1"/>
    <col min="27" max="27" width="6.3828125" style="63" bestFit="1" customWidth="1"/>
    <col min="28" max="16384" width="17.84375" style="63"/>
  </cols>
  <sheetData>
    <row r="1" spans="1:28" ht="39">
      <c r="A1" s="9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12" t="s">
        <v>9</v>
      </c>
      <c r="K1" s="11" t="s">
        <v>10</v>
      </c>
      <c r="L1" s="9" t="s">
        <v>11</v>
      </c>
      <c r="M1" s="13" t="s">
        <v>264</v>
      </c>
      <c r="N1" s="11" t="s">
        <v>265</v>
      </c>
      <c r="O1" s="11" t="s">
        <v>14</v>
      </c>
      <c r="P1" s="13" t="s">
        <v>266</v>
      </c>
      <c r="Q1" s="11" t="s">
        <v>16</v>
      </c>
      <c r="R1" s="11" t="s">
        <v>18</v>
      </c>
      <c r="S1" s="13" t="s">
        <v>21</v>
      </c>
      <c r="T1" s="14" t="s">
        <v>19</v>
      </c>
      <c r="U1" s="9" t="s">
        <v>20</v>
      </c>
      <c r="V1" s="11" t="s">
        <v>22</v>
      </c>
      <c r="W1" s="13" t="s">
        <v>23</v>
      </c>
      <c r="X1" s="11" t="s">
        <v>268</v>
      </c>
      <c r="Y1" s="9" t="s">
        <v>17</v>
      </c>
      <c r="Z1" s="15" t="s">
        <v>26</v>
      </c>
      <c r="AA1" s="15" t="s">
        <v>27</v>
      </c>
      <c r="AB1" s="62" t="s">
        <v>319</v>
      </c>
    </row>
    <row r="2" spans="1:28">
      <c r="A2" s="64">
        <f>SUBTOTAL(3,C$2:C2)</f>
        <v>1</v>
      </c>
      <c r="B2" s="64" t="s">
        <v>30</v>
      </c>
      <c r="C2" s="64" t="s">
        <v>65</v>
      </c>
      <c r="D2" s="64" t="s">
        <v>32</v>
      </c>
      <c r="E2" s="64" t="s">
        <v>33</v>
      </c>
      <c r="F2" s="64" t="s">
        <v>66</v>
      </c>
      <c r="G2" s="64" t="s">
        <v>67</v>
      </c>
      <c r="H2" s="64" t="s">
        <v>68</v>
      </c>
      <c r="I2" s="65">
        <v>46113</v>
      </c>
      <c r="J2" s="64">
        <f t="shared" ref="J2" ca="1" si="0">+TODAY()-I2</f>
        <v>71</v>
      </c>
      <c r="K2" s="64">
        <f t="shared" ref="K2:K9" si="1">+U2</f>
        <v>46132</v>
      </c>
      <c r="L2" s="52" t="s">
        <v>737</v>
      </c>
      <c r="M2" s="64">
        <v>27000</v>
      </c>
      <c r="N2" s="64">
        <v>20000</v>
      </c>
      <c r="O2" s="65">
        <v>46113</v>
      </c>
      <c r="P2" s="64">
        <f t="shared" ref="P2" si="2">+M2-N2</f>
        <v>7000</v>
      </c>
      <c r="Q2" s="64" t="s">
        <v>33</v>
      </c>
      <c r="R2" s="64" t="s">
        <v>64</v>
      </c>
      <c r="S2" s="64">
        <v>33000</v>
      </c>
      <c r="T2" s="64" t="s">
        <v>2075</v>
      </c>
      <c r="U2" s="65">
        <v>46132</v>
      </c>
      <c r="V2" s="64" t="s">
        <v>28</v>
      </c>
      <c r="W2" s="64">
        <f t="shared" ref="W2:W19" si="3">+S2-M2</f>
        <v>6000</v>
      </c>
      <c r="X2" s="64" t="s">
        <v>29</v>
      </c>
      <c r="Y2" s="64" t="s">
        <v>63</v>
      </c>
      <c r="Z2" s="64">
        <f t="shared" ref="Z2:Z19" si="4">+W2*100/M2</f>
        <v>22.222222222222221</v>
      </c>
      <c r="AA2" s="64"/>
      <c r="AB2" s="64" t="s">
        <v>320</v>
      </c>
    </row>
    <row r="3" spans="1:28">
      <c r="A3" s="64">
        <f>SUBTOTAL(3,C$2:C3)</f>
        <v>2</v>
      </c>
      <c r="B3" s="64" t="s">
        <v>30</v>
      </c>
      <c r="C3" s="64" t="s">
        <v>72</v>
      </c>
      <c r="D3" s="64" t="s">
        <v>32</v>
      </c>
      <c r="E3" s="64" t="s">
        <v>33</v>
      </c>
      <c r="F3" s="64" t="s">
        <v>69</v>
      </c>
      <c r="G3" s="64" t="s">
        <v>67</v>
      </c>
      <c r="H3" s="64" t="s">
        <v>70</v>
      </c>
      <c r="I3" s="65">
        <v>46113</v>
      </c>
      <c r="J3" s="64">
        <f t="shared" ref="J3" ca="1" si="5">+TODAY()-I3</f>
        <v>71</v>
      </c>
      <c r="K3" s="64">
        <f t="shared" si="1"/>
        <v>46132</v>
      </c>
      <c r="L3" s="64" t="s">
        <v>71</v>
      </c>
      <c r="M3" s="64">
        <v>19000</v>
      </c>
      <c r="N3" s="64">
        <v>15000</v>
      </c>
      <c r="O3" s="65">
        <v>46113</v>
      </c>
      <c r="P3" s="64">
        <f t="shared" ref="P3" si="6">+M3-N3</f>
        <v>4000</v>
      </c>
      <c r="Q3" s="64" t="s">
        <v>33</v>
      </c>
      <c r="R3" s="64" t="s">
        <v>64</v>
      </c>
      <c r="S3" s="64">
        <v>20500</v>
      </c>
      <c r="T3" s="64" t="s">
        <v>2078</v>
      </c>
      <c r="U3" s="65">
        <v>46132</v>
      </c>
      <c r="V3" s="64" t="s">
        <v>28</v>
      </c>
      <c r="W3" s="64">
        <f t="shared" si="3"/>
        <v>1500</v>
      </c>
      <c r="X3" s="64" t="s">
        <v>29</v>
      </c>
      <c r="Y3" s="64" t="s">
        <v>63</v>
      </c>
      <c r="Z3" s="64">
        <f t="shared" si="4"/>
        <v>7.8947368421052628</v>
      </c>
      <c r="AA3" s="64"/>
    </row>
    <row r="4" spans="1:28">
      <c r="A4" s="64">
        <f>SUBTOTAL(3,C$2:C4)</f>
        <v>3</v>
      </c>
      <c r="B4" s="64" t="s">
        <v>30</v>
      </c>
      <c r="C4" s="64" t="s">
        <v>73</v>
      </c>
      <c r="D4" s="64" t="s">
        <v>32</v>
      </c>
      <c r="E4" s="64" t="s">
        <v>33</v>
      </c>
      <c r="F4" s="64" t="s">
        <v>74</v>
      </c>
      <c r="G4" s="64" t="s">
        <v>59</v>
      </c>
      <c r="H4" s="64" t="s">
        <v>75</v>
      </c>
      <c r="I4" s="65">
        <v>46113</v>
      </c>
      <c r="J4" s="64">
        <f t="shared" ref="J4:J5" ca="1" si="7">+TODAY()-I4</f>
        <v>71</v>
      </c>
      <c r="K4" s="64">
        <f t="shared" si="1"/>
        <v>46132</v>
      </c>
      <c r="L4" s="52" t="s">
        <v>737</v>
      </c>
      <c r="M4" s="64">
        <v>32000</v>
      </c>
      <c r="N4" s="64">
        <v>28000</v>
      </c>
      <c r="O4" s="65">
        <v>46114</v>
      </c>
      <c r="P4" s="64">
        <f t="shared" ref="P4:P5" si="8">+M4-N4</f>
        <v>4000</v>
      </c>
      <c r="Q4" s="64" t="s">
        <v>33</v>
      </c>
      <c r="R4" s="64" t="s">
        <v>64</v>
      </c>
      <c r="S4" s="64">
        <v>33000</v>
      </c>
      <c r="T4" s="64" t="s">
        <v>2075</v>
      </c>
      <c r="U4" s="65">
        <v>46132</v>
      </c>
      <c r="V4" s="64" t="s">
        <v>28</v>
      </c>
      <c r="W4" s="64">
        <f t="shared" si="3"/>
        <v>1000</v>
      </c>
      <c r="X4" s="64" t="s">
        <v>29</v>
      </c>
      <c r="Y4" s="64" t="s">
        <v>63</v>
      </c>
      <c r="Z4" s="64">
        <f t="shared" si="4"/>
        <v>3.125</v>
      </c>
      <c r="AA4" s="64"/>
    </row>
    <row r="5" spans="1:28">
      <c r="A5" s="64">
        <f>SUBTOTAL(3,C$2:C5)</f>
        <v>4</v>
      </c>
      <c r="B5" s="64" t="s">
        <v>30</v>
      </c>
      <c r="C5" s="64" t="s">
        <v>100</v>
      </c>
      <c r="D5" s="64" t="s">
        <v>32</v>
      </c>
      <c r="E5" s="64" t="s">
        <v>33</v>
      </c>
      <c r="F5" s="64" t="s">
        <v>101</v>
      </c>
      <c r="G5" s="64" t="s">
        <v>67</v>
      </c>
      <c r="H5" s="64" t="s">
        <v>140</v>
      </c>
      <c r="I5" s="65">
        <v>46115</v>
      </c>
      <c r="J5" s="64">
        <f t="shared" ca="1" si="7"/>
        <v>69</v>
      </c>
      <c r="K5" s="64">
        <f t="shared" si="1"/>
        <v>46132</v>
      </c>
      <c r="L5" s="52" t="s">
        <v>737</v>
      </c>
      <c r="M5" s="64">
        <v>30000</v>
      </c>
      <c r="N5" s="64">
        <v>23000</v>
      </c>
      <c r="O5" s="65">
        <v>46115</v>
      </c>
      <c r="P5" s="64">
        <f t="shared" si="8"/>
        <v>7000</v>
      </c>
      <c r="Q5" s="64" t="s">
        <v>33</v>
      </c>
      <c r="R5" s="64" t="s">
        <v>64</v>
      </c>
      <c r="S5" s="64">
        <v>33000</v>
      </c>
      <c r="T5" s="64" t="s">
        <v>2075</v>
      </c>
      <c r="U5" s="65">
        <v>46132</v>
      </c>
      <c r="V5" s="64" t="s">
        <v>28</v>
      </c>
      <c r="W5" s="64">
        <f t="shared" si="3"/>
        <v>3000</v>
      </c>
      <c r="X5" s="64" t="s">
        <v>29</v>
      </c>
      <c r="Y5" s="64" t="s">
        <v>63</v>
      </c>
      <c r="Z5" s="64">
        <f t="shared" si="4"/>
        <v>10</v>
      </c>
      <c r="AA5" s="64"/>
      <c r="AB5" s="64" t="s">
        <v>320</v>
      </c>
    </row>
    <row r="6" spans="1:28">
      <c r="A6" s="64">
        <f>SUBTOTAL(3,C$2:C6)</f>
        <v>5</v>
      </c>
      <c r="B6" s="64" t="s">
        <v>30</v>
      </c>
      <c r="C6" s="64" t="s">
        <v>73</v>
      </c>
      <c r="D6" s="64" t="s">
        <v>32</v>
      </c>
      <c r="E6" s="64" t="s">
        <v>33</v>
      </c>
      <c r="F6" s="64" t="s">
        <v>98</v>
      </c>
      <c r="G6" s="64" t="s">
        <v>59</v>
      </c>
      <c r="H6" s="64" t="s">
        <v>99</v>
      </c>
      <c r="I6" s="65">
        <v>46114</v>
      </c>
      <c r="J6" s="64">
        <f t="shared" ref="J6" ca="1" si="9">+TODAY()-I6</f>
        <v>70</v>
      </c>
      <c r="K6" s="64">
        <f t="shared" si="1"/>
        <v>46132</v>
      </c>
      <c r="L6" s="52" t="s">
        <v>737</v>
      </c>
      <c r="M6" s="64">
        <v>35000</v>
      </c>
      <c r="N6" s="64">
        <v>31000</v>
      </c>
      <c r="O6" s="65">
        <v>46115</v>
      </c>
      <c r="P6" s="64">
        <f t="shared" ref="P6" si="10">+M6-N6</f>
        <v>4000</v>
      </c>
      <c r="Q6" s="64" t="s">
        <v>33</v>
      </c>
      <c r="R6" s="64" t="s">
        <v>64</v>
      </c>
      <c r="S6" s="64">
        <v>33000</v>
      </c>
      <c r="T6" s="64" t="s">
        <v>2075</v>
      </c>
      <c r="U6" s="65">
        <v>46132</v>
      </c>
      <c r="V6" s="64" t="s">
        <v>28</v>
      </c>
      <c r="W6" s="64">
        <f t="shared" si="3"/>
        <v>-2000</v>
      </c>
      <c r="X6" s="64" t="s">
        <v>29</v>
      </c>
      <c r="Y6" s="64" t="s">
        <v>63</v>
      </c>
      <c r="Z6" s="64">
        <f t="shared" si="4"/>
        <v>-5.7142857142857144</v>
      </c>
      <c r="AA6" s="64"/>
    </row>
    <row r="7" spans="1:28">
      <c r="A7" s="64">
        <f>SUBTOTAL(3,C$2:C7)</f>
        <v>6</v>
      </c>
      <c r="B7" s="64" t="s">
        <v>30</v>
      </c>
      <c r="C7" s="64" t="s">
        <v>102</v>
      </c>
      <c r="D7" s="64" t="s">
        <v>32</v>
      </c>
      <c r="E7" s="64" t="s">
        <v>33</v>
      </c>
      <c r="F7" s="64" t="s">
        <v>104</v>
      </c>
      <c r="G7" s="64" t="s">
        <v>67</v>
      </c>
      <c r="H7" s="64" t="s">
        <v>103</v>
      </c>
      <c r="I7" s="65">
        <v>46115</v>
      </c>
      <c r="J7" s="64">
        <f t="shared" ref="J7:J9" ca="1" si="11">+TODAY()-I7</f>
        <v>69</v>
      </c>
      <c r="K7" s="64">
        <f t="shared" si="1"/>
        <v>46132</v>
      </c>
      <c r="L7" s="52" t="s">
        <v>737</v>
      </c>
      <c r="M7" s="64">
        <v>38000</v>
      </c>
      <c r="N7" s="64">
        <v>33000</v>
      </c>
      <c r="O7" s="65">
        <v>46115</v>
      </c>
      <c r="P7" s="64">
        <f t="shared" ref="P7:P9" si="12">+M7-N7</f>
        <v>5000</v>
      </c>
      <c r="Q7" s="64" t="s">
        <v>33</v>
      </c>
      <c r="R7" s="64" t="s">
        <v>64</v>
      </c>
      <c r="S7" s="64">
        <v>33000</v>
      </c>
      <c r="T7" s="64" t="s">
        <v>2075</v>
      </c>
      <c r="U7" s="65">
        <v>46132</v>
      </c>
      <c r="V7" s="64" t="s">
        <v>28</v>
      </c>
      <c r="W7" s="64">
        <f t="shared" si="3"/>
        <v>-5000</v>
      </c>
      <c r="X7" s="64" t="s">
        <v>29</v>
      </c>
      <c r="Y7" s="64" t="s">
        <v>63</v>
      </c>
      <c r="Z7" s="64">
        <f t="shared" si="4"/>
        <v>-13.157894736842104</v>
      </c>
      <c r="AA7" s="64"/>
      <c r="AB7" s="64" t="s">
        <v>320</v>
      </c>
    </row>
    <row r="8" spans="1:28">
      <c r="A8" s="64">
        <f>SUBTOTAL(3,C$2:C8)</f>
        <v>7</v>
      </c>
      <c r="B8" s="64" t="s">
        <v>30</v>
      </c>
      <c r="C8" s="64" t="s">
        <v>65</v>
      </c>
      <c r="D8" s="64" t="s">
        <v>32</v>
      </c>
      <c r="E8" s="64" t="s">
        <v>33</v>
      </c>
      <c r="F8" s="64" t="s">
        <v>66</v>
      </c>
      <c r="G8" s="64" t="s">
        <v>67</v>
      </c>
      <c r="H8" s="64" t="s">
        <v>105</v>
      </c>
      <c r="I8" s="65">
        <v>46115</v>
      </c>
      <c r="J8" s="64">
        <f t="shared" ca="1" si="11"/>
        <v>69</v>
      </c>
      <c r="K8" s="64">
        <f t="shared" si="1"/>
        <v>46132</v>
      </c>
      <c r="L8" s="64" t="s">
        <v>71</v>
      </c>
      <c r="M8" s="64">
        <v>19000</v>
      </c>
      <c r="N8" s="64">
        <v>15000</v>
      </c>
      <c r="O8" s="65">
        <v>46115</v>
      </c>
      <c r="P8" s="64">
        <f t="shared" si="12"/>
        <v>4000</v>
      </c>
      <c r="Q8" s="64" t="s">
        <v>33</v>
      </c>
      <c r="R8" s="64" t="s">
        <v>64</v>
      </c>
      <c r="S8" s="64">
        <v>20500</v>
      </c>
      <c r="T8" s="64" t="s">
        <v>2078</v>
      </c>
      <c r="U8" s="65">
        <v>46132</v>
      </c>
      <c r="V8" s="64" t="s">
        <v>28</v>
      </c>
      <c r="W8" s="64">
        <f t="shared" si="3"/>
        <v>1500</v>
      </c>
      <c r="X8" s="64" t="s">
        <v>29</v>
      </c>
      <c r="Y8" s="64" t="s">
        <v>63</v>
      </c>
      <c r="Z8" s="64">
        <f t="shared" si="4"/>
        <v>7.8947368421052628</v>
      </c>
      <c r="AA8" s="64"/>
    </row>
    <row r="9" spans="1:28">
      <c r="A9" s="64">
        <f>SUBTOTAL(3,C$2:C9)</f>
        <v>8</v>
      </c>
      <c r="B9" s="64" t="s">
        <v>30</v>
      </c>
      <c r="C9" s="64" t="s">
        <v>72</v>
      </c>
      <c r="D9" s="64" t="s">
        <v>32</v>
      </c>
      <c r="E9" s="64" t="s">
        <v>33</v>
      </c>
      <c r="F9" s="64" t="s">
        <v>106</v>
      </c>
      <c r="G9" s="64" t="s">
        <v>67</v>
      </c>
      <c r="H9" s="63" t="s">
        <v>107</v>
      </c>
      <c r="I9" s="65">
        <v>46115</v>
      </c>
      <c r="J9" s="64">
        <f t="shared" ca="1" si="11"/>
        <v>69</v>
      </c>
      <c r="K9" s="64">
        <f t="shared" si="1"/>
        <v>46132</v>
      </c>
      <c r="L9" s="52" t="s">
        <v>737</v>
      </c>
      <c r="M9" s="64">
        <v>28000</v>
      </c>
      <c r="N9" s="64">
        <v>21000</v>
      </c>
      <c r="O9" s="65">
        <v>46115</v>
      </c>
      <c r="P9" s="64">
        <f t="shared" si="12"/>
        <v>7000</v>
      </c>
      <c r="Q9" s="64" t="s">
        <v>33</v>
      </c>
      <c r="R9" s="64" t="s">
        <v>64</v>
      </c>
      <c r="S9" s="64">
        <v>33000</v>
      </c>
      <c r="T9" s="64" t="s">
        <v>2075</v>
      </c>
      <c r="U9" s="65">
        <v>46132</v>
      </c>
      <c r="V9" s="64" t="s">
        <v>28</v>
      </c>
      <c r="W9" s="64">
        <f t="shared" si="3"/>
        <v>5000</v>
      </c>
      <c r="X9" s="64" t="s">
        <v>29</v>
      </c>
      <c r="Y9" s="64" t="s">
        <v>63</v>
      </c>
      <c r="Z9" s="64">
        <f t="shared" si="4"/>
        <v>17.857142857142858</v>
      </c>
      <c r="AA9" s="64"/>
      <c r="AB9" s="64" t="s">
        <v>320</v>
      </c>
    </row>
    <row r="10" spans="1:28">
      <c r="A10" s="64">
        <f>SUBTOTAL(3,C$2:C10)</f>
        <v>9</v>
      </c>
      <c r="B10" s="64" t="s">
        <v>30</v>
      </c>
      <c r="C10" s="64" t="s">
        <v>65</v>
      </c>
      <c r="D10" s="64" t="s">
        <v>32</v>
      </c>
      <c r="E10" s="64" t="s">
        <v>33</v>
      </c>
      <c r="F10" s="64" t="s">
        <v>66</v>
      </c>
      <c r="G10" s="64" t="s">
        <v>67</v>
      </c>
      <c r="H10" s="63" t="s">
        <v>166</v>
      </c>
      <c r="I10" s="65">
        <v>46116</v>
      </c>
      <c r="J10" s="64">
        <f t="shared" ref="J10:J11" ca="1" si="13">+TODAY()-I10</f>
        <v>68</v>
      </c>
      <c r="K10" s="64">
        <f t="shared" ref="K10:K11" si="14">+U10</f>
        <v>46132</v>
      </c>
      <c r="L10" s="52" t="s">
        <v>737</v>
      </c>
      <c r="M10" s="64">
        <v>27000</v>
      </c>
      <c r="N10" s="64">
        <v>20000</v>
      </c>
      <c r="O10" s="65">
        <v>46116</v>
      </c>
      <c r="P10" s="64">
        <f t="shared" ref="P10:P11" si="15">+M10-N10</f>
        <v>7000</v>
      </c>
      <c r="Q10" s="64" t="s">
        <v>33</v>
      </c>
      <c r="R10" s="64" t="s">
        <v>64</v>
      </c>
      <c r="S10" s="64">
        <v>33000</v>
      </c>
      <c r="T10" s="64" t="s">
        <v>2075</v>
      </c>
      <c r="U10" s="65">
        <v>46132</v>
      </c>
      <c r="V10" s="64" t="s">
        <v>28</v>
      </c>
      <c r="W10" s="64">
        <f t="shared" si="3"/>
        <v>6000</v>
      </c>
      <c r="X10" s="64" t="s">
        <v>29</v>
      </c>
      <c r="Y10" s="64" t="s">
        <v>63</v>
      </c>
      <c r="Z10" s="64">
        <f t="shared" si="4"/>
        <v>22.222222222222221</v>
      </c>
      <c r="AA10" s="64"/>
      <c r="AB10" s="64" t="s">
        <v>320</v>
      </c>
    </row>
    <row r="11" spans="1:28">
      <c r="A11" s="64">
        <f>SUBTOTAL(3,C$2:C11)</f>
        <v>10</v>
      </c>
      <c r="B11" s="64" t="s">
        <v>30</v>
      </c>
      <c r="C11" s="64" t="s">
        <v>73</v>
      </c>
      <c r="D11" s="64" t="s">
        <v>32</v>
      </c>
      <c r="E11" s="64" t="s">
        <v>33</v>
      </c>
      <c r="F11" s="64" t="s">
        <v>167</v>
      </c>
      <c r="G11" s="64" t="s">
        <v>67</v>
      </c>
      <c r="H11" s="63" t="s">
        <v>168</v>
      </c>
      <c r="I11" s="65">
        <v>46116</v>
      </c>
      <c r="J11" s="64">
        <f t="shared" ca="1" si="13"/>
        <v>68</v>
      </c>
      <c r="K11" s="64">
        <f t="shared" si="14"/>
        <v>46132</v>
      </c>
      <c r="L11" s="52" t="s">
        <v>737</v>
      </c>
      <c r="M11" s="64">
        <v>35000</v>
      </c>
      <c r="N11" s="64">
        <v>31000</v>
      </c>
      <c r="O11" s="65">
        <v>46116</v>
      </c>
      <c r="P11" s="64">
        <f t="shared" si="15"/>
        <v>4000</v>
      </c>
      <c r="Q11" s="64" t="s">
        <v>33</v>
      </c>
      <c r="R11" s="64" t="s">
        <v>64</v>
      </c>
      <c r="S11" s="64">
        <v>33000</v>
      </c>
      <c r="T11" s="64" t="s">
        <v>2075</v>
      </c>
      <c r="U11" s="65">
        <v>46132</v>
      </c>
      <c r="V11" s="64" t="s">
        <v>28</v>
      </c>
      <c r="W11" s="64">
        <f t="shared" si="3"/>
        <v>-2000</v>
      </c>
      <c r="X11" s="64" t="s">
        <v>29</v>
      </c>
      <c r="Y11" s="64" t="s">
        <v>63</v>
      </c>
      <c r="Z11" s="64">
        <f t="shared" si="4"/>
        <v>-5.7142857142857144</v>
      </c>
      <c r="AA11" s="64"/>
      <c r="AB11" s="64" t="s">
        <v>320</v>
      </c>
    </row>
    <row r="12" spans="1:28">
      <c r="A12" s="64">
        <f>SUBTOTAL(3,C$2:C12)</f>
        <v>11</v>
      </c>
      <c r="B12" s="64" t="s">
        <v>30</v>
      </c>
      <c r="C12" s="64" t="s">
        <v>73</v>
      </c>
      <c r="D12" s="64" t="s">
        <v>32</v>
      </c>
      <c r="E12" s="64" t="s">
        <v>33</v>
      </c>
      <c r="F12" s="64" t="s">
        <v>170</v>
      </c>
      <c r="G12" s="64" t="s">
        <v>67</v>
      </c>
      <c r="H12" s="63" t="s">
        <v>171</v>
      </c>
      <c r="I12" s="65">
        <v>46116</v>
      </c>
      <c r="J12" s="64">
        <f t="shared" ref="J12" ca="1" si="16">+TODAY()-I12</f>
        <v>68</v>
      </c>
      <c r="K12" s="64">
        <f t="shared" ref="K12" si="17">+U12</f>
        <v>46132</v>
      </c>
      <c r="L12" s="52" t="s">
        <v>737</v>
      </c>
      <c r="M12" s="64">
        <v>36000</v>
      </c>
      <c r="N12" s="64">
        <v>32000</v>
      </c>
      <c r="O12" s="65">
        <v>46118</v>
      </c>
      <c r="P12" s="64">
        <f t="shared" ref="P12" si="18">+M12-N12</f>
        <v>4000</v>
      </c>
      <c r="Q12" s="64" t="s">
        <v>33</v>
      </c>
      <c r="R12" s="64" t="s">
        <v>64</v>
      </c>
      <c r="S12" s="64">
        <v>33000</v>
      </c>
      <c r="T12" s="64" t="s">
        <v>2075</v>
      </c>
      <c r="U12" s="65">
        <v>46132</v>
      </c>
      <c r="V12" s="64" t="s">
        <v>28</v>
      </c>
      <c r="W12" s="64">
        <f t="shared" si="3"/>
        <v>-3000</v>
      </c>
      <c r="X12" s="64" t="s">
        <v>29</v>
      </c>
      <c r="Y12" s="64" t="s">
        <v>63</v>
      </c>
      <c r="Z12" s="64">
        <f t="shared" si="4"/>
        <v>-8.3333333333333339</v>
      </c>
      <c r="AA12" s="64"/>
      <c r="AB12" s="64" t="s">
        <v>320</v>
      </c>
    </row>
    <row r="13" spans="1:28">
      <c r="A13" s="64">
        <f>SUBTOTAL(3,C$2:C13)</f>
        <v>12</v>
      </c>
      <c r="B13" s="64" t="s">
        <v>30</v>
      </c>
      <c r="C13" s="64" t="s">
        <v>73</v>
      </c>
      <c r="D13" s="64" t="s">
        <v>32</v>
      </c>
      <c r="E13" s="64" t="s">
        <v>33</v>
      </c>
      <c r="F13" s="64" t="s">
        <v>208</v>
      </c>
      <c r="G13" s="64" t="s">
        <v>67</v>
      </c>
      <c r="H13" s="63" t="s">
        <v>209</v>
      </c>
      <c r="I13" s="65">
        <v>46117</v>
      </c>
      <c r="J13" s="64">
        <f t="shared" ref="J13" ca="1" si="19">+TODAY()-I13</f>
        <v>67</v>
      </c>
      <c r="K13" s="64">
        <f t="shared" ref="K13" si="20">+U13</f>
        <v>46132</v>
      </c>
      <c r="L13" s="52" t="s">
        <v>737</v>
      </c>
      <c r="M13" s="64">
        <v>36000</v>
      </c>
      <c r="N13" s="64">
        <v>32000</v>
      </c>
      <c r="O13" s="65">
        <v>46118</v>
      </c>
      <c r="P13" s="64">
        <f t="shared" ref="P13" si="21">+M13-N13</f>
        <v>4000</v>
      </c>
      <c r="Q13" s="64" t="s">
        <v>33</v>
      </c>
      <c r="R13" s="64" t="s">
        <v>64</v>
      </c>
      <c r="S13" s="64">
        <v>33000</v>
      </c>
      <c r="T13" s="64" t="s">
        <v>2075</v>
      </c>
      <c r="U13" s="65">
        <v>46132</v>
      </c>
      <c r="V13" s="64" t="s">
        <v>28</v>
      </c>
      <c r="W13" s="64">
        <f t="shared" si="3"/>
        <v>-3000</v>
      </c>
      <c r="X13" s="64" t="s">
        <v>29</v>
      </c>
      <c r="Y13" s="64" t="s">
        <v>63</v>
      </c>
      <c r="Z13" s="64">
        <f t="shared" si="4"/>
        <v>-8.3333333333333339</v>
      </c>
      <c r="AA13" s="64"/>
      <c r="AB13" s="64" t="s">
        <v>320</v>
      </c>
    </row>
    <row r="14" spans="1:28">
      <c r="A14" s="64">
        <f>SUBTOTAL(3,C$2:C14)</f>
        <v>13</v>
      </c>
      <c r="B14" s="64" t="s">
        <v>30</v>
      </c>
      <c r="C14" s="64" t="s">
        <v>73</v>
      </c>
      <c r="D14" s="64" t="s">
        <v>32</v>
      </c>
      <c r="E14" s="64" t="s">
        <v>33</v>
      </c>
      <c r="F14" s="64" t="s">
        <v>222</v>
      </c>
      <c r="G14" s="64" t="s">
        <v>67</v>
      </c>
      <c r="H14" s="63" t="s">
        <v>223</v>
      </c>
      <c r="I14" s="65">
        <v>46118</v>
      </c>
      <c r="J14" s="64">
        <f t="shared" ref="J14" ca="1" si="22">+TODAY()-I14</f>
        <v>66</v>
      </c>
      <c r="K14" s="64">
        <f t="shared" ref="K14" si="23">+U14</f>
        <v>46132</v>
      </c>
      <c r="L14" s="52" t="s">
        <v>737</v>
      </c>
      <c r="M14" s="64">
        <v>36000</v>
      </c>
      <c r="N14" s="64">
        <v>32000</v>
      </c>
      <c r="O14" s="65">
        <v>46119</v>
      </c>
      <c r="P14" s="64">
        <f t="shared" ref="P14" si="24">+M14-N14</f>
        <v>4000</v>
      </c>
      <c r="Q14" s="64" t="s">
        <v>33</v>
      </c>
      <c r="R14" s="64" t="s">
        <v>64</v>
      </c>
      <c r="S14" s="64">
        <v>33000</v>
      </c>
      <c r="T14" s="64" t="s">
        <v>2075</v>
      </c>
      <c r="U14" s="65">
        <v>46132</v>
      </c>
      <c r="V14" s="64" t="s">
        <v>28</v>
      </c>
      <c r="W14" s="64">
        <f t="shared" si="3"/>
        <v>-3000</v>
      </c>
      <c r="X14" s="64" t="s">
        <v>29</v>
      </c>
      <c r="Y14" s="64" t="s">
        <v>63</v>
      </c>
      <c r="Z14" s="64">
        <f t="shared" si="4"/>
        <v>-8.3333333333333339</v>
      </c>
      <c r="AA14" s="64"/>
      <c r="AB14" s="64" t="s">
        <v>320</v>
      </c>
    </row>
    <row r="15" spans="1:28">
      <c r="A15" s="64">
        <f>SUBTOTAL(3,C$2:C15)</f>
        <v>14</v>
      </c>
      <c r="B15" s="64" t="s">
        <v>30</v>
      </c>
      <c r="C15" s="64" t="s">
        <v>72</v>
      </c>
      <c r="D15" s="64" t="s">
        <v>32</v>
      </c>
      <c r="E15" s="64" t="s">
        <v>33</v>
      </c>
      <c r="F15" s="64" t="s">
        <v>69</v>
      </c>
      <c r="G15" s="64" t="s">
        <v>67</v>
      </c>
      <c r="H15" s="63" t="s">
        <v>224</v>
      </c>
      <c r="I15" s="65">
        <v>46118</v>
      </c>
      <c r="J15" s="64">
        <f t="shared" ref="J15:J19" ca="1" si="25">+TODAY()-I15</f>
        <v>66</v>
      </c>
      <c r="K15" s="64">
        <f t="shared" ref="K15:K19" si="26">+U15</f>
        <v>46132</v>
      </c>
      <c r="L15" s="64" t="s">
        <v>71</v>
      </c>
      <c r="M15" s="64">
        <v>19000</v>
      </c>
      <c r="N15" s="64">
        <v>15000</v>
      </c>
      <c r="O15" s="65">
        <v>46119</v>
      </c>
      <c r="P15" s="64">
        <f t="shared" ref="P15:P19" si="27">+M15-N15</f>
        <v>4000</v>
      </c>
      <c r="Q15" s="64" t="s">
        <v>33</v>
      </c>
      <c r="R15" s="64" t="s">
        <v>64</v>
      </c>
      <c r="S15" s="64">
        <v>20500</v>
      </c>
      <c r="T15" s="64" t="s">
        <v>2078</v>
      </c>
      <c r="U15" s="65">
        <v>46132</v>
      </c>
      <c r="V15" s="64" t="s">
        <v>28</v>
      </c>
      <c r="W15" s="64">
        <f t="shared" si="3"/>
        <v>1500</v>
      </c>
      <c r="X15" s="64" t="s">
        <v>29</v>
      </c>
      <c r="Y15" s="64" t="s">
        <v>63</v>
      </c>
      <c r="Z15" s="64">
        <f t="shared" si="4"/>
        <v>7.8947368421052628</v>
      </c>
      <c r="AA15" s="64"/>
    </row>
    <row r="16" spans="1:28">
      <c r="A16" s="64">
        <f>SUBTOTAL(3,C$2:C16)</f>
        <v>15</v>
      </c>
      <c r="B16" s="64" t="s">
        <v>30</v>
      </c>
      <c r="C16" s="64" t="s">
        <v>73</v>
      </c>
      <c r="D16" s="64" t="s">
        <v>32</v>
      </c>
      <c r="E16" s="64" t="s">
        <v>33</v>
      </c>
      <c r="F16" s="63" t="s">
        <v>258</v>
      </c>
      <c r="G16" s="63" t="s">
        <v>59</v>
      </c>
      <c r="H16" s="63" t="s">
        <v>259</v>
      </c>
      <c r="I16" s="65">
        <v>46119</v>
      </c>
      <c r="J16" s="64">
        <f t="shared" ca="1" si="25"/>
        <v>65</v>
      </c>
      <c r="K16" s="64">
        <f t="shared" si="26"/>
        <v>46132</v>
      </c>
      <c r="L16" s="52" t="s">
        <v>737</v>
      </c>
      <c r="M16" s="64">
        <v>31000</v>
      </c>
      <c r="N16" s="64">
        <v>27000</v>
      </c>
      <c r="O16" s="65">
        <v>46120</v>
      </c>
      <c r="P16" s="64">
        <f t="shared" si="27"/>
        <v>4000</v>
      </c>
      <c r="Q16" s="64" t="s">
        <v>33</v>
      </c>
      <c r="R16" s="64" t="s">
        <v>64</v>
      </c>
      <c r="S16" s="64">
        <v>33000</v>
      </c>
      <c r="T16" s="64" t="s">
        <v>2075</v>
      </c>
      <c r="U16" s="65">
        <v>46132</v>
      </c>
      <c r="V16" s="64" t="s">
        <v>28</v>
      </c>
      <c r="W16" s="64">
        <f t="shared" si="3"/>
        <v>2000</v>
      </c>
      <c r="X16" s="64" t="s">
        <v>29</v>
      </c>
      <c r="Y16" s="64" t="s">
        <v>63</v>
      </c>
      <c r="Z16" s="64">
        <f t="shared" si="4"/>
        <v>6.4516129032258061</v>
      </c>
      <c r="AA16" s="64"/>
    </row>
    <row r="17" spans="1:28">
      <c r="A17" s="64">
        <f>SUBTOTAL(3,C$2:C17)</f>
        <v>16</v>
      </c>
      <c r="B17" s="64" t="s">
        <v>30</v>
      </c>
      <c r="C17" s="64" t="s">
        <v>65</v>
      </c>
      <c r="D17" s="64" t="s">
        <v>32</v>
      </c>
      <c r="E17" s="64" t="s">
        <v>33</v>
      </c>
      <c r="F17" s="63" t="s">
        <v>260</v>
      </c>
      <c r="G17" s="64" t="s">
        <v>67</v>
      </c>
      <c r="H17" s="63" t="s">
        <v>261</v>
      </c>
      <c r="I17" s="65">
        <v>46119</v>
      </c>
      <c r="J17" s="64">
        <f t="shared" ca="1" si="25"/>
        <v>65</v>
      </c>
      <c r="K17" s="64">
        <f t="shared" si="26"/>
        <v>46132</v>
      </c>
      <c r="L17" s="52" t="s">
        <v>737</v>
      </c>
      <c r="M17" s="64">
        <v>27000</v>
      </c>
      <c r="N17" s="64">
        <v>20000</v>
      </c>
      <c r="O17" s="65">
        <v>46120</v>
      </c>
      <c r="P17" s="64">
        <f t="shared" si="27"/>
        <v>7000</v>
      </c>
      <c r="Q17" s="64" t="s">
        <v>33</v>
      </c>
      <c r="R17" s="64" t="s">
        <v>64</v>
      </c>
      <c r="S17" s="64">
        <v>33000</v>
      </c>
      <c r="T17" s="64" t="s">
        <v>2075</v>
      </c>
      <c r="U17" s="65">
        <v>46132</v>
      </c>
      <c r="V17" s="64" t="s">
        <v>28</v>
      </c>
      <c r="W17" s="64">
        <f t="shared" si="3"/>
        <v>6000</v>
      </c>
      <c r="X17" s="64" t="s">
        <v>29</v>
      </c>
      <c r="Y17" s="64" t="s">
        <v>63</v>
      </c>
      <c r="Z17" s="64">
        <f t="shared" si="4"/>
        <v>22.222222222222221</v>
      </c>
      <c r="AA17" s="64"/>
      <c r="AB17" s="64" t="s">
        <v>320</v>
      </c>
    </row>
    <row r="18" spans="1:28">
      <c r="A18" s="64">
        <f>SUBTOTAL(3,C$2:C18)</f>
        <v>17</v>
      </c>
      <c r="B18" s="64" t="s">
        <v>30</v>
      </c>
      <c r="C18" s="64" t="s">
        <v>72</v>
      </c>
      <c r="D18" s="64" t="s">
        <v>32</v>
      </c>
      <c r="E18" s="64" t="s">
        <v>33</v>
      </c>
      <c r="F18" s="63" t="s">
        <v>69</v>
      </c>
      <c r="G18" s="64" t="s">
        <v>67</v>
      </c>
      <c r="H18" s="63" t="s">
        <v>262</v>
      </c>
      <c r="I18" s="65">
        <v>46120</v>
      </c>
      <c r="J18" s="64">
        <f t="shared" ca="1" si="25"/>
        <v>64</v>
      </c>
      <c r="K18" s="64">
        <f t="shared" si="26"/>
        <v>46132</v>
      </c>
      <c r="L18" s="52" t="s">
        <v>737</v>
      </c>
      <c r="M18" s="64">
        <v>27000</v>
      </c>
      <c r="N18" s="64">
        <v>20000</v>
      </c>
      <c r="O18" s="65">
        <v>46120</v>
      </c>
      <c r="P18" s="64">
        <f t="shared" si="27"/>
        <v>7000</v>
      </c>
      <c r="Q18" s="64" t="s">
        <v>33</v>
      </c>
      <c r="R18" s="64" t="s">
        <v>64</v>
      </c>
      <c r="S18" s="64">
        <v>33000</v>
      </c>
      <c r="T18" s="64" t="s">
        <v>2075</v>
      </c>
      <c r="U18" s="65">
        <v>46132</v>
      </c>
      <c r="V18" s="64" t="s">
        <v>28</v>
      </c>
      <c r="W18" s="64">
        <f t="shared" si="3"/>
        <v>6000</v>
      </c>
      <c r="X18" s="64" t="s">
        <v>29</v>
      </c>
      <c r="Y18" s="64" t="s">
        <v>63</v>
      </c>
      <c r="Z18" s="64">
        <f t="shared" si="4"/>
        <v>22.222222222222221</v>
      </c>
      <c r="AA18" s="64"/>
      <c r="AB18" s="64" t="s">
        <v>320</v>
      </c>
    </row>
    <row r="19" spans="1:28">
      <c r="A19" s="64">
        <f>SUBTOTAL(3,C$2:C19)</f>
        <v>18</v>
      </c>
      <c r="B19" s="64" t="s">
        <v>30</v>
      </c>
      <c r="C19" s="64" t="s">
        <v>100</v>
      </c>
      <c r="D19" s="64" t="s">
        <v>32</v>
      </c>
      <c r="E19" s="64" t="s">
        <v>33</v>
      </c>
      <c r="F19" s="63" t="s">
        <v>101</v>
      </c>
      <c r="G19" s="64" t="s">
        <v>67</v>
      </c>
      <c r="H19" s="63" t="s">
        <v>263</v>
      </c>
      <c r="I19" s="65">
        <v>46120</v>
      </c>
      <c r="J19" s="64">
        <f t="shared" ca="1" si="25"/>
        <v>64</v>
      </c>
      <c r="K19" s="64">
        <f t="shared" si="26"/>
        <v>46132</v>
      </c>
      <c r="L19" s="64" t="s">
        <v>71</v>
      </c>
      <c r="M19" s="64">
        <v>18500</v>
      </c>
      <c r="N19" s="64">
        <v>14500</v>
      </c>
      <c r="O19" s="65">
        <v>46120</v>
      </c>
      <c r="P19" s="64">
        <f t="shared" si="27"/>
        <v>4000</v>
      </c>
      <c r="Q19" s="64" t="s">
        <v>33</v>
      </c>
      <c r="R19" s="64" t="s">
        <v>64</v>
      </c>
      <c r="S19" s="64">
        <v>20500</v>
      </c>
      <c r="T19" s="64" t="s">
        <v>2078</v>
      </c>
      <c r="U19" s="65">
        <v>46132</v>
      </c>
      <c r="V19" s="64" t="s">
        <v>28</v>
      </c>
      <c r="W19" s="64">
        <f t="shared" si="3"/>
        <v>2000</v>
      </c>
      <c r="X19" s="64" t="s">
        <v>29</v>
      </c>
      <c r="Y19" s="64" t="s">
        <v>63</v>
      </c>
      <c r="Z19" s="64">
        <f t="shared" si="4"/>
        <v>10.810810810810811</v>
      </c>
      <c r="AA19" s="64"/>
    </row>
    <row r="20" spans="1:28">
      <c r="A20" s="64">
        <f>SUBTOTAL(3,C$2:C20)</f>
        <v>19</v>
      </c>
      <c r="B20" s="64" t="s">
        <v>30</v>
      </c>
      <c r="C20" s="64" t="s">
        <v>100</v>
      </c>
      <c r="D20" s="64" t="s">
        <v>32</v>
      </c>
      <c r="E20" s="64" t="s">
        <v>33</v>
      </c>
      <c r="F20" s="63" t="s">
        <v>291</v>
      </c>
      <c r="G20" s="64" t="s">
        <v>67</v>
      </c>
      <c r="H20" s="63" t="s">
        <v>292</v>
      </c>
      <c r="I20" s="65">
        <v>46121</v>
      </c>
      <c r="J20" s="64">
        <f t="shared" ref="J20" ca="1" si="28">+TODAY()-I20</f>
        <v>63</v>
      </c>
      <c r="K20" s="64">
        <f t="shared" ref="K20" si="29">+U20</f>
        <v>46132</v>
      </c>
      <c r="L20" s="52" t="s">
        <v>737</v>
      </c>
      <c r="M20" s="64">
        <v>27000</v>
      </c>
      <c r="N20" s="64">
        <v>20000</v>
      </c>
      <c r="O20" s="65">
        <v>46121</v>
      </c>
      <c r="P20" s="64">
        <f t="shared" ref="P20" si="30">+M20-N20</f>
        <v>7000</v>
      </c>
      <c r="Q20" s="64" t="s">
        <v>33</v>
      </c>
      <c r="R20" s="64" t="s">
        <v>64</v>
      </c>
      <c r="S20" s="64">
        <v>33000</v>
      </c>
      <c r="T20" s="64" t="s">
        <v>2075</v>
      </c>
      <c r="U20" s="65">
        <v>46132</v>
      </c>
      <c r="V20" s="64" t="s">
        <v>28</v>
      </c>
      <c r="W20" s="64">
        <f t="shared" ref="W20" si="31">+S20-M20</f>
        <v>6000</v>
      </c>
      <c r="X20" s="64" t="s">
        <v>29</v>
      </c>
      <c r="Y20" s="64" t="s">
        <v>63</v>
      </c>
      <c r="Z20" s="64">
        <f t="shared" ref="Z20" si="32">+W20*100/M20</f>
        <v>22.222222222222221</v>
      </c>
      <c r="AA20" s="64"/>
      <c r="AB20" s="64" t="s">
        <v>320</v>
      </c>
    </row>
    <row r="21" spans="1:28">
      <c r="A21" s="64">
        <f>SUBTOTAL(3,C$2:C21)</f>
        <v>20</v>
      </c>
      <c r="B21" s="64" t="s">
        <v>30</v>
      </c>
      <c r="C21" s="64" t="s">
        <v>100</v>
      </c>
      <c r="D21" s="64" t="s">
        <v>32</v>
      </c>
      <c r="E21" s="64" t="s">
        <v>33</v>
      </c>
      <c r="F21" s="63" t="s">
        <v>293</v>
      </c>
      <c r="G21" s="64" t="s">
        <v>67</v>
      </c>
      <c r="H21" s="63" t="s">
        <v>294</v>
      </c>
      <c r="I21" s="65">
        <v>46121</v>
      </c>
      <c r="J21" s="64">
        <f t="shared" ref="J21:J24" ca="1" si="33">+TODAY()-I21</f>
        <v>63</v>
      </c>
      <c r="K21" s="64">
        <f t="shared" ref="K21:K24" si="34">+U21</f>
        <v>46132</v>
      </c>
      <c r="L21" s="52" t="s">
        <v>737</v>
      </c>
      <c r="M21" s="64">
        <v>27000</v>
      </c>
      <c r="N21" s="64">
        <v>20000</v>
      </c>
      <c r="O21" s="65">
        <v>46121</v>
      </c>
      <c r="P21" s="64">
        <f t="shared" ref="P21:P24" si="35">+M21-N21</f>
        <v>7000</v>
      </c>
      <c r="Q21" s="64" t="s">
        <v>33</v>
      </c>
      <c r="R21" s="64" t="s">
        <v>64</v>
      </c>
      <c r="S21" s="64">
        <v>33000</v>
      </c>
      <c r="T21" s="64" t="s">
        <v>2075</v>
      </c>
      <c r="U21" s="65">
        <v>46132</v>
      </c>
      <c r="V21" s="64" t="s">
        <v>28</v>
      </c>
      <c r="W21" s="64">
        <f t="shared" ref="W21:W24" si="36">+S21-M21</f>
        <v>6000</v>
      </c>
      <c r="X21" s="64" t="s">
        <v>29</v>
      </c>
      <c r="Y21" s="64" t="s">
        <v>63</v>
      </c>
      <c r="Z21" s="64">
        <f t="shared" ref="Z21:Z24" si="37">+W21*100/M21</f>
        <v>22.222222222222221</v>
      </c>
      <c r="AA21" s="64"/>
      <c r="AB21" s="64" t="s">
        <v>320</v>
      </c>
    </row>
    <row r="22" spans="1:28">
      <c r="A22" s="64">
        <f>SUBTOTAL(3,C$2:C22)</f>
        <v>21</v>
      </c>
      <c r="B22" s="64" t="s">
        <v>30</v>
      </c>
      <c r="C22" s="64" t="s">
        <v>65</v>
      </c>
      <c r="D22" s="64" t="s">
        <v>32</v>
      </c>
      <c r="E22" s="64" t="s">
        <v>33</v>
      </c>
      <c r="F22" s="63" t="s">
        <v>66</v>
      </c>
      <c r="G22" s="64" t="s">
        <v>67</v>
      </c>
      <c r="H22" s="63" t="s">
        <v>318</v>
      </c>
      <c r="I22" s="65">
        <v>46122</v>
      </c>
      <c r="J22" s="64">
        <f t="shared" ca="1" si="33"/>
        <v>62</v>
      </c>
      <c r="K22" s="64">
        <f t="shared" si="34"/>
        <v>46132</v>
      </c>
      <c r="L22" s="52" t="s">
        <v>737</v>
      </c>
      <c r="M22" s="64">
        <v>27000</v>
      </c>
      <c r="N22" s="64">
        <v>20000</v>
      </c>
      <c r="O22" s="65">
        <v>46122</v>
      </c>
      <c r="P22" s="64">
        <f t="shared" si="35"/>
        <v>7000</v>
      </c>
      <c r="Q22" s="64" t="s">
        <v>33</v>
      </c>
      <c r="R22" s="64" t="s">
        <v>64</v>
      </c>
      <c r="S22" s="64">
        <v>33000</v>
      </c>
      <c r="T22" s="64" t="s">
        <v>2075</v>
      </c>
      <c r="U22" s="65">
        <v>46132</v>
      </c>
      <c r="V22" s="64" t="s">
        <v>28</v>
      </c>
      <c r="W22" s="64">
        <f t="shared" si="36"/>
        <v>6000</v>
      </c>
      <c r="X22" s="64" t="s">
        <v>29</v>
      </c>
      <c r="Y22" s="64" t="s">
        <v>63</v>
      </c>
      <c r="Z22" s="64">
        <f t="shared" si="37"/>
        <v>22.222222222222221</v>
      </c>
      <c r="AA22" s="64"/>
      <c r="AB22" s="64"/>
    </row>
    <row r="23" spans="1:28">
      <c r="A23" s="64">
        <f>SUBTOTAL(3,C$2:C23)</f>
        <v>22</v>
      </c>
      <c r="B23" s="64" t="s">
        <v>30</v>
      </c>
      <c r="C23" s="64" t="s">
        <v>73</v>
      </c>
      <c r="D23" s="64" t="s">
        <v>32</v>
      </c>
      <c r="E23" s="64" t="s">
        <v>33</v>
      </c>
      <c r="F23" s="63" t="s">
        <v>321</v>
      </c>
      <c r="G23" s="64" t="s">
        <v>67</v>
      </c>
      <c r="H23" s="63" t="s">
        <v>322</v>
      </c>
      <c r="I23" s="65">
        <v>46122</v>
      </c>
      <c r="J23" s="64">
        <f t="shared" ca="1" si="33"/>
        <v>62</v>
      </c>
      <c r="K23" s="64">
        <f t="shared" si="34"/>
        <v>46132</v>
      </c>
      <c r="L23" s="52" t="s">
        <v>737</v>
      </c>
      <c r="M23" s="64">
        <v>27000</v>
      </c>
      <c r="N23" s="64">
        <v>23000</v>
      </c>
      <c r="O23" s="65">
        <v>46123</v>
      </c>
      <c r="P23" s="64">
        <f t="shared" si="35"/>
        <v>4000</v>
      </c>
      <c r="Q23" s="64" t="s">
        <v>33</v>
      </c>
      <c r="R23" s="64" t="s">
        <v>64</v>
      </c>
      <c r="S23" s="64">
        <v>33000</v>
      </c>
      <c r="T23" s="64" t="s">
        <v>2075</v>
      </c>
      <c r="U23" s="65">
        <v>46132</v>
      </c>
      <c r="V23" s="64" t="s">
        <v>28</v>
      </c>
      <c r="W23" s="64">
        <f t="shared" si="36"/>
        <v>6000</v>
      </c>
      <c r="X23" s="64" t="s">
        <v>29</v>
      </c>
      <c r="Y23" s="64" t="s">
        <v>63</v>
      </c>
      <c r="Z23" s="64">
        <f t="shared" si="37"/>
        <v>22.222222222222221</v>
      </c>
      <c r="AA23" s="64"/>
      <c r="AB23" s="64" t="s">
        <v>320</v>
      </c>
    </row>
    <row r="24" spans="1:28">
      <c r="A24" s="64">
        <f>SUBTOTAL(3,C$2:C24)</f>
        <v>23</v>
      </c>
      <c r="B24" s="64" t="s">
        <v>30</v>
      </c>
      <c r="C24" s="64" t="s">
        <v>72</v>
      </c>
      <c r="D24" s="64" t="s">
        <v>32</v>
      </c>
      <c r="E24" s="64" t="s">
        <v>33</v>
      </c>
      <c r="F24" s="63" t="s">
        <v>69</v>
      </c>
      <c r="G24" s="64" t="s">
        <v>67</v>
      </c>
      <c r="H24" s="63" t="s">
        <v>323</v>
      </c>
      <c r="I24" s="65">
        <v>46122</v>
      </c>
      <c r="J24" s="64">
        <f t="shared" ca="1" si="33"/>
        <v>62</v>
      </c>
      <c r="K24" s="64">
        <f t="shared" si="34"/>
        <v>46132</v>
      </c>
      <c r="L24" s="64" t="s">
        <v>71</v>
      </c>
      <c r="M24" s="64">
        <v>19000</v>
      </c>
      <c r="N24" s="64">
        <v>15000</v>
      </c>
      <c r="O24" s="65">
        <v>46123</v>
      </c>
      <c r="P24" s="64">
        <f t="shared" si="35"/>
        <v>4000</v>
      </c>
      <c r="Q24" s="64" t="s">
        <v>33</v>
      </c>
      <c r="R24" s="64" t="s">
        <v>64</v>
      </c>
      <c r="S24" s="64">
        <v>20500</v>
      </c>
      <c r="T24" s="64" t="s">
        <v>2078</v>
      </c>
      <c r="U24" s="65">
        <v>46132</v>
      </c>
      <c r="V24" s="64" t="s">
        <v>28</v>
      </c>
      <c r="W24" s="64">
        <f t="shared" si="36"/>
        <v>1500</v>
      </c>
      <c r="X24" s="64" t="s">
        <v>29</v>
      </c>
      <c r="Y24" s="64" t="s">
        <v>63</v>
      </c>
      <c r="Z24" s="64">
        <f t="shared" si="37"/>
        <v>7.8947368421052628</v>
      </c>
      <c r="AA24" s="64"/>
      <c r="AB24" s="64" t="s">
        <v>320</v>
      </c>
    </row>
    <row r="25" spans="1:28">
      <c r="A25" s="64">
        <f>SUBTOTAL(3,C$2:C25)</f>
        <v>24</v>
      </c>
      <c r="B25" s="64" t="s">
        <v>30</v>
      </c>
      <c r="C25" s="64" t="s">
        <v>73</v>
      </c>
      <c r="D25" s="64" t="s">
        <v>32</v>
      </c>
      <c r="E25" s="64" t="s">
        <v>33</v>
      </c>
      <c r="F25" s="63" t="s">
        <v>366</v>
      </c>
      <c r="G25" s="64" t="s">
        <v>67</v>
      </c>
      <c r="H25" s="63" t="s">
        <v>367</v>
      </c>
      <c r="I25" s="65">
        <v>46123</v>
      </c>
      <c r="J25" s="64">
        <f t="shared" ref="J25:J27" ca="1" si="38">+TODAY()-I25</f>
        <v>61</v>
      </c>
      <c r="K25" s="64">
        <f t="shared" ref="K25:K27" si="39">+U25</f>
        <v>46132</v>
      </c>
      <c r="L25" s="52" t="s">
        <v>737</v>
      </c>
      <c r="M25" s="64">
        <v>27000</v>
      </c>
      <c r="N25" s="64">
        <v>23000</v>
      </c>
      <c r="O25" s="65">
        <v>46124</v>
      </c>
      <c r="P25" s="64">
        <f t="shared" ref="P25:P27" si="40">+M25-N25</f>
        <v>4000</v>
      </c>
      <c r="Q25" s="64" t="s">
        <v>33</v>
      </c>
      <c r="R25" s="64" t="s">
        <v>64</v>
      </c>
      <c r="S25" s="64">
        <v>33000</v>
      </c>
      <c r="T25" s="64" t="s">
        <v>2075</v>
      </c>
      <c r="U25" s="65">
        <v>46132</v>
      </c>
      <c r="V25" s="64" t="s">
        <v>28</v>
      </c>
      <c r="W25" s="64">
        <f t="shared" ref="W25:W27" si="41">+S25-M25</f>
        <v>6000</v>
      </c>
      <c r="X25" s="64" t="s">
        <v>29</v>
      </c>
      <c r="Y25" s="64" t="s">
        <v>63</v>
      </c>
      <c r="Z25" s="64">
        <f t="shared" ref="Z25:Z27" si="42">+W25*100/M25</f>
        <v>22.222222222222221</v>
      </c>
      <c r="AA25" s="64"/>
      <c r="AB25" s="64" t="s">
        <v>320</v>
      </c>
    </row>
    <row r="26" spans="1:28">
      <c r="A26" s="64">
        <f>SUBTOTAL(3,C$2:C26)</f>
        <v>25</v>
      </c>
      <c r="B26" s="64" t="s">
        <v>30</v>
      </c>
      <c r="C26" s="64" t="s">
        <v>73</v>
      </c>
      <c r="D26" s="64" t="s">
        <v>32</v>
      </c>
      <c r="E26" s="64" t="s">
        <v>33</v>
      </c>
      <c r="F26" s="63" t="s">
        <v>369</v>
      </c>
      <c r="G26" s="64" t="s">
        <v>67</v>
      </c>
      <c r="H26" s="63" t="s">
        <v>370</v>
      </c>
      <c r="I26" s="65">
        <v>46124</v>
      </c>
      <c r="J26" s="64">
        <f t="shared" ca="1" si="38"/>
        <v>60</v>
      </c>
      <c r="K26" s="64">
        <f t="shared" si="39"/>
        <v>46132</v>
      </c>
      <c r="L26" s="52" t="s">
        <v>737</v>
      </c>
      <c r="M26" s="64">
        <v>33000</v>
      </c>
      <c r="N26" s="64">
        <v>29000</v>
      </c>
      <c r="O26" s="65">
        <v>46124</v>
      </c>
      <c r="P26" s="64">
        <f t="shared" si="40"/>
        <v>4000</v>
      </c>
      <c r="Q26" s="64" t="s">
        <v>33</v>
      </c>
      <c r="R26" s="64" t="s">
        <v>64</v>
      </c>
      <c r="S26" s="64">
        <v>33000</v>
      </c>
      <c r="T26" s="64" t="s">
        <v>2075</v>
      </c>
      <c r="U26" s="65">
        <v>46132</v>
      </c>
      <c r="V26" s="64" t="s">
        <v>28</v>
      </c>
      <c r="W26" s="64">
        <f t="shared" si="41"/>
        <v>0</v>
      </c>
      <c r="X26" s="64" t="s">
        <v>29</v>
      </c>
      <c r="Y26" s="64" t="s">
        <v>63</v>
      </c>
      <c r="Z26" s="64">
        <f t="shared" si="42"/>
        <v>0</v>
      </c>
      <c r="AA26" s="64"/>
      <c r="AB26" s="64" t="s">
        <v>320</v>
      </c>
    </row>
    <row r="27" spans="1:28">
      <c r="A27" s="64">
        <f>SUBTOTAL(3,C$2:C27)</f>
        <v>26</v>
      </c>
      <c r="B27" s="64" t="s">
        <v>30</v>
      </c>
      <c r="C27" s="64" t="s">
        <v>65</v>
      </c>
      <c r="D27" s="64" t="s">
        <v>32</v>
      </c>
      <c r="E27" s="64" t="s">
        <v>33</v>
      </c>
      <c r="F27" s="63" t="s">
        <v>260</v>
      </c>
      <c r="G27" s="64" t="s">
        <v>67</v>
      </c>
      <c r="H27" s="63" t="s">
        <v>368</v>
      </c>
      <c r="I27" s="65">
        <v>46124</v>
      </c>
      <c r="J27" s="64">
        <f t="shared" ca="1" si="38"/>
        <v>60</v>
      </c>
      <c r="K27" s="64">
        <f t="shared" si="39"/>
        <v>46132</v>
      </c>
      <c r="L27" s="52" t="s">
        <v>737</v>
      </c>
      <c r="M27" s="64">
        <v>27000</v>
      </c>
      <c r="N27" s="64">
        <v>20000</v>
      </c>
      <c r="O27" s="65">
        <v>46124</v>
      </c>
      <c r="P27" s="64">
        <f t="shared" si="40"/>
        <v>7000</v>
      </c>
      <c r="Q27" s="64" t="s">
        <v>33</v>
      </c>
      <c r="R27" s="64" t="s">
        <v>64</v>
      </c>
      <c r="S27" s="64">
        <v>33000</v>
      </c>
      <c r="T27" s="64" t="s">
        <v>2075</v>
      </c>
      <c r="U27" s="65">
        <v>46132</v>
      </c>
      <c r="V27" s="64" t="s">
        <v>28</v>
      </c>
      <c r="W27" s="64">
        <f t="shared" si="41"/>
        <v>6000</v>
      </c>
      <c r="X27" s="64" t="s">
        <v>29</v>
      </c>
      <c r="Y27" s="64" t="s">
        <v>63</v>
      </c>
      <c r="Z27" s="64">
        <f t="shared" si="42"/>
        <v>22.222222222222221</v>
      </c>
      <c r="AA27" s="64"/>
      <c r="AB27" s="64"/>
    </row>
    <row r="28" spans="1:28">
      <c r="A28" s="64">
        <f>SUBTOTAL(3,C$2:C28)</f>
        <v>27</v>
      </c>
      <c r="B28" s="64" t="s">
        <v>30</v>
      </c>
      <c r="C28" s="64" t="s">
        <v>73</v>
      </c>
      <c r="D28" s="64" t="s">
        <v>32</v>
      </c>
      <c r="E28" s="64" t="s">
        <v>33</v>
      </c>
      <c r="F28" s="52" t="s">
        <v>371</v>
      </c>
      <c r="G28" s="64" t="s">
        <v>67</v>
      </c>
      <c r="H28" s="52" t="s">
        <v>372</v>
      </c>
      <c r="I28" s="65">
        <v>46125</v>
      </c>
      <c r="J28" s="64">
        <f t="shared" ref="J28:J30" ca="1" si="43">+TODAY()-I28</f>
        <v>59</v>
      </c>
      <c r="K28" s="64">
        <f t="shared" ref="K28:K30" si="44">+U28</f>
        <v>46132</v>
      </c>
      <c r="L28" s="52" t="s">
        <v>737</v>
      </c>
      <c r="M28" s="64">
        <v>32000</v>
      </c>
      <c r="N28" s="64">
        <v>28000</v>
      </c>
      <c r="O28" s="65">
        <v>46125</v>
      </c>
      <c r="P28" s="64">
        <f t="shared" ref="P28:P30" si="45">+M28-N28</f>
        <v>4000</v>
      </c>
      <c r="Q28" s="64" t="s">
        <v>33</v>
      </c>
      <c r="R28" s="64" t="s">
        <v>64</v>
      </c>
      <c r="S28" s="64">
        <v>33000</v>
      </c>
      <c r="T28" s="64" t="s">
        <v>2075</v>
      </c>
      <c r="U28" s="65">
        <v>46132</v>
      </c>
      <c r="V28" s="64" t="s">
        <v>28</v>
      </c>
      <c r="W28" s="64">
        <f t="shared" ref="W28:W30" si="46">+S28-M28</f>
        <v>1000</v>
      </c>
      <c r="X28" s="64" t="s">
        <v>29</v>
      </c>
      <c r="Y28" s="64" t="s">
        <v>63</v>
      </c>
      <c r="Z28" s="64">
        <f t="shared" ref="Z28:Z30" si="47">+W28*100/M28</f>
        <v>3.125</v>
      </c>
      <c r="AA28" s="64"/>
      <c r="AB28" s="64" t="s">
        <v>320</v>
      </c>
    </row>
    <row r="29" spans="1:28">
      <c r="A29" s="64">
        <f>SUBTOTAL(3,C$2:C29)</f>
        <v>28</v>
      </c>
      <c r="B29" s="64" t="s">
        <v>30</v>
      </c>
      <c r="C29" s="64" t="s">
        <v>72</v>
      </c>
      <c r="D29" s="64" t="s">
        <v>32</v>
      </c>
      <c r="E29" s="64" t="s">
        <v>33</v>
      </c>
      <c r="F29" s="63" t="s">
        <v>69</v>
      </c>
      <c r="G29" s="64" t="s">
        <v>67</v>
      </c>
      <c r="H29" s="63" t="s">
        <v>423</v>
      </c>
      <c r="I29" s="65">
        <v>46126</v>
      </c>
      <c r="J29" s="64">
        <f t="shared" ca="1" si="43"/>
        <v>58</v>
      </c>
      <c r="K29" s="64">
        <f t="shared" si="44"/>
        <v>46132</v>
      </c>
      <c r="L29" s="64" t="s">
        <v>737</v>
      </c>
      <c r="M29" s="64">
        <v>27000</v>
      </c>
      <c r="N29" s="64">
        <v>20000</v>
      </c>
      <c r="O29" s="65">
        <v>46127</v>
      </c>
      <c r="P29" s="64">
        <f t="shared" si="45"/>
        <v>7000</v>
      </c>
      <c r="Q29" s="64" t="s">
        <v>33</v>
      </c>
      <c r="R29" s="64" t="s">
        <v>64</v>
      </c>
      <c r="S29" s="64">
        <v>33000</v>
      </c>
      <c r="T29" s="64" t="s">
        <v>2075</v>
      </c>
      <c r="U29" s="65">
        <v>46132</v>
      </c>
      <c r="V29" s="64" t="s">
        <v>28</v>
      </c>
      <c r="W29" s="64">
        <f t="shared" si="46"/>
        <v>6000</v>
      </c>
      <c r="X29" s="64" t="s">
        <v>29</v>
      </c>
      <c r="Y29" s="64" t="s">
        <v>63</v>
      </c>
      <c r="Z29" s="64">
        <f t="shared" si="47"/>
        <v>22.222222222222221</v>
      </c>
      <c r="AA29" s="64"/>
      <c r="AB29" s="64" t="s">
        <v>320</v>
      </c>
    </row>
    <row r="30" spans="1:28">
      <c r="A30" s="64">
        <f>SUBTOTAL(3,C$2:C30)</f>
        <v>29</v>
      </c>
      <c r="B30" s="64" t="s">
        <v>30</v>
      </c>
      <c r="C30" s="64" t="s">
        <v>100</v>
      </c>
      <c r="D30" s="64" t="s">
        <v>32</v>
      </c>
      <c r="E30" s="64" t="s">
        <v>33</v>
      </c>
      <c r="F30" s="63" t="s">
        <v>293</v>
      </c>
      <c r="G30" s="64" t="s">
        <v>67</v>
      </c>
      <c r="H30" s="63" t="s">
        <v>462</v>
      </c>
      <c r="I30" s="65">
        <v>46127</v>
      </c>
      <c r="J30" s="64">
        <f t="shared" ca="1" si="43"/>
        <v>57</v>
      </c>
      <c r="K30" s="64">
        <f t="shared" si="44"/>
        <v>46132</v>
      </c>
      <c r="L30" s="52" t="s">
        <v>737</v>
      </c>
      <c r="M30" s="64">
        <v>27000</v>
      </c>
      <c r="N30" s="64">
        <v>20000</v>
      </c>
      <c r="O30" s="65">
        <v>46128</v>
      </c>
      <c r="P30" s="64">
        <f t="shared" si="45"/>
        <v>7000</v>
      </c>
      <c r="Q30" s="64" t="s">
        <v>33</v>
      </c>
      <c r="R30" s="64" t="s">
        <v>64</v>
      </c>
      <c r="S30" s="64">
        <v>33000</v>
      </c>
      <c r="T30" s="64" t="s">
        <v>2075</v>
      </c>
      <c r="U30" s="65">
        <v>46132</v>
      </c>
      <c r="V30" s="64" t="s">
        <v>28</v>
      </c>
      <c r="W30" s="64">
        <f t="shared" si="46"/>
        <v>6000</v>
      </c>
      <c r="X30" s="64" t="s">
        <v>29</v>
      </c>
      <c r="Y30" s="64" t="s">
        <v>63</v>
      </c>
      <c r="Z30" s="64">
        <f t="shared" si="47"/>
        <v>22.222222222222221</v>
      </c>
      <c r="AA30" s="64"/>
      <c r="AB30" s="64" t="s">
        <v>320</v>
      </c>
    </row>
    <row r="31" spans="1:28">
      <c r="A31" s="64">
        <f>SUBTOTAL(3,C$2:C31)</f>
        <v>30</v>
      </c>
      <c r="B31" s="64" t="s">
        <v>30</v>
      </c>
      <c r="C31" s="64" t="s">
        <v>100</v>
      </c>
      <c r="D31" s="64" t="s">
        <v>32</v>
      </c>
      <c r="E31" s="64" t="s">
        <v>33</v>
      </c>
      <c r="F31" s="63" t="s">
        <v>291</v>
      </c>
      <c r="G31" s="64" t="s">
        <v>67</v>
      </c>
      <c r="H31" s="63" t="s">
        <v>463</v>
      </c>
      <c r="I31" s="65">
        <v>46128</v>
      </c>
      <c r="J31" s="64">
        <f t="shared" ref="J31:J33" ca="1" si="48">+TODAY()-I31</f>
        <v>56</v>
      </c>
      <c r="K31" s="64">
        <f t="shared" ref="K31:K33" si="49">+U31</f>
        <v>46146</v>
      </c>
      <c r="L31" s="52" t="s">
        <v>737</v>
      </c>
      <c r="M31" s="64">
        <v>27000</v>
      </c>
      <c r="N31" s="64">
        <v>20000</v>
      </c>
      <c r="O31" s="65">
        <v>46128</v>
      </c>
      <c r="P31" s="64">
        <f t="shared" ref="P31:P33" si="50">+M31-N31</f>
        <v>7000</v>
      </c>
      <c r="Q31" s="64" t="s">
        <v>33</v>
      </c>
      <c r="R31" s="64" t="s">
        <v>64</v>
      </c>
      <c r="S31" s="64">
        <v>33000</v>
      </c>
      <c r="T31" s="64" t="s">
        <v>2077</v>
      </c>
      <c r="U31" s="65">
        <v>46146</v>
      </c>
      <c r="V31" s="64" t="s">
        <v>28</v>
      </c>
      <c r="W31" s="64">
        <f t="shared" ref="W31:W33" si="51">+S31-M31</f>
        <v>6000</v>
      </c>
      <c r="X31" s="64" t="s">
        <v>29</v>
      </c>
      <c r="Y31" s="64" t="s">
        <v>63</v>
      </c>
      <c r="Z31" s="64">
        <f t="shared" ref="Z31:Z33" si="52">+W31*100/M31</f>
        <v>22.222222222222221</v>
      </c>
      <c r="AA31" s="64"/>
      <c r="AB31" s="64" t="s">
        <v>320</v>
      </c>
    </row>
    <row r="32" spans="1:28">
      <c r="A32" s="64">
        <f>SUBTOTAL(3,C$2:C32)</f>
        <v>31</v>
      </c>
      <c r="B32" s="64" t="s">
        <v>30</v>
      </c>
      <c r="C32" s="64" t="s">
        <v>72</v>
      </c>
      <c r="D32" s="64" t="s">
        <v>32</v>
      </c>
      <c r="E32" s="64" t="s">
        <v>33</v>
      </c>
      <c r="F32" s="63" t="s">
        <v>69</v>
      </c>
      <c r="G32" s="64" t="s">
        <v>67</v>
      </c>
      <c r="H32" s="63" t="s">
        <v>464</v>
      </c>
      <c r="I32" s="65">
        <v>46128</v>
      </c>
      <c r="J32" s="64">
        <f t="shared" ca="1" si="48"/>
        <v>56</v>
      </c>
      <c r="K32" s="64">
        <f t="shared" si="49"/>
        <v>46146</v>
      </c>
      <c r="L32" s="64" t="s">
        <v>71</v>
      </c>
      <c r="M32" s="64">
        <v>19000</v>
      </c>
      <c r="N32" s="64">
        <v>15000</v>
      </c>
      <c r="O32" s="65">
        <v>46128</v>
      </c>
      <c r="P32" s="64">
        <f t="shared" si="50"/>
        <v>4000</v>
      </c>
      <c r="Q32" s="64" t="s">
        <v>33</v>
      </c>
      <c r="R32" s="64" t="s">
        <v>64</v>
      </c>
      <c r="S32" s="64">
        <v>20500</v>
      </c>
      <c r="T32" s="64" t="s">
        <v>2079</v>
      </c>
      <c r="U32" s="65">
        <v>46146</v>
      </c>
      <c r="V32" s="64" t="s">
        <v>28</v>
      </c>
      <c r="W32" s="64">
        <f t="shared" si="51"/>
        <v>1500</v>
      </c>
      <c r="X32" s="64" t="s">
        <v>29</v>
      </c>
      <c r="Y32" s="64" t="s">
        <v>63</v>
      </c>
      <c r="Z32" s="64">
        <f t="shared" si="52"/>
        <v>7.8947368421052628</v>
      </c>
      <c r="AA32" s="64"/>
      <c r="AB32" s="64" t="s">
        <v>320</v>
      </c>
    </row>
    <row r="33" spans="1:28">
      <c r="A33" s="64">
        <f>SUBTOTAL(3,C$2:C33)</f>
        <v>32</v>
      </c>
      <c r="B33" s="64" t="s">
        <v>30</v>
      </c>
      <c r="C33" s="64" t="s">
        <v>73</v>
      </c>
      <c r="D33" s="64" t="s">
        <v>32</v>
      </c>
      <c r="E33" s="64" t="s">
        <v>33</v>
      </c>
      <c r="F33" s="63" t="s">
        <v>321</v>
      </c>
      <c r="G33" s="64" t="s">
        <v>67</v>
      </c>
      <c r="H33" s="63" t="s">
        <v>509</v>
      </c>
      <c r="I33" s="65">
        <v>46129</v>
      </c>
      <c r="J33" s="64">
        <f t="shared" ca="1" si="48"/>
        <v>55</v>
      </c>
      <c r="K33" s="64">
        <f t="shared" si="49"/>
        <v>46146</v>
      </c>
      <c r="L33" s="52" t="s">
        <v>737</v>
      </c>
      <c r="M33" s="64">
        <v>27000</v>
      </c>
      <c r="N33" s="64">
        <v>20000</v>
      </c>
      <c r="O33" s="65">
        <v>46129</v>
      </c>
      <c r="P33" s="64">
        <f t="shared" si="50"/>
        <v>7000</v>
      </c>
      <c r="Q33" s="64" t="s">
        <v>33</v>
      </c>
      <c r="R33" s="64" t="s">
        <v>64</v>
      </c>
      <c r="S33" s="64">
        <v>33000</v>
      </c>
      <c r="T33" s="64" t="s">
        <v>2077</v>
      </c>
      <c r="U33" s="65">
        <v>46146</v>
      </c>
      <c r="V33" s="64" t="s">
        <v>28</v>
      </c>
      <c r="W33" s="64">
        <f t="shared" si="51"/>
        <v>6000</v>
      </c>
      <c r="X33" s="64" t="s">
        <v>29</v>
      </c>
      <c r="Y33" s="64" t="s">
        <v>63</v>
      </c>
      <c r="Z33" s="64">
        <f t="shared" si="52"/>
        <v>22.222222222222221</v>
      </c>
      <c r="AA33" s="64"/>
      <c r="AB33" s="64" t="s">
        <v>320</v>
      </c>
    </row>
    <row r="34" spans="1:28">
      <c r="A34" s="64">
        <f>SUBTOTAL(3,C$2:C34)</f>
        <v>33</v>
      </c>
      <c r="B34" s="64" t="s">
        <v>30</v>
      </c>
      <c r="C34" s="64" t="s">
        <v>551</v>
      </c>
      <c r="D34" s="64" t="s">
        <v>32</v>
      </c>
      <c r="E34" s="64" t="s">
        <v>33</v>
      </c>
      <c r="F34" s="63" t="s">
        <v>550</v>
      </c>
      <c r="G34" s="64" t="s">
        <v>67</v>
      </c>
      <c r="H34" s="63" t="s">
        <v>555</v>
      </c>
      <c r="I34" s="65">
        <v>46130</v>
      </c>
      <c r="J34" s="64">
        <f t="shared" ref="J34:J37" ca="1" si="53">+TODAY()-I34</f>
        <v>54</v>
      </c>
      <c r="K34" s="64">
        <f t="shared" ref="K34:K37" si="54">+U34</f>
        <v>46146</v>
      </c>
      <c r="L34" s="52" t="s">
        <v>737</v>
      </c>
      <c r="M34" s="64">
        <v>27000</v>
      </c>
      <c r="N34" s="64">
        <v>22000</v>
      </c>
      <c r="O34" s="65">
        <v>46130</v>
      </c>
      <c r="P34" s="64">
        <f t="shared" ref="P34:P37" si="55">+M34-N34</f>
        <v>5000</v>
      </c>
      <c r="Q34" s="64" t="s">
        <v>33</v>
      </c>
      <c r="R34" s="64" t="s">
        <v>64</v>
      </c>
      <c r="S34" s="64">
        <v>33000</v>
      </c>
      <c r="T34" s="64" t="s">
        <v>2077</v>
      </c>
      <c r="U34" s="65">
        <v>46146</v>
      </c>
      <c r="V34" s="64" t="s">
        <v>28</v>
      </c>
      <c r="W34" s="64">
        <f t="shared" ref="W34:W37" si="56">+S34-M34</f>
        <v>6000</v>
      </c>
      <c r="X34" s="64" t="s">
        <v>29</v>
      </c>
      <c r="Y34" s="64" t="s">
        <v>63</v>
      </c>
      <c r="Z34" s="64">
        <f t="shared" ref="Z34:Z37" si="57">+W34*100/M34</f>
        <v>22.222222222222221</v>
      </c>
      <c r="AA34" s="64"/>
      <c r="AB34" s="64" t="s">
        <v>320</v>
      </c>
    </row>
    <row r="35" spans="1:28">
      <c r="A35" s="64">
        <f>SUBTOTAL(3,C$2:C35)</f>
        <v>34</v>
      </c>
      <c r="B35" s="64" t="s">
        <v>30</v>
      </c>
      <c r="C35" s="64" t="s">
        <v>72</v>
      </c>
      <c r="D35" s="64" t="s">
        <v>32</v>
      </c>
      <c r="E35" s="64" t="s">
        <v>33</v>
      </c>
      <c r="F35" s="63" t="s">
        <v>69</v>
      </c>
      <c r="G35" s="64" t="s">
        <v>67</v>
      </c>
      <c r="H35" s="63" t="s">
        <v>552</v>
      </c>
      <c r="I35" s="65">
        <v>46130</v>
      </c>
      <c r="J35" s="64">
        <f t="shared" ca="1" si="53"/>
        <v>54</v>
      </c>
      <c r="K35" s="64">
        <f t="shared" si="54"/>
        <v>46146</v>
      </c>
      <c r="L35" s="52" t="s">
        <v>737</v>
      </c>
      <c r="M35" s="64">
        <v>27000</v>
      </c>
      <c r="N35" s="64">
        <v>20000</v>
      </c>
      <c r="O35" s="65">
        <v>46130</v>
      </c>
      <c r="P35" s="64">
        <f t="shared" si="55"/>
        <v>7000</v>
      </c>
      <c r="Q35" s="64" t="s">
        <v>33</v>
      </c>
      <c r="R35" s="64" t="s">
        <v>64</v>
      </c>
      <c r="S35" s="64">
        <v>33000</v>
      </c>
      <c r="T35" s="64" t="s">
        <v>2077</v>
      </c>
      <c r="U35" s="65">
        <v>46146</v>
      </c>
      <c r="V35" s="64" t="s">
        <v>28</v>
      </c>
      <c r="W35" s="64">
        <f t="shared" si="56"/>
        <v>6000</v>
      </c>
      <c r="X35" s="64" t="s">
        <v>29</v>
      </c>
      <c r="Y35" s="64" t="s">
        <v>63</v>
      </c>
      <c r="Z35" s="64">
        <f t="shared" si="57"/>
        <v>22.222222222222221</v>
      </c>
      <c r="AA35" s="64"/>
      <c r="AB35" s="64" t="s">
        <v>320</v>
      </c>
    </row>
    <row r="36" spans="1:28">
      <c r="A36" s="64">
        <f>SUBTOTAL(3,C$2:C36)</f>
        <v>35</v>
      </c>
      <c r="B36" s="64" t="s">
        <v>30</v>
      </c>
      <c r="C36" s="64" t="s">
        <v>73</v>
      </c>
      <c r="D36" s="64" t="s">
        <v>32</v>
      </c>
      <c r="E36" s="64" t="s">
        <v>33</v>
      </c>
      <c r="F36" s="63" t="s">
        <v>553</v>
      </c>
      <c r="G36" s="64" t="s">
        <v>67</v>
      </c>
      <c r="H36" s="63" t="s">
        <v>554</v>
      </c>
      <c r="I36" s="65">
        <v>46129</v>
      </c>
      <c r="J36" s="64">
        <f t="shared" ca="1" si="53"/>
        <v>55</v>
      </c>
      <c r="K36" s="64">
        <f t="shared" si="54"/>
        <v>46146</v>
      </c>
      <c r="L36" s="64" t="s">
        <v>71</v>
      </c>
      <c r="M36" s="64">
        <v>19000</v>
      </c>
      <c r="N36" s="64">
        <v>15000</v>
      </c>
      <c r="O36" s="65">
        <v>46132</v>
      </c>
      <c r="P36" s="64">
        <f t="shared" si="55"/>
        <v>4000</v>
      </c>
      <c r="Q36" s="64" t="s">
        <v>33</v>
      </c>
      <c r="R36" s="64" t="s">
        <v>64</v>
      </c>
      <c r="S36" s="64">
        <v>20500</v>
      </c>
      <c r="T36" s="64" t="s">
        <v>2079</v>
      </c>
      <c r="U36" s="65">
        <v>46146</v>
      </c>
      <c r="V36" s="64" t="s">
        <v>28</v>
      </c>
      <c r="W36" s="64">
        <f t="shared" si="56"/>
        <v>1500</v>
      </c>
      <c r="X36" s="64" t="s">
        <v>29</v>
      </c>
      <c r="Y36" s="64" t="s">
        <v>63</v>
      </c>
      <c r="Z36" s="64">
        <f t="shared" si="57"/>
        <v>7.8947368421052628</v>
      </c>
      <c r="AA36" s="64"/>
      <c r="AB36" s="64" t="s">
        <v>320</v>
      </c>
    </row>
    <row r="37" spans="1:28">
      <c r="A37" s="64">
        <f>SUBTOTAL(3,C$2:C37)</f>
        <v>36</v>
      </c>
      <c r="B37" s="64" t="s">
        <v>30</v>
      </c>
      <c r="C37" s="64" t="s">
        <v>65</v>
      </c>
      <c r="D37" s="64" t="s">
        <v>32</v>
      </c>
      <c r="E37" s="64" t="s">
        <v>33</v>
      </c>
      <c r="F37" s="63" t="s">
        <v>556</v>
      </c>
      <c r="G37" s="64" t="s">
        <v>67</v>
      </c>
      <c r="H37" s="63" t="s">
        <v>557</v>
      </c>
      <c r="I37" s="65">
        <v>46131</v>
      </c>
      <c r="J37" s="64">
        <f t="shared" ca="1" si="53"/>
        <v>53</v>
      </c>
      <c r="K37" s="64">
        <f t="shared" si="54"/>
        <v>46146</v>
      </c>
      <c r="L37" s="52" t="s">
        <v>737</v>
      </c>
      <c r="M37" s="64">
        <v>27000</v>
      </c>
      <c r="N37" s="64">
        <v>20000</v>
      </c>
      <c r="O37" s="65">
        <v>46132</v>
      </c>
      <c r="P37" s="64">
        <f t="shared" si="55"/>
        <v>7000</v>
      </c>
      <c r="Q37" s="64" t="s">
        <v>33</v>
      </c>
      <c r="R37" s="64" t="s">
        <v>64</v>
      </c>
      <c r="S37" s="64">
        <v>33000</v>
      </c>
      <c r="T37" s="64" t="s">
        <v>2077</v>
      </c>
      <c r="U37" s="65">
        <v>46146</v>
      </c>
      <c r="V37" s="64" t="s">
        <v>28</v>
      </c>
      <c r="W37" s="64">
        <f t="shared" si="56"/>
        <v>6000</v>
      </c>
      <c r="X37" s="64" t="s">
        <v>29</v>
      </c>
      <c r="Y37" s="64" t="s">
        <v>63</v>
      </c>
      <c r="Z37" s="64">
        <f t="shared" si="57"/>
        <v>22.222222222222221</v>
      </c>
      <c r="AA37" s="64"/>
      <c r="AB37" s="64"/>
    </row>
    <row r="38" spans="1:28">
      <c r="A38" s="64">
        <f>SUBTOTAL(3,C$2:C38)</f>
        <v>37</v>
      </c>
      <c r="B38" s="64" t="s">
        <v>30</v>
      </c>
      <c r="C38" s="64" t="s">
        <v>72</v>
      </c>
      <c r="D38" s="64" t="s">
        <v>32</v>
      </c>
      <c r="E38" s="64" t="s">
        <v>33</v>
      </c>
      <c r="F38" s="63" t="s">
        <v>69</v>
      </c>
      <c r="G38" s="64" t="s">
        <v>67</v>
      </c>
      <c r="H38" s="63" t="s">
        <v>625</v>
      </c>
      <c r="I38" s="65">
        <v>46132</v>
      </c>
      <c r="J38" s="64">
        <f t="shared" ref="J38:J39" ca="1" si="58">+TODAY()-I38</f>
        <v>52</v>
      </c>
      <c r="K38" s="64">
        <f t="shared" ref="K38:K39" si="59">+U38</f>
        <v>46146</v>
      </c>
      <c r="L38" s="64" t="s">
        <v>71</v>
      </c>
      <c r="M38" s="64">
        <v>19000</v>
      </c>
      <c r="N38" s="64">
        <v>15000</v>
      </c>
      <c r="O38" s="65">
        <v>46133</v>
      </c>
      <c r="P38" s="64">
        <f t="shared" ref="P38:P39" si="60">+M38-N38</f>
        <v>4000</v>
      </c>
      <c r="Q38" s="64" t="s">
        <v>33</v>
      </c>
      <c r="R38" s="64" t="s">
        <v>64</v>
      </c>
      <c r="S38" s="64">
        <v>20500</v>
      </c>
      <c r="T38" s="64" t="s">
        <v>2079</v>
      </c>
      <c r="U38" s="65">
        <v>46146</v>
      </c>
      <c r="V38" s="64" t="s">
        <v>28</v>
      </c>
      <c r="W38" s="64">
        <f t="shared" ref="W38:W39" si="61">+S38-M38</f>
        <v>1500</v>
      </c>
      <c r="X38" s="64" t="s">
        <v>29</v>
      </c>
      <c r="Y38" s="64" t="s">
        <v>63</v>
      </c>
      <c r="Z38" s="64">
        <f t="shared" ref="Z38:Z39" si="62">+W38*100/M38</f>
        <v>7.8947368421052628</v>
      </c>
      <c r="AA38" s="64"/>
      <c r="AB38" s="64" t="s">
        <v>320</v>
      </c>
    </row>
    <row r="39" spans="1:28">
      <c r="A39" s="64">
        <f>SUBTOTAL(3,C$2:C39)</f>
        <v>38</v>
      </c>
      <c r="B39" s="64" t="s">
        <v>30</v>
      </c>
      <c r="C39" s="64" t="s">
        <v>65</v>
      </c>
      <c r="D39" s="64" t="s">
        <v>32</v>
      </c>
      <c r="E39" s="64" t="s">
        <v>33</v>
      </c>
      <c r="F39" s="63" t="s">
        <v>66</v>
      </c>
      <c r="G39" s="64" t="s">
        <v>67</v>
      </c>
      <c r="H39" s="63" t="s">
        <v>626</v>
      </c>
      <c r="I39" s="65">
        <v>46132</v>
      </c>
      <c r="J39" s="64">
        <f t="shared" ca="1" si="58"/>
        <v>52</v>
      </c>
      <c r="K39" s="64">
        <f t="shared" si="59"/>
        <v>46146</v>
      </c>
      <c r="L39" s="52" t="s">
        <v>737</v>
      </c>
      <c r="M39" s="64">
        <v>27000</v>
      </c>
      <c r="N39" s="64">
        <v>20000</v>
      </c>
      <c r="O39" s="65">
        <v>46133</v>
      </c>
      <c r="P39" s="64">
        <f t="shared" si="60"/>
        <v>7000</v>
      </c>
      <c r="Q39" s="64" t="s">
        <v>33</v>
      </c>
      <c r="R39" s="64" t="s">
        <v>64</v>
      </c>
      <c r="S39" s="64">
        <v>33000</v>
      </c>
      <c r="T39" s="64" t="s">
        <v>2077</v>
      </c>
      <c r="U39" s="65">
        <v>46146</v>
      </c>
      <c r="V39" s="64" t="s">
        <v>28</v>
      </c>
      <c r="W39" s="64">
        <f t="shared" si="61"/>
        <v>6000</v>
      </c>
      <c r="X39" s="64" t="s">
        <v>29</v>
      </c>
      <c r="Y39" s="64" t="s">
        <v>63</v>
      </c>
      <c r="Z39" s="64">
        <f t="shared" si="62"/>
        <v>22.222222222222221</v>
      </c>
      <c r="AA39" s="64"/>
      <c r="AB39" s="64"/>
    </row>
    <row r="40" spans="1:28">
      <c r="A40" s="64">
        <f>SUBTOTAL(3,C$2:C40)</f>
        <v>39</v>
      </c>
      <c r="B40" s="64" t="s">
        <v>30</v>
      </c>
      <c r="C40" s="64" t="s">
        <v>655</v>
      </c>
      <c r="D40" s="64" t="s">
        <v>32</v>
      </c>
      <c r="E40" s="64" t="s">
        <v>33</v>
      </c>
      <c r="F40" s="63" t="s">
        <v>652</v>
      </c>
      <c r="G40" s="64" t="s">
        <v>67</v>
      </c>
      <c r="H40" s="63" t="s">
        <v>653</v>
      </c>
      <c r="I40" s="65">
        <v>46133</v>
      </c>
      <c r="J40" s="64">
        <f t="shared" ref="J40:J44" ca="1" si="63">+TODAY()-I40</f>
        <v>51</v>
      </c>
      <c r="K40" s="64">
        <f t="shared" ref="K40:K44" si="64">+U40</f>
        <v>46140</v>
      </c>
      <c r="L40" s="64" t="s">
        <v>654</v>
      </c>
      <c r="M40" s="64">
        <v>32000</v>
      </c>
      <c r="N40" s="64">
        <v>27000</v>
      </c>
      <c r="O40" s="65">
        <v>46134</v>
      </c>
      <c r="P40" s="64">
        <f t="shared" ref="P40:P44" si="65">+M40-N40</f>
        <v>5000</v>
      </c>
      <c r="Q40" s="64" t="s">
        <v>33</v>
      </c>
      <c r="R40" s="64" t="s">
        <v>657</v>
      </c>
      <c r="S40" s="64">
        <v>40200</v>
      </c>
      <c r="T40" s="64" t="s">
        <v>2080</v>
      </c>
      <c r="U40" s="65">
        <v>46140</v>
      </c>
      <c r="V40" s="64" t="s">
        <v>28</v>
      </c>
      <c r="W40" s="64">
        <f t="shared" ref="W40:W44" si="66">+S40-M40</f>
        <v>8200</v>
      </c>
      <c r="X40" s="64" t="s">
        <v>29</v>
      </c>
      <c r="Y40" s="64" t="s">
        <v>63</v>
      </c>
      <c r="Z40" s="64">
        <f t="shared" ref="Z40:Z44" si="67">+W40*100/M40</f>
        <v>25.625</v>
      </c>
      <c r="AA40" s="64"/>
      <c r="AB40" s="64"/>
    </row>
    <row r="41" spans="1:28">
      <c r="A41" s="64">
        <f>SUBTOTAL(3,C$2:C41)</f>
        <v>40</v>
      </c>
      <c r="B41" s="64" t="s">
        <v>30</v>
      </c>
      <c r="C41" s="64" t="s">
        <v>100</v>
      </c>
      <c r="D41" s="64" t="s">
        <v>32</v>
      </c>
      <c r="E41" s="64" t="s">
        <v>33</v>
      </c>
      <c r="F41" s="63" t="s">
        <v>291</v>
      </c>
      <c r="G41" s="64" t="s">
        <v>67</v>
      </c>
      <c r="H41" s="63" t="s">
        <v>656</v>
      </c>
      <c r="I41" s="65">
        <v>46133</v>
      </c>
      <c r="J41" s="64">
        <f t="shared" ca="1" si="63"/>
        <v>51</v>
      </c>
      <c r="K41" s="64">
        <f t="shared" si="64"/>
        <v>46146</v>
      </c>
      <c r="L41" s="52" t="s">
        <v>737</v>
      </c>
      <c r="M41" s="64">
        <v>27000</v>
      </c>
      <c r="N41" s="64">
        <v>20000</v>
      </c>
      <c r="O41" s="65">
        <v>46134</v>
      </c>
      <c r="P41" s="64">
        <f t="shared" si="65"/>
        <v>7000</v>
      </c>
      <c r="Q41" s="64" t="s">
        <v>33</v>
      </c>
      <c r="R41" s="64" t="s">
        <v>64</v>
      </c>
      <c r="S41" s="64">
        <v>33000</v>
      </c>
      <c r="T41" s="64" t="s">
        <v>2077</v>
      </c>
      <c r="U41" s="65">
        <v>46146</v>
      </c>
      <c r="V41" s="64" t="s">
        <v>28</v>
      </c>
      <c r="W41" s="64">
        <f t="shared" si="66"/>
        <v>6000</v>
      </c>
      <c r="X41" s="64" t="s">
        <v>29</v>
      </c>
      <c r="Y41" s="64" t="s">
        <v>63</v>
      </c>
      <c r="Z41" s="64">
        <f t="shared" si="67"/>
        <v>22.222222222222221</v>
      </c>
      <c r="AA41" s="64"/>
      <c r="AB41" s="64" t="s">
        <v>320</v>
      </c>
    </row>
    <row r="42" spans="1:28">
      <c r="A42" s="64">
        <f>SUBTOTAL(3,C$2:C42)</f>
        <v>41</v>
      </c>
      <c r="B42" s="64" t="s">
        <v>30</v>
      </c>
      <c r="C42" s="64" t="s">
        <v>72</v>
      </c>
      <c r="D42" s="64" t="s">
        <v>32</v>
      </c>
      <c r="E42" s="64" t="s">
        <v>33</v>
      </c>
      <c r="F42" s="63" t="s">
        <v>69</v>
      </c>
      <c r="G42" s="64" t="s">
        <v>67</v>
      </c>
      <c r="H42" s="63" t="s">
        <v>736</v>
      </c>
      <c r="I42" s="65">
        <v>46135</v>
      </c>
      <c r="J42" s="64">
        <f t="shared" ca="1" si="63"/>
        <v>49</v>
      </c>
      <c r="K42" s="64">
        <f t="shared" si="64"/>
        <v>46146</v>
      </c>
      <c r="L42" s="52" t="s">
        <v>737</v>
      </c>
      <c r="M42" s="64">
        <v>27000</v>
      </c>
      <c r="N42" s="64">
        <v>20000</v>
      </c>
      <c r="O42" s="65">
        <v>46135</v>
      </c>
      <c r="P42" s="64">
        <f t="shared" si="65"/>
        <v>7000</v>
      </c>
      <c r="Q42" s="64" t="s">
        <v>33</v>
      </c>
      <c r="R42" s="64" t="s">
        <v>64</v>
      </c>
      <c r="S42" s="64">
        <v>33000</v>
      </c>
      <c r="T42" s="64" t="s">
        <v>2077</v>
      </c>
      <c r="U42" s="65">
        <v>46146</v>
      </c>
      <c r="V42" s="64" t="s">
        <v>28</v>
      </c>
      <c r="W42" s="64">
        <f t="shared" si="66"/>
        <v>6000</v>
      </c>
      <c r="X42" s="64" t="s">
        <v>29</v>
      </c>
      <c r="Y42" s="64" t="s">
        <v>63</v>
      </c>
      <c r="Z42" s="64">
        <f t="shared" si="67"/>
        <v>22.222222222222221</v>
      </c>
      <c r="AA42" s="64"/>
      <c r="AB42" s="64" t="s">
        <v>320</v>
      </c>
    </row>
    <row r="43" spans="1:28" s="67" customFormat="1">
      <c r="A43" s="66">
        <f>SUBTOTAL(3,C$2:C43)</f>
        <v>42</v>
      </c>
      <c r="B43" s="66" t="s">
        <v>30</v>
      </c>
      <c r="C43" s="66" t="s">
        <v>767</v>
      </c>
      <c r="D43" s="66"/>
      <c r="E43" s="66" t="s">
        <v>33</v>
      </c>
      <c r="F43" s="67" t="s">
        <v>768</v>
      </c>
      <c r="G43" s="66" t="s">
        <v>59</v>
      </c>
      <c r="H43" s="67" t="s">
        <v>769</v>
      </c>
      <c r="I43" s="68">
        <v>46135</v>
      </c>
      <c r="J43" s="66">
        <f t="shared" ca="1" si="63"/>
        <v>49</v>
      </c>
      <c r="K43" s="66" t="str">
        <f t="shared" si="64"/>
        <v>Pending</v>
      </c>
      <c r="L43" s="66" t="s">
        <v>770</v>
      </c>
      <c r="M43" s="66">
        <v>14000</v>
      </c>
      <c r="N43" s="66">
        <v>14000</v>
      </c>
      <c r="O43" s="68">
        <v>46136</v>
      </c>
      <c r="P43" s="66">
        <f t="shared" si="65"/>
        <v>0</v>
      </c>
      <c r="Q43" s="66" t="s">
        <v>33</v>
      </c>
      <c r="R43" s="66" t="s">
        <v>771</v>
      </c>
      <c r="S43" s="66">
        <v>17000</v>
      </c>
      <c r="T43" s="66" t="s">
        <v>33</v>
      </c>
      <c r="U43" s="66" t="s">
        <v>33</v>
      </c>
      <c r="V43" s="66" t="s">
        <v>28</v>
      </c>
      <c r="W43" s="66">
        <f t="shared" si="66"/>
        <v>3000</v>
      </c>
      <c r="X43" s="66" t="s">
        <v>29</v>
      </c>
      <c r="Y43" s="66" t="s">
        <v>63</v>
      </c>
      <c r="Z43" s="66">
        <f t="shared" si="67"/>
        <v>21.428571428571427</v>
      </c>
      <c r="AA43" s="66"/>
      <c r="AB43" s="66" t="s">
        <v>320</v>
      </c>
    </row>
    <row r="44" spans="1:28">
      <c r="A44" s="64">
        <f>SUBTOTAL(3,C$2:C44)</f>
        <v>43</v>
      </c>
      <c r="B44" s="64" t="s">
        <v>30</v>
      </c>
      <c r="C44" s="64" t="s">
        <v>551</v>
      </c>
      <c r="D44" s="64" t="s">
        <v>32</v>
      </c>
      <c r="E44" s="64" t="s">
        <v>33</v>
      </c>
      <c r="F44" s="63" t="s">
        <v>550</v>
      </c>
      <c r="G44" s="64" t="s">
        <v>67</v>
      </c>
      <c r="H44" s="63" t="s">
        <v>765</v>
      </c>
      <c r="I44" s="65">
        <v>46136</v>
      </c>
      <c r="J44" s="64">
        <f t="shared" ca="1" si="63"/>
        <v>48</v>
      </c>
      <c r="K44" s="64">
        <f t="shared" si="64"/>
        <v>46146</v>
      </c>
      <c r="L44" s="52" t="s">
        <v>737</v>
      </c>
      <c r="M44" s="64">
        <v>27000</v>
      </c>
      <c r="N44" s="64">
        <v>23000</v>
      </c>
      <c r="O44" s="65">
        <v>46136</v>
      </c>
      <c r="P44" s="64">
        <f t="shared" si="65"/>
        <v>4000</v>
      </c>
      <c r="Q44" s="64" t="s">
        <v>33</v>
      </c>
      <c r="R44" s="64" t="s">
        <v>64</v>
      </c>
      <c r="S44" s="64">
        <v>33000</v>
      </c>
      <c r="T44" s="64" t="s">
        <v>2077</v>
      </c>
      <c r="U44" s="65">
        <v>46146</v>
      </c>
      <c r="V44" s="64" t="s">
        <v>28</v>
      </c>
      <c r="W44" s="64">
        <f t="shared" si="66"/>
        <v>6000</v>
      </c>
      <c r="X44" s="64" t="s">
        <v>29</v>
      </c>
      <c r="Y44" s="64" t="s">
        <v>63</v>
      </c>
      <c r="Z44" s="64">
        <f t="shared" si="67"/>
        <v>22.222222222222221</v>
      </c>
      <c r="AA44" s="64"/>
      <c r="AB44" s="64" t="s">
        <v>320</v>
      </c>
    </row>
    <row r="45" spans="1:28" s="67" customFormat="1">
      <c r="A45" s="66">
        <f>SUBTOTAL(3,C$2:C45)</f>
        <v>44</v>
      </c>
      <c r="B45" s="66" t="s">
        <v>30</v>
      </c>
      <c r="C45" s="66" t="s">
        <v>772</v>
      </c>
      <c r="D45" s="66"/>
      <c r="E45" s="66" t="s">
        <v>33</v>
      </c>
      <c r="F45" s="67" t="s">
        <v>773</v>
      </c>
      <c r="G45" s="66" t="s">
        <v>59</v>
      </c>
      <c r="H45" s="67" t="s">
        <v>774</v>
      </c>
      <c r="I45" s="68">
        <v>46136</v>
      </c>
      <c r="J45" s="66">
        <f t="shared" ref="J45:J48" ca="1" si="68">+TODAY()-I45</f>
        <v>48</v>
      </c>
      <c r="K45" s="66" t="str">
        <f t="shared" ref="K45:K48" si="69">+U45</f>
        <v>Pending</v>
      </c>
      <c r="L45" s="66" t="s">
        <v>775</v>
      </c>
      <c r="M45" s="66">
        <v>46000</v>
      </c>
      <c r="N45" s="66">
        <v>36800</v>
      </c>
      <c r="O45" s="68">
        <v>46137</v>
      </c>
      <c r="P45" s="66">
        <f t="shared" ref="P45:P48" si="70">+M45-N45</f>
        <v>9200</v>
      </c>
      <c r="Q45" s="66" t="s">
        <v>33</v>
      </c>
      <c r="R45" s="66" t="s">
        <v>771</v>
      </c>
      <c r="S45" s="66">
        <v>53000</v>
      </c>
      <c r="T45" s="66" t="s">
        <v>33</v>
      </c>
      <c r="U45" s="66" t="s">
        <v>33</v>
      </c>
      <c r="V45" s="66" t="s">
        <v>28</v>
      </c>
      <c r="W45" s="66">
        <f t="shared" ref="W45:W48" si="71">+S45-M45</f>
        <v>7000</v>
      </c>
      <c r="X45" s="66" t="s">
        <v>29</v>
      </c>
      <c r="Y45" s="66" t="s">
        <v>63</v>
      </c>
      <c r="Z45" s="66">
        <f t="shared" ref="Z45:Z48" si="72">+W45*100/M45</f>
        <v>15.217391304347826</v>
      </c>
      <c r="AA45" s="66"/>
      <c r="AB45" s="66" t="s">
        <v>320</v>
      </c>
    </row>
    <row r="46" spans="1:28">
      <c r="A46" s="64">
        <f>SUBTOTAL(3,C$2:C46)</f>
        <v>45</v>
      </c>
      <c r="B46" s="64" t="s">
        <v>30</v>
      </c>
      <c r="C46" s="64" t="s">
        <v>65</v>
      </c>
      <c r="D46" s="64" t="s">
        <v>32</v>
      </c>
      <c r="E46" s="64" t="s">
        <v>33</v>
      </c>
      <c r="F46" s="63" t="s">
        <v>66</v>
      </c>
      <c r="G46" s="64" t="s">
        <v>67</v>
      </c>
      <c r="H46" s="63" t="s">
        <v>788</v>
      </c>
      <c r="I46" s="65">
        <v>46137</v>
      </c>
      <c r="J46" s="64">
        <f t="shared" ca="1" si="68"/>
        <v>47</v>
      </c>
      <c r="K46" s="64">
        <f t="shared" si="69"/>
        <v>46146</v>
      </c>
      <c r="L46" s="52" t="s">
        <v>737</v>
      </c>
      <c r="M46" s="64">
        <v>27000</v>
      </c>
      <c r="N46" s="64">
        <v>20000</v>
      </c>
      <c r="O46" s="65">
        <v>46137</v>
      </c>
      <c r="P46" s="64">
        <f t="shared" si="70"/>
        <v>7000</v>
      </c>
      <c r="Q46" s="64" t="s">
        <v>33</v>
      </c>
      <c r="R46" s="64" t="s">
        <v>64</v>
      </c>
      <c r="S46" s="64">
        <v>33000</v>
      </c>
      <c r="T46" s="64" t="s">
        <v>2077</v>
      </c>
      <c r="U46" s="65">
        <v>46146</v>
      </c>
      <c r="V46" s="64" t="s">
        <v>28</v>
      </c>
      <c r="W46" s="64">
        <f t="shared" si="71"/>
        <v>6000</v>
      </c>
      <c r="X46" s="64" t="s">
        <v>29</v>
      </c>
      <c r="Y46" s="64" t="s">
        <v>63</v>
      </c>
      <c r="Z46" s="64">
        <f t="shared" si="72"/>
        <v>22.222222222222221</v>
      </c>
      <c r="AA46" s="64"/>
      <c r="AB46" s="64"/>
    </row>
    <row r="47" spans="1:28">
      <c r="A47" s="64">
        <f>SUBTOTAL(3,C$2:C47)</f>
        <v>46</v>
      </c>
      <c r="B47" s="64" t="s">
        <v>30</v>
      </c>
      <c r="C47" s="64" t="s">
        <v>72</v>
      </c>
      <c r="D47" s="64" t="s">
        <v>32</v>
      </c>
      <c r="E47" s="64" t="s">
        <v>33</v>
      </c>
      <c r="F47" s="63" t="s">
        <v>69</v>
      </c>
      <c r="G47" s="64" t="s">
        <v>67</v>
      </c>
      <c r="H47" s="63" t="s">
        <v>789</v>
      </c>
      <c r="I47" s="65">
        <v>46137</v>
      </c>
      <c r="J47" s="64">
        <f t="shared" ca="1" si="68"/>
        <v>47</v>
      </c>
      <c r="K47" s="64">
        <f t="shared" si="69"/>
        <v>46146</v>
      </c>
      <c r="L47" s="64" t="s">
        <v>71</v>
      </c>
      <c r="M47" s="64">
        <v>19000</v>
      </c>
      <c r="N47" s="64">
        <v>15000</v>
      </c>
      <c r="O47" s="65">
        <v>46137</v>
      </c>
      <c r="P47" s="64">
        <f t="shared" si="70"/>
        <v>4000</v>
      </c>
      <c r="Q47" s="64" t="s">
        <v>33</v>
      </c>
      <c r="R47" s="64" t="s">
        <v>64</v>
      </c>
      <c r="S47" s="64">
        <v>20500</v>
      </c>
      <c r="T47" s="64" t="s">
        <v>2079</v>
      </c>
      <c r="U47" s="65">
        <v>46146</v>
      </c>
      <c r="V47" s="64" t="s">
        <v>28</v>
      </c>
      <c r="W47" s="64">
        <f t="shared" si="71"/>
        <v>1500</v>
      </c>
      <c r="X47" s="64" t="s">
        <v>29</v>
      </c>
      <c r="Y47" s="64" t="s">
        <v>63</v>
      </c>
      <c r="Z47" s="64">
        <f t="shared" si="72"/>
        <v>7.8947368421052628</v>
      </c>
      <c r="AA47" s="64"/>
      <c r="AB47" s="64" t="s">
        <v>320</v>
      </c>
    </row>
    <row r="48" spans="1:28">
      <c r="A48" s="64">
        <f>SUBTOTAL(3,C$2:C48)</f>
        <v>47</v>
      </c>
      <c r="B48" s="64" t="s">
        <v>30</v>
      </c>
      <c r="C48" s="64" t="s">
        <v>100</v>
      </c>
      <c r="D48" s="64" t="s">
        <v>32</v>
      </c>
      <c r="E48" s="64" t="s">
        <v>33</v>
      </c>
      <c r="F48" s="63" t="s">
        <v>293</v>
      </c>
      <c r="G48" s="64" t="s">
        <v>67</v>
      </c>
      <c r="H48" s="63" t="s">
        <v>847</v>
      </c>
      <c r="I48" s="65">
        <v>46138</v>
      </c>
      <c r="J48" s="64">
        <f t="shared" ca="1" si="68"/>
        <v>46</v>
      </c>
      <c r="K48" s="64">
        <f t="shared" si="69"/>
        <v>46146</v>
      </c>
      <c r="L48" s="52" t="s">
        <v>737</v>
      </c>
      <c r="M48" s="64">
        <v>27000</v>
      </c>
      <c r="N48" s="64">
        <v>20000</v>
      </c>
      <c r="O48" s="65">
        <v>46139</v>
      </c>
      <c r="P48" s="64">
        <f t="shared" si="70"/>
        <v>7000</v>
      </c>
      <c r="Q48" s="64" t="s">
        <v>33</v>
      </c>
      <c r="R48" s="64" t="s">
        <v>64</v>
      </c>
      <c r="S48" s="64">
        <v>33000</v>
      </c>
      <c r="T48" s="64" t="s">
        <v>2077</v>
      </c>
      <c r="U48" s="65">
        <v>46146</v>
      </c>
      <c r="V48" s="64" t="s">
        <v>28</v>
      </c>
      <c r="W48" s="64">
        <f t="shared" si="71"/>
        <v>6000</v>
      </c>
      <c r="X48" s="64" t="s">
        <v>29</v>
      </c>
      <c r="Y48" s="64" t="s">
        <v>63</v>
      </c>
      <c r="Z48" s="64">
        <f t="shared" si="72"/>
        <v>22.222222222222221</v>
      </c>
      <c r="AA48" s="64"/>
      <c r="AB48" s="64" t="s">
        <v>320</v>
      </c>
    </row>
    <row r="49" spans="1:28">
      <c r="A49" s="64">
        <f>SUBTOTAL(3,C$2:C49)</f>
        <v>48</v>
      </c>
      <c r="B49" s="64" t="s">
        <v>30</v>
      </c>
      <c r="C49" s="64" t="s">
        <v>72</v>
      </c>
      <c r="D49" s="64" t="s">
        <v>32</v>
      </c>
      <c r="E49" s="64" t="s">
        <v>33</v>
      </c>
      <c r="F49" s="63" t="s">
        <v>69</v>
      </c>
      <c r="G49" s="64" t="s">
        <v>67</v>
      </c>
      <c r="H49" s="63" t="s">
        <v>883</v>
      </c>
      <c r="I49" s="65">
        <v>46139</v>
      </c>
      <c r="J49" s="64">
        <f t="shared" ref="J49:J53" ca="1" si="73">+TODAY()-I49</f>
        <v>45</v>
      </c>
      <c r="K49" s="64">
        <f t="shared" ref="K49:K53" si="74">+U49</f>
        <v>46146</v>
      </c>
      <c r="L49" s="52" t="s">
        <v>737</v>
      </c>
      <c r="M49" s="64">
        <v>27000</v>
      </c>
      <c r="N49" s="64">
        <v>20000</v>
      </c>
      <c r="O49" s="65">
        <v>46139</v>
      </c>
      <c r="P49" s="64">
        <f t="shared" ref="P49:P53" si="75">+M49-N49</f>
        <v>7000</v>
      </c>
      <c r="Q49" s="64" t="s">
        <v>33</v>
      </c>
      <c r="R49" s="64" t="s">
        <v>64</v>
      </c>
      <c r="S49" s="64">
        <v>33000</v>
      </c>
      <c r="T49" s="64" t="s">
        <v>2077</v>
      </c>
      <c r="U49" s="65">
        <v>46146</v>
      </c>
      <c r="V49" s="64" t="s">
        <v>28</v>
      </c>
      <c r="W49" s="64">
        <f t="shared" ref="W49:W53" si="76">+S49-M49</f>
        <v>6000</v>
      </c>
      <c r="X49" s="64" t="s">
        <v>29</v>
      </c>
      <c r="Y49" s="64" t="s">
        <v>63</v>
      </c>
      <c r="Z49" s="64">
        <f t="shared" ref="Z49:Z53" si="77">+W49*100/M49</f>
        <v>22.222222222222221</v>
      </c>
      <c r="AA49" s="64"/>
      <c r="AB49" s="64" t="s">
        <v>320</v>
      </c>
    </row>
    <row r="50" spans="1:28">
      <c r="A50" s="64">
        <f>SUBTOTAL(3,C$2:C50)</f>
        <v>49</v>
      </c>
      <c r="B50" s="64" t="s">
        <v>30</v>
      </c>
      <c r="C50" s="64" t="s">
        <v>65</v>
      </c>
      <c r="D50" s="64" t="s">
        <v>32</v>
      </c>
      <c r="E50" s="64" t="s">
        <v>33</v>
      </c>
      <c r="F50" s="63" t="s">
        <v>66</v>
      </c>
      <c r="G50" s="64" t="s">
        <v>67</v>
      </c>
      <c r="H50" s="63" t="s">
        <v>884</v>
      </c>
      <c r="I50" s="65">
        <v>46139</v>
      </c>
      <c r="J50" s="64">
        <f t="shared" ca="1" si="73"/>
        <v>45</v>
      </c>
      <c r="K50" s="64">
        <f t="shared" si="74"/>
        <v>46146</v>
      </c>
      <c r="L50" s="64" t="s">
        <v>71</v>
      </c>
      <c r="M50" s="64">
        <v>19000</v>
      </c>
      <c r="N50" s="64">
        <v>15000</v>
      </c>
      <c r="O50" s="65">
        <v>46139</v>
      </c>
      <c r="P50" s="64">
        <f t="shared" si="75"/>
        <v>4000</v>
      </c>
      <c r="Q50" s="64" t="s">
        <v>33</v>
      </c>
      <c r="R50" s="64" t="s">
        <v>64</v>
      </c>
      <c r="S50" s="64">
        <v>20500</v>
      </c>
      <c r="T50" s="64" t="s">
        <v>2079</v>
      </c>
      <c r="U50" s="65">
        <v>46146</v>
      </c>
      <c r="V50" s="64" t="s">
        <v>28</v>
      </c>
      <c r="W50" s="64">
        <f t="shared" si="76"/>
        <v>1500</v>
      </c>
      <c r="X50" s="64" t="s">
        <v>29</v>
      </c>
      <c r="Y50" s="64" t="s">
        <v>63</v>
      </c>
      <c r="Z50" s="64">
        <f t="shared" si="77"/>
        <v>7.8947368421052628</v>
      </c>
      <c r="AA50" s="64"/>
      <c r="AB50" s="64"/>
    </row>
    <row r="51" spans="1:28">
      <c r="A51" s="64">
        <f>SUBTOTAL(3,C$2:C51)</f>
        <v>50</v>
      </c>
      <c r="B51" s="64" t="s">
        <v>30</v>
      </c>
      <c r="C51" s="64" t="s">
        <v>73</v>
      </c>
      <c r="D51" s="64" t="s">
        <v>32</v>
      </c>
      <c r="E51" s="64" t="s">
        <v>33</v>
      </c>
      <c r="F51" s="63" t="s">
        <v>321</v>
      </c>
      <c r="G51" s="64" t="s">
        <v>67</v>
      </c>
      <c r="H51" s="63" t="s">
        <v>891</v>
      </c>
      <c r="I51" s="65">
        <v>46140</v>
      </c>
      <c r="J51" s="64">
        <f t="shared" ca="1" si="73"/>
        <v>44</v>
      </c>
      <c r="K51" s="64">
        <f t="shared" si="74"/>
        <v>46146</v>
      </c>
      <c r="L51" s="52" t="s">
        <v>737</v>
      </c>
      <c r="M51" s="64">
        <v>27000</v>
      </c>
      <c r="N51" s="64">
        <v>23000</v>
      </c>
      <c r="O51" s="65">
        <v>46140</v>
      </c>
      <c r="P51" s="64">
        <f t="shared" si="75"/>
        <v>4000</v>
      </c>
      <c r="Q51" s="64" t="s">
        <v>33</v>
      </c>
      <c r="R51" s="64" t="s">
        <v>64</v>
      </c>
      <c r="S51" s="64">
        <v>33000</v>
      </c>
      <c r="T51" s="64" t="s">
        <v>2077</v>
      </c>
      <c r="U51" s="65">
        <v>46146</v>
      </c>
      <c r="V51" s="64" t="s">
        <v>28</v>
      </c>
      <c r="W51" s="64">
        <f t="shared" si="76"/>
        <v>6000</v>
      </c>
      <c r="X51" s="64" t="s">
        <v>29</v>
      </c>
      <c r="Y51" s="64" t="s">
        <v>63</v>
      </c>
      <c r="Z51" s="64">
        <f t="shared" si="77"/>
        <v>22.222222222222221</v>
      </c>
      <c r="AA51" s="64"/>
      <c r="AB51" s="64" t="s">
        <v>320</v>
      </c>
    </row>
    <row r="52" spans="1:28">
      <c r="A52" s="64">
        <f>SUBTOTAL(3,C$2:C52)</f>
        <v>51</v>
      </c>
      <c r="B52" s="64" t="s">
        <v>30</v>
      </c>
      <c r="C52" s="64" t="s">
        <v>72</v>
      </c>
      <c r="D52" s="64" t="s">
        <v>32</v>
      </c>
      <c r="E52" s="64" t="s">
        <v>33</v>
      </c>
      <c r="F52" s="63" t="s">
        <v>69</v>
      </c>
      <c r="G52" s="64" t="s">
        <v>67</v>
      </c>
      <c r="H52" s="63" t="s">
        <v>927</v>
      </c>
      <c r="I52" s="65">
        <v>46141</v>
      </c>
      <c r="J52" s="64">
        <f t="shared" ca="1" si="73"/>
        <v>43</v>
      </c>
      <c r="K52" s="64">
        <f t="shared" si="74"/>
        <v>46146</v>
      </c>
      <c r="L52" s="64" t="s">
        <v>71</v>
      </c>
      <c r="M52" s="64">
        <v>19000</v>
      </c>
      <c r="N52" s="64">
        <v>15000</v>
      </c>
      <c r="O52" s="65">
        <v>46141</v>
      </c>
      <c r="P52" s="64">
        <f t="shared" si="75"/>
        <v>4000</v>
      </c>
      <c r="Q52" s="64" t="s">
        <v>33</v>
      </c>
      <c r="R52" s="64" t="s">
        <v>64</v>
      </c>
      <c r="S52" s="64">
        <v>20500</v>
      </c>
      <c r="T52" s="64" t="s">
        <v>2079</v>
      </c>
      <c r="U52" s="65">
        <v>46146</v>
      </c>
      <c r="V52" s="64" t="s">
        <v>28</v>
      </c>
      <c r="W52" s="64">
        <f t="shared" si="76"/>
        <v>1500</v>
      </c>
      <c r="X52" s="64" t="s">
        <v>29</v>
      </c>
      <c r="Y52" s="64" t="s">
        <v>63</v>
      </c>
      <c r="Z52" s="64">
        <f t="shared" si="77"/>
        <v>7.8947368421052628</v>
      </c>
      <c r="AA52" s="64"/>
      <c r="AB52" s="64" t="s">
        <v>320</v>
      </c>
    </row>
    <row r="53" spans="1:28">
      <c r="A53" s="64">
        <f>SUBTOTAL(3,C$2:C53)</f>
        <v>52</v>
      </c>
      <c r="B53" s="64" t="s">
        <v>30</v>
      </c>
      <c r="C53" s="64" t="s">
        <v>948</v>
      </c>
      <c r="D53" s="64" t="s">
        <v>32</v>
      </c>
      <c r="E53" s="64" t="s">
        <v>33</v>
      </c>
      <c r="F53" s="52" t="s">
        <v>949</v>
      </c>
      <c r="G53" s="69" t="s">
        <v>951</v>
      </c>
      <c r="H53" s="70">
        <v>17562</v>
      </c>
      <c r="I53" s="65">
        <v>46141</v>
      </c>
      <c r="J53" s="64">
        <f t="shared" ca="1" si="73"/>
        <v>43</v>
      </c>
      <c r="K53" s="64" t="str">
        <f t="shared" si="74"/>
        <v>Pending</v>
      </c>
      <c r="L53" s="52" t="s">
        <v>950</v>
      </c>
      <c r="M53" s="64">
        <v>13500</v>
      </c>
      <c r="N53" s="64">
        <v>12500</v>
      </c>
      <c r="O53" s="65">
        <v>46141</v>
      </c>
      <c r="P53" s="64">
        <f t="shared" si="75"/>
        <v>1000</v>
      </c>
      <c r="Q53" s="64" t="s">
        <v>33</v>
      </c>
      <c r="R53" s="64" t="s">
        <v>112</v>
      </c>
      <c r="S53" s="64">
        <v>13500</v>
      </c>
      <c r="T53" s="64" t="s">
        <v>33</v>
      </c>
      <c r="U53" s="64" t="s">
        <v>33</v>
      </c>
      <c r="V53" s="64" t="s">
        <v>28</v>
      </c>
      <c r="W53" s="64">
        <f t="shared" si="76"/>
        <v>0</v>
      </c>
      <c r="X53" s="64" t="s">
        <v>63</v>
      </c>
      <c r="Y53" s="64" t="s">
        <v>29</v>
      </c>
      <c r="Z53" s="71">
        <f t="shared" si="77"/>
        <v>0</v>
      </c>
      <c r="AA53" s="64"/>
      <c r="AB53" s="64"/>
    </row>
    <row r="54" spans="1:28">
      <c r="A54" s="64">
        <f>SUBTOTAL(3,C$2:C54)</f>
        <v>53</v>
      </c>
      <c r="B54" s="64" t="s">
        <v>30</v>
      </c>
      <c r="C54" s="64" t="s">
        <v>65</v>
      </c>
      <c r="D54" s="64" t="s">
        <v>32</v>
      </c>
      <c r="E54" s="64" t="s">
        <v>33</v>
      </c>
      <c r="F54" s="52" t="s">
        <v>66</v>
      </c>
      <c r="G54" s="69" t="s">
        <v>67</v>
      </c>
      <c r="H54" s="70" t="s">
        <v>973</v>
      </c>
      <c r="I54" s="65">
        <v>46142</v>
      </c>
      <c r="J54" s="64">
        <f t="shared" ref="J54" ca="1" si="78">+TODAY()-I54</f>
        <v>42</v>
      </c>
      <c r="K54" s="64">
        <f t="shared" ref="K54" si="79">+U54</f>
        <v>46146</v>
      </c>
      <c r="L54" s="52" t="s">
        <v>737</v>
      </c>
      <c r="M54" s="64">
        <v>27000</v>
      </c>
      <c r="N54" s="64">
        <v>20000</v>
      </c>
      <c r="O54" s="65">
        <v>46142</v>
      </c>
      <c r="P54" s="64">
        <f t="shared" ref="P54" si="80">+M54-N54</f>
        <v>7000</v>
      </c>
      <c r="Q54" s="64" t="s">
        <v>33</v>
      </c>
      <c r="R54" s="64" t="s">
        <v>64</v>
      </c>
      <c r="S54" s="64">
        <v>33000</v>
      </c>
      <c r="T54" s="64" t="s">
        <v>2077</v>
      </c>
      <c r="U54" s="65">
        <v>46146</v>
      </c>
      <c r="V54" s="64" t="s">
        <v>28</v>
      </c>
      <c r="W54" s="64">
        <f t="shared" ref="W54" si="81">+S54-M54</f>
        <v>6000</v>
      </c>
      <c r="X54" s="64" t="s">
        <v>29</v>
      </c>
      <c r="Y54" s="64" t="s">
        <v>63</v>
      </c>
      <c r="Z54" s="71">
        <f t="shared" ref="Z54" si="82">+W54*100/M54</f>
        <v>22.222222222222221</v>
      </c>
      <c r="AA54" s="64"/>
      <c r="AB54" s="64"/>
    </row>
    <row r="55" spans="1:28">
      <c r="A55" s="64">
        <f>SUBTOTAL(3,C$2:C55)</f>
        <v>54</v>
      </c>
      <c r="B55" s="64" t="s">
        <v>30</v>
      </c>
      <c r="C55" s="64" t="s">
        <v>991</v>
      </c>
      <c r="D55" s="64" t="s">
        <v>32</v>
      </c>
      <c r="E55" s="64" t="s">
        <v>33</v>
      </c>
      <c r="F55" s="52" t="s">
        <v>988</v>
      </c>
      <c r="G55" s="69" t="s">
        <v>989</v>
      </c>
      <c r="H55" s="70" t="s">
        <v>990</v>
      </c>
      <c r="I55" s="65">
        <v>46142</v>
      </c>
      <c r="J55" s="64">
        <f t="shared" ref="J55:J58" ca="1" si="83">+TODAY()-I55</f>
        <v>42</v>
      </c>
      <c r="K55" s="64">
        <f t="shared" ref="K55:K58" si="84">+U55</f>
        <v>46146</v>
      </c>
      <c r="L55" s="52" t="s">
        <v>737</v>
      </c>
      <c r="M55" s="64">
        <v>16000</v>
      </c>
      <c r="N55" s="64">
        <v>14000</v>
      </c>
      <c r="O55" s="65">
        <v>46142</v>
      </c>
      <c r="P55" s="64">
        <f t="shared" ref="P55:P58" si="85">+M55-N55</f>
        <v>2000</v>
      </c>
      <c r="Q55" s="64" t="s">
        <v>33</v>
      </c>
      <c r="R55" s="64" t="s">
        <v>64</v>
      </c>
      <c r="S55" s="64">
        <v>20000</v>
      </c>
      <c r="T55" s="64" t="s">
        <v>2076</v>
      </c>
      <c r="U55" s="65">
        <v>46146</v>
      </c>
      <c r="V55" s="64" t="s">
        <v>28</v>
      </c>
      <c r="W55" s="64">
        <f t="shared" ref="W55:W58" si="86">+S55-M55</f>
        <v>4000</v>
      </c>
      <c r="X55" s="64" t="s">
        <v>29</v>
      </c>
      <c r="Y55" s="64" t="s">
        <v>63</v>
      </c>
      <c r="Z55" s="71">
        <f t="shared" ref="Z55:Z58" si="87">+W55*100/M55</f>
        <v>25</v>
      </c>
      <c r="AA55" s="64"/>
      <c r="AB55" s="64"/>
    </row>
    <row r="56" spans="1:28">
      <c r="A56" s="64">
        <f>SUBTOTAL(3,C$2:C56)</f>
        <v>55</v>
      </c>
      <c r="B56" s="64" t="s">
        <v>30</v>
      </c>
      <c r="C56" s="64" t="s">
        <v>100</v>
      </c>
      <c r="D56" s="64" t="s">
        <v>32</v>
      </c>
      <c r="E56" s="64" t="s">
        <v>33</v>
      </c>
      <c r="F56" s="52" t="s">
        <v>291</v>
      </c>
      <c r="G56" s="69" t="s">
        <v>67</v>
      </c>
      <c r="H56" s="70" t="s">
        <v>992</v>
      </c>
      <c r="I56" s="65">
        <v>46142</v>
      </c>
      <c r="J56" s="64">
        <f t="shared" ca="1" si="83"/>
        <v>42</v>
      </c>
      <c r="K56" s="64">
        <f t="shared" si="84"/>
        <v>46146</v>
      </c>
      <c r="L56" s="52" t="s">
        <v>737</v>
      </c>
      <c r="M56" s="64">
        <v>27000</v>
      </c>
      <c r="N56" s="64">
        <v>20000</v>
      </c>
      <c r="O56" s="65">
        <v>46142</v>
      </c>
      <c r="P56" s="64">
        <f t="shared" si="85"/>
        <v>7000</v>
      </c>
      <c r="Q56" s="64" t="s">
        <v>33</v>
      </c>
      <c r="R56" s="64" t="s">
        <v>64</v>
      </c>
      <c r="S56" s="64">
        <v>33000</v>
      </c>
      <c r="T56" s="64" t="s">
        <v>2077</v>
      </c>
      <c r="U56" s="65">
        <v>46146</v>
      </c>
      <c r="V56" s="64" t="s">
        <v>28</v>
      </c>
      <c r="W56" s="64">
        <f t="shared" si="86"/>
        <v>6000</v>
      </c>
      <c r="X56" s="64" t="s">
        <v>29</v>
      </c>
      <c r="Y56" s="64" t="s">
        <v>63</v>
      </c>
      <c r="Z56" s="71">
        <f t="shared" si="87"/>
        <v>22.222222222222221</v>
      </c>
      <c r="AA56" s="64"/>
      <c r="AB56" s="64" t="s">
        <v>320</v>
      </c>
    </row>
    <row r="57" spans="1:28" hidden="1">
      <c r="A57" s="64">
        <f>SUBTOTAL(3,C$2:C57)</f>
        <v>55</v>
      </c>
      <c r="B57" s="64" t="s">
        <v>1086</v>
      </c>
      <c r="C57" s="64" t="s">
        <v>72</v>
      </c>
      <c r="D57" s="64" t="s">
        <v>32</v>
      </c>
      <c r="E57" s="64" t="s">
        <v>33</v>
      </c>
      <c r="F57" s="52" t="s">
        <v>69</v>
      </c>
      <c r="G57" s="69" t="s">
        <v>67</v>
      </c>
      <c r="H57" s="70" t="s">
        <v>1020</v>
      </c>
      <c r="I57" s="65">
        <v>46144</v>
      </c>
      <c r="J57" s="64">
        <f t="shared" ca="1" si="83"/>
        <v>40</v>
      </c>
      <c r="K57" s="64">
        <f t="shared" si="84"/>
        <v>46162</v>
      </c>
      <c r="L57" s="52" t="s">
        <v>737</v>
      </c>
      <c r="M57" s="64">
        <v>27000</v>
      </c>
      <c r="N57" s="64">
        <v>20000</v>
      </c>
      <c r="O57" s="65">
        <v>46145</v>
      </c>
      <c r="P57" s="64">
        <f t="shared" si="85"/>
        <v>7000</v>
      </c>
      <c r="Q57" s="64" t="s">
        <v>33</v>
      </c>
      <c r="R57" s="64" t="s">
        <v>64</v>
      </c>
      <c r="S57" s="64">
        <v>33000</v>
      </c>
      <c r="T57" s="64" t="s">
        <v>2083</v>
      </c>
      <c r="U57" s="65">
        <v>46162</v>
      </c>
      <c r="V57" s="64" t="s">
        <v>28</v>
      </c>
      <c r="W57" s="64">
        <f t="shared" si="86"/>
        <v>6000</v>
      </c>
      <c r="X57" s="64" t="s">
        <v>29</v>
      </c>
      <c r="Y57" s="64" t="s">
        <v>63</v>
      </c>
      <c r="Z57" s="71">
        <f t="shared" si="87"/>
        <v>22.222222222222221</v>
      </c>
      <c r="AA57" s="64"/>
      <c r="AB57" s="64" t="s">
        <v>320</v>
      </c>
    </row>
    <row r="58" spans="1:28" s="67" customFormat="1" hidden="1">
      <c r="A58" s="66">
        <f>SUBTOTAL(3,C$2:C58)</f>
        <v>55</v>
      </c>
      <c r="B58" s="66" t="s">
        <v>1086</v>
      </c>
      <c r="C58" s="66" t="s">
        <v>73</v>
      </c>
      <c r="D58" s="66" t="s">
        <v>32</v>
      </c>
      <c r="E58" s="66" t="s">
        <v>33</v>
      </c>
      <c r="F58" s="72" t="s">
        <v>1021</v>
      </c>
      <c r="G58" s="73" t="s">
        <v>67</v>
      </c>
      <c r="H58" s="74" t="s">
        <v>1022</v>
      </c>
      <c r="I58" s="68">
        <v>46145</v>
      </c>
      <c r="J58" s="66">
        <f t="shared" ca="1" si="83"/>
        <v>39</v>
      </c>
      <c r="K58" s="66">
        <f t="shared" si="84"/>
        <v>46162</v>
      </c>
      <c r="L58" s="52" t="s">
        <v>737</v>
      </c>
      <c r="M58" s="66">
        <v>31500</v>
      </c>
      <c r="N58" s="66">
        <v>27500</v>
      </c>
      <c r="O58" s="68">
        <v>46145</v>
      </c>
      <c r="P58" s="66">
        <f t="shared" si="85"/>
        <v>4000</v>
      </c>
      <c r="Q58" s="66" t="s">
        <v>33</v>
      </c>
      <c r="R58" s="66" t="s">
        <v>64</v>
      </c>
      <c r="S58" s="66">
        <v>33000</v>
      </c>
      <c r="T58" s="64" t="s">
        <v>2083</v>
      </c>
      <c r="U58" s="65">
        <v>46162</v>
      </c>
      <c r="V58" s="66" t="s">
        <v>28</v>
      </c>
      <c r="W58" s="66">
        <f t="shared" si="86"/>
        <v>1500</v>
      </c>
      <c r="X58" s="66" t="s">
        <v>29</v>
      </c>
      <c r="Y58" s="66" t="s">
        <v>63</v>
      </c>
      <c r="Z58" s="75">
        <f t="shared" si="87"/>
        <v>4.7619047619047619</v>
      </c>
      <c r="AA58" s="66"/>
      <c r="AB58" s="66" t="s">
        <v>320</v>
      </c>
    </row>
    <row r="59" spans="1:28" hidden="1">
      <c r="A59" s="64">
        <f>SUBTOTAL(3,C$2:C59)</f>
        <v>55</v>
      </c>
      <c r="B59" s="64" t="s">
        <v>1086</v>
      </c>
      <c r="C59" s="64" t="s">
        <v>100</v>
      </c>
      <c r="D59" s="64" t="s">
        <v>32</v>
      </c>
      <c r="E59" s="64" t="s">
        <v>33</v>
      </c>
      <c r="F59" s="52" t="s">
        <v>293</v>
      </c>
      <c r="G59" s="69" t="s">
        <v>67</v>
      </c>
      <c r="H59" s="70" t="s">
        <v>1045</v>
      </c>
      <c r="I59" s="65">
        <v>46146</v>
      </c>
      <c r="J59" s="64">
        <f t="shared" ref="J59:J61" ca="1" si="88">+TODAY()-I59</f>
        <v>38</v>
      </c>
      <c r="K59" s="64">
        <f t="shared" ref="K59:K61" si="89">+U59</f>
        <v>46162</v>
      </c>
      <c r="L59" s="52" t="s">
        <v>737</v>
      </c>
      <c r="M59" s="64">
        <v>27000</v>
      </c>
      <c r="N59" s="64">
        <v>20000</v>
      </c>
      <c r="O59" s="65">
        <v>46146</v>
      </c>
      <c r="P59" s="64">
        <f t="shared" ref="P59:P61" si="90">+M59-N59</f>
        <v>7000</v>
      </c>
      <c r="Q59" s="64" t="s">
        <v>33</v>
      </c>
      <c r="R59" s="64" t="s">
        <v>64</v>
      </c>
      <c r="S59" s="64">
        <v>33000</v>
      </c>
      <c r="T59" s="64" t="s">
        <v>2083</v>
      </c>
      <c r="U59" s="65">
        <v>46162</v>
      </c>
      <c r="V59" s="64" t="s">
        <v>28</v>
      </c>
      <c r="W59" s="64">
        <f t="shared" ref="W59:W61" si="91">+S59-M59</f>
        <v>6000</v>
      </c>
      <c r="X59" s="64" t="s">
        <v>29</v>
      </c>
      <c r="Y59" s="64" t="s">
        <v>63</v>
      </c>
      <c r="Z59" s="71">
        <f t="shared" ref="Z59:Z61" si="92">+W59*100/M59</f>
        <v>22.222222222222221</v>
      </c>
      <c r="AA59" s="64"/>
      <c r="AB59" s="64" t="s">
        <v>320</v>
      </c>
    </row>
    <row r="60" spans="1:28" hidden="1">
      <c r="A60" s="64">
        <f>SUBTOTAL(3,C$2:C60)</f>
        <v>55</v>
      </c>
      <c r="B60" s="64" t="s">
        <v>1086</v>
      </c>
      <c r="C60" s="64" t="s">
        <v>72</v>
      </c>
      <c r="D60" s="64" t="s">
        <v>32</v>
      </c>
      <c r="E60" s="64" t="s">
        <v>33</v>
      </c>
      <c r="F60" s="52" t="s">
        <v>1084</v>
      </c>
      <c r="G60" s="69" t="s">
        <v>67</v>
      </c>
      <c r="H60" s="52" t="s">
        <v>1085</v>
      </c>
      <c r="I60" s="65">
        <v>46147</v>
      </c>
      <c r="J60" s="64">
        <f t="shared" ca="1" si="88"/>
        <v>37</v>
      </c>
      <c r="K60" s="64">
        <f t="shared" si="89"/>
        <v>46162</v>
      </c>
      <c r="L60" s="52" t="s">
        <v>71</v>
      </c>
      <c r="M60" s="64">
        <v>19000</v>
      </c>
      <c r="N60" s="64">
        <v>15000</v>
      </c>
      <c r="O60" s="65">
        <v>46147</v>
      </c>
      <c r="P60" s="64">
        <f t="shared" si="90"/>
        <v>4000</v>
      </c>
      <c r="Q60" s="64" t="s">
        <v>33</v>
      </c>
      <c r="R60" s="64" t="s">
        <v>64</v>
      </c>
      <c r="S60" s="64">
        <v>20500</v>
      </c>
      <c r="T60" s="64" t="s">
        <v>2084</v>
      </c>
      <c r="U60" s="65">
        <v>46162</v>
      </c>
      <c r="V60" s="64" t="s">
        <v>28</v>
      </c>
      <c r="W60" s="64">
        <f t="shared" si="91"/>
        <v>1500</v>
      </c>
      <c r="X60" s="64" t="s">
        <v>29</v>
      </c>
      <c r="Y60" s="64" t="s">
        <v>63</v>
      </c>
      <c r="Z60" s="71">
        <f t="shared" si="92"/>
        <v>7.8947368421052628</v>
      </c>
      <c r="AA60" s="64"/>
      <c r="AB60" s="64" t="s">
        <v>320</v>
      </c>
    </row>
    <row r="61" spans="1:28" hidden="1">
      <c r="A61" s="64">
        <f>SUBTOTAL(3,C$2:C61)</f>
        <v>55</v>
      </c>
      <c r="B61" s="64" t="s">
        <v>1086</v>
      </c>
      <c r="C61" s="64" t="s">
        <v>551</v>
      </c>
      <c r="D61" s="64" t="s">
        <v>32</v>
      </c>
      <c r="E61" s="64" t="s">
        <v>33</v>
      </c>
      <c r="F61" s="52" t="s">
        <v>550</v>
      </c>
      <c r="G61" s="64" t="s">
        <v>67</v>
      </c>
      <c r="H61" s="52" t="s">
        <v>1087</v>
      </c>
      <c r="I61" s="65">
        <v>46147</v>
      </c>
      <c r="J61" s="64">
        <f t="shared" ca="1" si="88"/>
        <v>37</v>
      </c>
      <c r="K61" s="64">
        <f t="shared" si="89"/>
        <v>46162</v>
      </c>
      <c r="L61" s="52" t="s">
        <v>737</v>
      </c>
      <c r="M61" s="64">
        <v>27000</v>
      </c>
      <c r="N61" s="64">
        <v>24000</v>
      </c>
      <c r="O61" s="65">
        <v>46147</v>
      </c>
      <c r="P61" s="64">
        <f t="shared" si="90"/>
        <v>3000</v>
      </c>
      <c r="Q61" s="64" t="s">
        <v>33</v>
      </c>
      <c r="R61" s="64" t="s">
        <v>64</v>
      </c>
      <c r="S61" s="64">
        <v>33000</v>
      </c>
      <c r="T61" s="64" t="s">
        <v>2083</v>
      </c>
      <c r="U61" s="65">
        <v>46162</v>
      </c>
      <c r="V61" s="64" t="s">
        <v>28</v>
      </c>
      <c r="W61" s="64">
        <f t="shared" si="91"/>
        <v>6000</v>
      </c>
      <c r="X61" s="64" t="s">
        <v>29</v>
      </c>
      <c r="Y61" s="64" t="s">
        <v>63</v>
      </c>
      <c r="Z61" s="64">
        <f t="shared" si="92"/>
        <v>22.222222222222221</v>
      </c>
      <c r="AA61" s="64"/>
      <c r="AB61" s="64" t="s">
        <v>320</v>
      </c>
    </row>
    <row r="62" spans="1:28" hidden="1">
      <c r="A62" s="64">
        <f>SUBTOTAL(3,C$2:C62)</f>
        <v>55</v>
      </c>
      <c r="B62" s="64" t="s">
        <v>1086</v>
      </c>
      <c r="C62" s="64" t="s">
        <v>72</v>
      </c>
      <c r="D62" s="64" t="s">
        <v>32</v>
      </c>
      <c r="E62" s="64" t="s">
        <v>33</v>
      </c>
      <c r="F62" s="52" t="s">
        <v>1084</v>
      </c>
      <c r="G62" s="64" t="s">
        <v>67</v>
      </c>
      <c r="H62" s="52" t="s">
        <v>1139</v>
      </c>
      <c r="I62" s="65">
        <v>46148</v>
      </c>
      <c r="J62" s="64">
        <f t="shared" ref="J62" ca="1" si="93">+TODAY()-I62</f>
        <v>36</v>
      </c>
      <c r="K62" s="64">
        <f t="shared" ref="K62" si="94">+U62</f>
        <v>46162</v>
      </c>
      <c r="L62" s="52" t="s">
        <v>737</v>
      </c>
      <c r="M62" s="64">
        <v>27000</v>
      </c>
      <c r="N62" s="64">
        <v>20000</v>
      </c>
      <c r="O62" s="65">
        <v>46148</v>
      </c>
      <c r="P62" s="64">
        <f t="shared" ref="P62" si="95">+M62-N62</f>
        <v>7000</v>
      </c>
      <c r="Q62" s="64" t="s">
        <v>33</v>
      </c>
      <c r="R62" s="64" t="s">
        <v>64</v>
      </c>
      <c r="S62" s="64">
        <v>33000</v>
      </c>
      <c r="T62" s="64" t="s">
        <v>2083</v>
      </c>
      <c r="U62" s="65">
        <v>46162</v>
      </c>
      <c r="V62" s="64" t="s">
        <v>28</v>
      </c>
      <c r="W62" s="64">
        <f t="shared" ref="W62" si="96">+S62-M62</f>
        <v>6000</v>
      </c>
      <c r="X62" s="64" t="s">
        <v>29</v>
      </c>
      <c r="Y62" s="64" t="s">
        <v>63</v>
      </c>
      <c r="Z62" s="64">
        <f t="shared" ref="Z62" si="97">+W62*100/M62</f>
        <v>22.222222222222221</v>
      </c>
      <c r="AA62" s="64"/>
      <c r="AB62" s="64" t="s">
        <v>320</v>
      </c>
    </row>
    <row r="63" spans="1:28" hidden="1">
      <c r="A63" s="64">
        <f>SUBTOTAL(3,C$2:C63)</f>
        <v>55</v>
      </c>
      <c r="B63" s="64" t="s">
        <v>1086</v>
      </c>
      <c r="C63" s="64" t="s">
        <v>1168</v>
      </c>
      <c r="D63" s="64" t="s">
        <v>32</v>
      </c>
      <c r="E63" s="64" t="s">
        <v>33</v>
      </c>
      <c r="F63" s="52" t="s">
        <v>1140</v>
      </c>
      <c r="G63" s="64" t="s">
        <v>67</v>
      </c>
      <c r="H63" s="52" t="s">
        <v>1141</v>
      </c>
      <c r="I63" s="65">
        <v>46148</v>
      </c>
      <c r="J63" s="64">
        <f t="shared" ref="J63" ca="1" si="98">+TODAY()-I63</f>
        <v>36</v>
      </c>
      <c r="K63" s="64">
        <f t="shared" ref="K63" si="99">+U63</f>
        <v>46162</v>
      </c>
      <c r="L63" s="52" t="s">
        <v>737</v>
      </c>
      <c r="M63" s="64">
        <v>15500</v>
      </c>
      <c r="N63" s="64">
        <v>13000</v>
      </c>
      <c r="O63" s="65">
        <v>46148</v>
      </c>
      <c r="P63" s="64">
        <f t="shared" ref="P63" si="100">+M63-N63</f>
        <v>2500</v>
      </c>
      <c r="Q63" s="64" t="s">
        <v>33</v>
      </c>
      <c r="R63" s="64" t="s">
        <v>64</v>
      </c>
      <c r="S63" s="64">
        <v>20000</v>
      </c>
      <c r="T63" s="64" t="s">
        <v>2082</v>
      </c>
      <c r="U63" s="65">
        <v>46162</v>
      </c>
      <c r="V63" s="64" t="s">
        <v>28</v>
      </c>
      <c r="W63" s="64">
        <f t="shared" ref="W63" si="101">+S63-M63</f>
        <v>4500</v>
      </c>
      <c r="X63" s="64" t="s">
        <v>29</v>
      </c>
      <c r="Y63" s="64" t="s">
        <v>63</v>
      </c>
      <c r="Z63" s="64">
        <f t="shared" ref="Z63" si="102">+W63*100/M63</f>
        <v>29.032258064516128</v>
      </c>
      <c r="AA63" s="64"/>
      <c r="AB63" s="64" t="s">
        <v>320</v>
      </c>
    </row>
    <row r="64" spans="1:28" hidden="1">
      <c r="A64" s="64">
        <f>SUBTOTAL(3,C$2:C64)</f>
        <v>55</v>
      </c>
      <c r="B64" s="64" t="s">
        <v>1086</v>
      </c>
      <c r="C64" s="64" t="s">
        <v>1220</v>
      </c>
      <c r="D64" s="64" t="s">
        <v>32</v>
      </c>
      <c r="E64" s="64" t="s">
        <v>33</v>
      </c>
      <c r="F64" s="52" t="s">
        <v>1221</v>
      </c>
      <c r="G64" s="64" t="s">
        <v>67</v>
      </c>
      <c r="H64" s="52" t="s">
        <v>1222</v>
      </c>
      <c r="I64" s="65">
        <v>46148</v>
      </c>
      <c r="J64" s="64">
        <f t="shared" ref="J64" ca="1" si="103">+TODAY()-I64</f>
        <v>36</v>
      </c>
      <c r="K64" s="64">
        <f t="shared" ref="K64" si="104">+U64</f>
        <v>46162</v>
      </c>
      <c r="L64" s="52" t="s">
        <v>737</v>
      </c>
      <c r="M64" s="64">
        <v>30000</v>
      </c>
      <c r="N64" s="64">
        <v>27000</v>
      </c>
      <c r="O64" s="65">
        <v>46149</v>
      </c>
      <c r="P64" s="64">
        <f t="shared" ref="P64" si="105">+M64-N64</f>
        <v>3000</v>
      </c>
      <c r="Q64" s="64" t="s">
        <v>33</v>
      </c>
      <c r="R64" s="64" t="s">
        <v>64</v>
      </c>
      <c r="S64" s="64">
        <v>33000</v>
      </c>
      <c r="T64" s="64" t="s">
        <v>2083</v>
      </c>
      <c r="U64" s="65">
        <v>46162</v>
      </c>
      <c r="V64" s="64" t="s">
        <v>28</v>
      </c>
      <c r="W64" s="64">
        <f t="shared" ref="W64" si="106">+S64-M64</f>
        <v>3000</v>
      </c>
      <c r="X64" s="64" t="s">
        <v>29</v>
      </c>
      <c r="Y64" s="64" t="s">
        <v>63</v>
      </c>
      <c r="Z64" s="64">
        <f t="shared" ref="Z64" si="107">+W64*100/M64</f>
        <v>10</v>
      </c>
      <c r="AA64" s="64"/>
      <c r="AB64" s="64" t="s">
        <v>320</v>
      </c>
    </row>
    <row r="65" spans="1:28" hidden="1">
      <c r="A65" s="64">
        <f>SUBTOTAL(3,C$2:C65)</f>
        <v>55</v>
      </c>
      <c r="B65" s="64" t="s">
        <v>1086</v>
      </c>
      <c r="C65" s="64" t="s">
        <v>1223</v>
      </c>
      <c r="D65" s="64" t="s">
        <v>32</v>
      </c>
      <c r="E65" s="64" t="s">
        <v>33</v>
      </c>
      <c r="F65" s="52" t="s">
        <v>1224</v>
      </c>
      <c r="G65" s="64" t="s">
        <v>1225</v>
      </c>
      <c r="H65" s="52" t="s">
        <v>1226</v>
      </c>
      <c r="I65" s="65">
        <v>46149</v>
      </c>
      <c r="J65" s="64">
        <f t="shared" ref="J65:J68" ca="1" si="108">+TODAY()-I65</f>
        <v>35</v>
      </c>
      <c r="K65" s="64">
        <f t="shared" ref="K65:K68" si="109">+U65</f>
        <v>46107</v>
      </c>
      <c r="L65" s="64" t="s">
        <v>1227</v>
      </c>
      <c r="M65" s="64">
        <v>18000</v>
      </c>
      <c r="N65" s="64">
        <v>18000</v>
      </c>
      <c r="O65" s="65">
        <v>46149</v>
      </c>
      <c r="P65" s="64">
        <f t="shared" ref="P65:P68" si="110">+M65-N65</f>
        <v>0</v>
      </c>
      <c r="Q65" s="64" t="s">
        <v>33</v>
      </c>
      <c r="R65" s="64" t="s">
        <v>64</v>
      </c>
      <c r="S65" s="64">
        <v>20500</v>
      </c>
      <c r="T65" s="52" t="s">
        <v>2081</v>
      </c>
      <c r="U65" s="65">
        <v>46107</v>
      </c>
      <c r="V65" s="64" t="s">
        <v>28</v>
      </c>
      <c r="W65" s="64">
        <f t="shared" ref="W65:W68" si="111">+S65-M65</f>
        <v>2500</v>
      </c>
      <c r="X65" s="64" t="s">
        <v>29</v>
      </c>
      <c r="Y65" s="64" t="s">
        <v>63</v>
      </c>
      <c r="Z65" s="64">
        <f t="shared" ref="Z65:Z68" si="112">+W65*100/M65</f>
        <v>13.888888888888889</v>
      </c>
      <c r="AA65" s="64"/>
      <c r="AB65" s="64" t="s">
        <v>320</v>
      </c>
    </row>
    <row r="66" spans="1:28" hidden="1">
      <c r="A66" s="64">
        <f>SUBTOTAL(3,C$2:C66)</f>
        <v>55</v>
      </c>
      <c r="B66" s="64" t="s">
        <v>1086</v>
      </c>
      <c r="C66" s="64" t="s">
        <v>65</v>
      </c>
      <c r="D66" s="64" t="s">
        <v>32</v>
      </c>
      <c r="E66" s="64" t="s">
        <v>33</v>
      </c>
      <c r="F66" s="52" t="s">
        <v>1228</v>
      </c>
      <c r="G66" s="64" t="s">
        <v>67</v>
      </c>
      <c r="H66" s="52" t="s">
        <v>1229</v>
      </c>
      <c r="I66" s="65">
        <v>46149</v>
      </c>
      <c r="J66" s="64">
        <f t="shared" ca="1" si="108"/>
        <v>35</v>
      </c>
      <c r="K66" s="64">
        <f t="shared" si="109"/>
        <v>46162</v>
      </c>
      <c r="L66" s="52" t="s">
        <v>737</v>
      </c>
      <c r="M66" s="64">
        <v>27000</v>
      </c>
      <c r="N66" s="64">
        <v>20000</v>
      </c>
      <c r="O66" s="65">
        <v>46149</v>
      </c>
      <c r="P66" s="64">
        <f t="shared" si="110"/>
        <v>7000</v>
      </c>
      <c r="Q66" s="64" t="s">
        <v>33</v>
      </c>
      <c r="R66" s="64" t="s">
        <v>64</v>
      </c>
      <c r="S66" s="64">
        <v>33000</v>
      </c>
      <c r="T66" s="64" t="s">
        <v>2083</v>
      </c>
      <c r="U66" s="65">
        <v>46162</v>
      </c>
      <c r="V66" s="64" t="s">
        <v>28</v>
      </c>
      <c r="W66" s="64">
        <f t="shared" si="111"/>
        <v>6000</v>
      </c>
      <c r="X66" s="64" t="s">
        <v>29</v>
      </c>
      <c r="Y66" s="64" t="s">
        <v>63</v>
      </c>
      <c r="Z66" s="64">
        <f t="shared" si="112"/>
        <v>22.222222222222221</v>
      </c>
      <c r="AA66" s="64"/>
      <c r="AB66" s="64"/>
    </row>
    <row r="67" spans="1:28" hidden="1">
      <c r="A67" s="64">
        <f>SUBTOTAL(3,C$2:C67)</f>
        <v>55</v>
      </c>
      <c r="B67" s="64" t="s">
        <v>1086</v>
      </c>
      <c r="C67" s="64" t="s">
        <v>72</v>
      </c>
      <c r="D67" s="64" t="s">
        <v>32</v>
      </c>
      <c r="E67" s="64" t="s">
        <v>33</v>
      </c>
      <c r="F67" s="52" t="s">
        <v>69</v>
      </c>
      <c r="G67" s="64" t="s">
        <v>67</v>
      </c>
      <c r="H67" s="52" t="s">
        <v>1289</v>
      </c>
      <c r="I67" s="65">
        <v>46149</v>
      </c>
      <c r="J67" s="64">
        <f t="shared" ca="1" si="108"/>
        <v>35</v>
      </c>
      <c r="K67" s="64">
        <f t="shared" si="109"/>
        <v>46162</v>
      </c>
      <c r="L67" s="52" t="s">
        <v>71</v>
      </c>
      <c r="M67" s="64">
        <v>19000</v>
      </c>
      <c r="N67" s="64">
        <v>15000</v>
      </c>
      <c r="O67" s="65">
        <v>46150</v>
      </c>
      <c r="P67" s="64">
        <f t="shared" si="110"/>
        <v>4000</v>
      </c>
      <c r="Q67" s="64" t="s">
        <v>33</v>
      </c>
      <c r="R67" s="64" t="s">
        <v>64</v>
      </c>
      <c r="S67" s="64">
        <v>20500</v>
      </c>
      <c r="T67" s="64" t="s">
        <v>2084</v>
      </c>
      <c r="U67" s="65">
        <v>46162</v>
      </c>
      <c r="V67" s="64" t="s">
        <v>28</v>
      </c>
      <c r="W67" s="64">
        <f t="shared" si="111"/>
        <v>1500</v>
      </c>
      <c r="X67" s="64" t="s">
        <v>29</v>
      </c>
      <c r="Y67" s="64" t="s">
        <v>63</v>
      </c>
      <c r="Z67" s="64">
        <f t="shared" si="112"/>
        <v>7.8947368421052628</v>
      </c>
      <c r="AA67" s="64"/>
      <c r="AB67" s="64" t="s">
        <v>320</v>
      </c>
    </row>
    <row r="68" spans="1:28" hidden="1">
      <c r="A68" s="64">
        <f>SUBTOTAL(3,C$2:C68)</f>
        <v>55</v>
      </c>
      <c r="B68" s="64" t="s">
        <v>1086</v>
      </c>
      <c r="C68" s="64" t="s">
        <v>100</v>
      </c>
      <c r="D68" s="64" t="s">
        <v>32</v>
      </c>
      <c r="E68" s="64" t="s">
        <v>33</v>
      </c>
      <c r="F68" s="52" t="s">
        <v>1290</v>
      </c>
      <c r="G68" s="64" t="s">
        <v>67</v>
      </c>
      <c r="H68" s="52" t="s">
        <v>1291</v>
      </c>
      <c r="I68" s="65">
        <v>46150</v>
      </c>
      <c r="J68" s="64">
        <f t="shared" ca="1" si="108"/>
        <v>34</v>
      </c>
      <c r="K68" s="64">
        <f t="shared" si="109"/>
        <v>46162</v>
      </c>
      <c r="L68" s="52" t="s">
        <v>737</v>
      </c>
      <c r="M68" s="64">
        <v>27000</v>
      </c>
      <c r="N68" s="64">
        <v>20000</v>
      </c>
      <c r="O68" s="65">
        <v>46150</v>
      </c>
      <c r="P68" s="64">
        <f t="shared" si="110"/>
        <v>7000</v>
      </c>
      <c r="Q68" s="64" t="s">
        <v>33</v>
      </c>
      <c r="R68" s="64" t="s">
        <v>64</v>
      </c>
      <c r="S68" s="64">
        <v>33000</v>
      </c>
      <c r="T68" s="64" t="s">
        <v>2083</v>
      </c>
      <c r="U68" s="65">
        <v>46162</v>
      </c>
      <c r="V68" s="64" t="s">
        <v>28</v>
      </c>
      <c r="W68" s="64">
        <f t="shared" si="111"/>
        <v>6000</v>
      </c>
      <c r="X68" s="64" t="s">
        <v>29</v>
      </c>
      <c r="Y68" s="64" t="s">
        <v>63</v>
      </c>
      <c r="Z68" s="64">
        <f t="shared" si="112"/>
        <v>22.222222222222221</v>
      </c>
      <c r="AA68" s="64"/>
      <c r="AB68" s="64" t="s">
        <v>320</v>
      </c>
    </row>
    <row r="69" spans="1:28" hidden="1">
      <c r="A69" s="64">
        <f>SUBTOTAL(3,C$2:C69)</f>
        <v>55</v>
      </c>
      <c r="B69" s="64" t="s">
        <v>1086</v>
      </c>
      <c r="C69" s="64" t="s">
        <v>72</v>
      </c>
      <c r="D69" s="64" t="s">
        <v>32</v>
      </c>
      <c r="E69" s="64" t="s">
        <v>33</v>
      </c>
      <c r="F69" s="52" t="s">
        <v>1084</v>
      </c>
      <c r="G69" s="64" t="s">
        <v>67</v>
      </c>
      <c r="H69" s="52" t="s">
        <v>1422</v>
      </c>
      <c r="I69" s="65">
        <v>46151</v>
      </c>
      <c r="J69" s="64">
        <f t="shared" ref="J69:J71" ca="1" si="113">+TODAY()-I69</f>
        <v>33</v>
      </c>
      <c r="K69" s="64">
        <f t="shared" ref="K69:K71" si="114">+U69</f>
        <v>46162</v>
      </c>
      <c r="L69" s="52" t="s">
        <v>737</v>
      </c>
      <c r="M69" s="64">
        <v>27000</v>
      </c>
      <c r="N69" s="64">
        <v>20000</v>
      </c>
      <c r="O69" s="65">
        <v>46152</v>
      </c>
      <c r="P69" s="64">
        <f t="shared" ref="P69:P71" si="115">+M69-N69</f>
        <v>7000</v>
      </c>
      <c r="Q69" s="64" t="s">
        <v>33</v>
      </c>
      <c r="R69" s="64" t="s">
        <v>64</v>
      </c>
      <c r="S69" s="64">
        <v>33000</v>
      </c>
      <c r="T69" s="64" t="s">
        <v>2083</v>
      </c>
      <c r="U69" s="65">
        <v>46162</v>
      </c>
      <c r="V69" s="64" t="s">
        <v>28</v>
      </c>
      <c r="W69" s="64">
        <f t="shared" ref="W69:W71" si="116">+S69-M69</f>
        <v>6000</v>
      </c>
      <c r="X69" s="64" t="s">
        <v>29</v>
      </c>
      <c r="Y69" s="64" t="s">
        <v>63</v>
      </c>
      <c r="Z69" s="64">
        <f t="shared" ref="Z69:Z71" si="117">+W69*100/M69</f>
        <v>22.222222222222221</v>
      </c>
      <c r="AA69" s="64"/>
      <c r="AB69" s="64" t="s">
        <v>320</v>
      </c>
    </row>
    <row r="70" spans="1:28" hidden="1">
      <c r="A70" s="64">
        <f>SUBTOTAL(3,C$2:C70)</f>
        <v>55</v>
      </c>
      <c r="B70" s="64" t="s">
        <v>1086</v>
      </c>
      <c r="C70" s="64" t="s">
        <v>991</v>
      </c>
      <c r="D70" s="64" t="s">
        <v>32</v>
      </c>
      <c r="E70" s="64" t="s">
        <v>33</v>
      </c>
      <c r="F70" s="52" t="s">
        <v>1423</v>
      </c>
      <c r="G70" s="64" t="s">
        <v>989</v>
      </c>
      <c r="H70" s="52" t="s">
        <v>1424</v>
      </c>
      <c r="I70" s="65">
        <v>46151</v>
      </c>
      <c r="J70" s="64">
        <f t="shared" ca="1" si="113"/>
        <v>33</v>
      </c>
      <c r="K70" s="64">
        <f t="shared" si="114"/>
        <v>46162</v>
      </c>
      <c r="L70" s="52" t="s">
        <v>737</v>
      </c>
      <c r="M70" s="64">
        <v>16000</v>
      </c>
      <c r="N70" s="64">
        <v>12000</v>
      </c>
      <c r="O70" s="65">
        <v>46152</v>
      </c>
      <c r="P70" s="64">
        <f t="shared" si="115"/>
        <v>4000</v>
      </c>
      <c r="Q70" s="64" t="s">
        <v>33</v>
      </c>
      <c r="R70" s="64" t="s">
        <v>64</v>
      </c>
      <c r="S70" s="64">
        <v>20000</v>
      </c>
      <c r="T70" s="64" t="s">
        <v>2082</v>
      </c>
      <c r="U70" s="65">
        <v>46162</v>
      </c>
      <c r="V70" s="64" t="s">
        <v>28</v>
      </c>
      <c r="W70" s="64">
        <f t="shared" si="116"/>
        <v>4000</v>
      </c>
      <c r="X70" s="64" t="s">
        <v>29</v>
      </c>
      <c r="Y70" s="64" t="s">
        <v>63</v>
      </c>
      <c r="Z70" s="64">
        <f t="shared" si="117"/>
        <v>25</v>
      </c>
      <c r="AA70" s="64"/>
      <c r="AB70" s="64"/>
    </row>
    <row r="71" spans="1:28" hidden="1">
      <c r="A71" s="64">
        <f>SUBTOTAL(3,C$2:C71)</f>
        <v>55</v>
      </c>
      <c r="B71" s="64" t="s">
        <v>1086</v>
      </c>
      <c r="C71" s="64" t="s">
        <v>65</v>
      </c>
      <c r="D71" s="64" t="s">
        <v>32</v>
      </c>
      <c r="E71" s="64" t="s">
        <v>33</v>
      </c>
      <c r="F71" s="63" t="s">
        <v>66</v>
      </c>
      <c r="G71" s="64" t="s">
        <v>67</v>
      </c>
      <c r="H71" s="63" t="s">
        <v>1425</v>
      </c>
      <c r="I71" s="65">
        <v>46152</v>
      </c>
      <c r="J71" s="64">
        <f t="shared" ca="1" si="113"/>
        <v>32</v>
      </c>
      <c r="K71" s="64">
        <f t="shared" si="114"/>
        <v>46162</v>
      </c>
      <c r="L71" s="52" t="s">
        <v>737</v>
      </c>
      <c r="M71" s="64">
        <v>27000</v>
      </c>
      <c r="N71" s="64">
        <v>20000</v>
      </c>
      <c r="O71" s="65">
        <v>46153</v>
      </c>
      <c r="P71" s="64">
        <f t="shared" si="115"/>
        <v>7000</v>
      </c>
      <c r="Q71" s="64" t="s">
        <v>33</v>
      </c>
      <c r="R71" s="64" t="s">
        <v>64</v>
      </c>
      <c r="S71" s="64">
        <v>33000</v>
      </c>
      <c r="T71" s="64" t="s">
        <v>2083</v>
      </c>
      <c r="U71" s="65">
        <v>46162</v>
      </c>
      <c r="V71" s="64" t="s">
        <v>28</v>
      </c>
      <c r="W71" s="64">
        <f t="shared" si="116"/>
        <v>6000</v>
      </c>
      <c r="X71" s="64" t="s">
        <v>29</v>
      </c>
      <c r="Y71" s="64" t="s">
        <v>63</v>
      </c>
      <c r="Z71" s="64">
        <f t="shared" si="117"/>
        <v>22.222222222222221</v>
      </c>
      <c r="AA71" s="64"/>
      <c r="AB71" s="64"/>
    </row>
    <row r="72" spans="1:28" hidden="1">
      <c r="A72" s="64">
        <f>SUBTOTAL(3,C$2:C72)</f>
        <v>55</v>
      </c>
      <c r="B72" s="64" t="s">
        <v>1086</v>
      </c>
      <c r="C72" s="64" t="s">
        <v>65</v>
      </c>
      <c r="D72" s="64" t="s">
        <v>32</v>
      </c>
      <c r="E72" s="64" t="s">
        <v>33</v>
      </c>
      <c r="F72" s="63" t="s">
        <v>1228</v>
      </c>
      <c r="G72" s="64" t="s">
        <v>67</v>
      </c>
      <c r="H72" s="63" t="s">
        <v>1479</v>
      </c>
      <c r="I72" s="65">
        <v>46153</v>
      </c>
      <c r="J72" s="64">
        <f t="shared" ref="J72:J76" ca="1" si="118">+TODAY()-I72</f>
        <v>31</v>
      </c>
      <c r="K72" s="64">
        <f t="shared" ref="K72:K76" si="119">+U72</f>
        <v>46162</v>
      </c>
      <c r="L72" s="52" t="s">
        <v>737</v>
      </c>
      <c r="M72" s="64">
        <v>27000</v>
      </c>
      <c r="N72" s="64">
        <v>20000</v>
      </c>
      <c r="O72" s="65">
        <v>45789</v>
      </c>
      <c r="P72" s="64">
        <f t="shared" ref="P72:P76" si="120">+M72-N72</f>
        <v>7000</v>
      </c>
      <c r="Q72" s="64" t="s">
        <v>33</v>
      </c>
      <c r="R72" s="64" t="s">
        <v>64</v>
      </c>
      <c r="S72" s="64">
        <v>33000</v>
      </c>
      <c r="T72" s="64" t="s">
        <v>2083</v>
      </c>
      <c r="U72" s="65">
        <v>46162</v>
      </c>
      <c r="V72" s="64" t="s">
        <v>28</v>
      </c>
      <c r="W72" s="64">
        <f t="shared" ref="W72:W76" si="121">+S72-M72</f>
        <v>6000</v>
      </c>
      <c r="X72" s="64" t="s">
        <v>29</v>
      </c>
      <c r="Y72" s="64" t="s">
        <v>63</v>
      </c>
      <c r="Z72" s="64">
        <f t="shared" ref="Z72:Z76" si="122">+W72*100/M72</f>
        <v>22.222222222222221</v>
      </c>
      <c r="AA72" s="64"/>
      <c r="AB72" s="64"/>
    </row>
    <row r="73" spans="1:28" hidden="1">
      <c r="A73" s="64">
        <f>SUBTOTAL(3,C$2:C73)</f>
        <v>55</v>
      </c>
      <c r="B73" s="64" t="s">
        <v>1086</v>
      </c>
      <c r="C73" s="64" t="s">
        <v>1168</v>
      </c>
      <c r="D73" s="64" t="s">
        <v>32</v>
      </c>
      <c r="E73" s="64" t="s">
        <v>33</v>
      </c>
      <c r="F73" s="63" t="s">
        <v>1480</v>
      </c>
      <c r="G73" s="64" t="s">
        <v>989</v>
      </c>
      <c r="H73" s="63" t="s">
        <v>1481</v>
      </c>
      <c r="I73" s="65">
        <v>46154</v>
      </c>
      <c r="J73" s="64">
        <f t="shared" ca="1" si="118"/>
        <v>30</v>
      </c>
      <c r="K73" s="64">
        <f t="shared" si="119"/>
        <v>46162</v>
      </c>
      <c r="L73" s="52" t="s">
        <v>737</v>
      </c>
      <c r="M73" s="64">
        <f>15500+1000</f>
        <v>16500</v>
      </c>
      <c r="N73" s="64">
        <v>12000</v>
      </c>
      <c r="O73" s="65">
        <v>45789</v>
      </c>
      <c r="P73" s="64">
        <f t="shared" si="120"/>
        <v>4500</v>
      </c>
      <c r="Q73" s="64" t="s">
        <v>33</v>
      </c>
      <c r="R73" s="64" t="s">
        <v>64</v>
      </c>
      <c r="S73" s="64">
        <v>20000</v>
      </c>
      <c r="T73" s="64" t="s">
        <v>2082</v>
      </c>
      <c r="U73" s="65">
        <v>46162</v>
      </c>
      <c r="V73" s="64" t="s">
        <v>28</v>
      </c>
      <c r="W73" s="64">
        <f t="shared" si="121"/>
        <v>3500</v>
      </c>
      <c r="X73" s="64" t="s">
        <v>29</v>
      </c>
      <c r="Y73" s="64" t="s">
        <v>63</v>
      </c>
      <c r="Z73" s="64">
        <f t="shared" si="122"/>
        <v>21.212121212121211</v>
      </c>
      <c r="AA73" s="64"/>
      <c r="AB73" s="64" t="s">
        <v>320</v>
      </c>
    </row>
    <row r="74" spans="1:28" hidden="1">
      <c r="A74" s="64">
        <f>SUBTOTAL(3,C$2:C74)</f>
        <v>55</v>
      </c>
      <c r="B74" s="64" t="s">
        <v>1086</v>
      </c>
      <c r="C74" s="64" t="s">
        <v>65</v>
      </c>
      <c r="D74" s="64" t="s">
        <v>32</v>
      </c>
      <c r="E74" s="64" t="s">
        <v>33</v>
      </c>
      <c r="F74" s="63" t="s">
        <v>260</v>
      </c>
      <c r="G74" s="64" t="s">
        <v>67</v>
      </c>
      <c r="H74" s="63" t="s">
        <v>1492</v>
      </c>
      <c r="I74" s="65">
        <v>46154</v>
      </c>
      <c r="J74" s="64">
        <f t="shared" ca="1" si="118"/>
        <v>30</v>
      </c>
      <c r="K74" s="64">
        <f t="shared" si="119"/>
        <v>46162</v>
      </c>
      <c r="L74" s="52" t="s">
        <v>737</v>
      </c>
      <c r="M74" s="64">
        <v>27000</v>
      </c>
      <c r="N74" s="64">
        <v>20000</v>
      </c>
      <c r="O74" s="65">
        <v>46154</v>
      </c>
      <c r="P74" s="64">
        <f t="shared" si="120"/>
        <v>7000</v>
      </c>
      <c r="Q74" s="64" t="s">
        <v>33</v>
      </c>
      <c r="R74" s="64" t="s">
        <v>64</v>
      </c>
      <c r="S74" s="64">
        <v>33000</v>
      </c>
      <c r="T74" s="64" t="s">
        <v>2083</v>
      </c>
      <c r="U74" s="65">
        <v>46162</v>
      </c>
      <c r="V74" s="64" t="s">
        <v>28</v>
      </c>
      <c r="W74" s="64">
        <f t="shared" si="121"/>
        <v>6000</v>
      </c>
      <c r="X74" s="64" t="s">
        <v>29</v>
      </c>
      <c r="Y74" s="64" t="s">
        <v>63</v>
      </c>
      <c r="Z74" s="64">
        <f t="shared" si="122"/>
        <v>22.222222222222221</v>
      </c>
      <c r="AA74" s="64"/>
      <c r="AB74" s="64"/>
    </row>
    <row r="75" spans="1:28" hidden="1">
      <c r="A75" s="64">
        <f>SUBTOTAL(3,C$2:C75)</f>
        <v>55</v>
      </c>
      <c r="B75" s="64" t="s">
        <v>1086</v>
      </c>
      <c r="C75" s="64" t="s">
        <v>72</v>
      </c>
      <c r="D75" s="64" t="s">
        <v>32</v>
      </c>
      <c r="E75" s="64" t="s">
        <v>33</v>
      </c>
      <c r="F75" s="63" t="s">
        <v>69</v>
      </c>
      <c r="G75" s="64" t="s">
        <v>67</v>
      </c>
      <c r="H75" s="63" t="s">
        <v>1493</v>
      </c>
      <c r="I75" s="65">
        <v>46154</v>
      </c>
      <c r="J75" s="64">
        <f t="shared" ca="1" si="118"/>
        <v>30</v>
      </c>
      <c r="K75" s="64">
        <f t="shared" si="119"/>
        <v>46162</v>
      </c>
      <c r="L75" s="52" t="s">
        <v>71</v>
      </c>
      <c r="M75" s="64">
        <v>19000</v>
      </c>
      <c r="N75" s="64">
        <v>15000</v>
      </c>
      <c r="O75" s="65">
        <v>46154</v>
      </c>
      <c r="P75" s="64">
        <f t="shared" si="120"/>
        <v>4000</v>
      </c>
      <c r="Q75" s="64" t="s">
        <v>33</v>
      </c>
      <c r="R75" s="64" t="s">
        <v>64</v>
      </c>
      <c r="S75" s="64">
        <v>20500</v>
      </c>
      <c r="T75" s="64" t="s">
        <v>2084</v>
      </c>
      <c r="U75" s="65">
        <v>46162</v>
      </c>
      <c r="V75" s="64" t="s">
        <v>28</v>
      </c>
      <c r="W75" s="64">
        <f t="shared" si="121"/>
        <v>1500</v>
      </c>
      <c r="X75" s="64" t="s">
        <v>29</v>
      </c>
      <c r="Y75" s="64" t="s">
        <v>63</v>
      </c>
      <c r="Z75" s="64">
        <f t="shared" si="122"/>
        <v>7.8947368421052628</v>
      </c>
      <c r="AA75" s="64"/>
      <c r="AB75" s="64" t="s">
        <v>320</v>
      </c>
    </row>
    <row r="76" spans="1:28" hidden="1">
      <c r="A76" s="64">
        <f>SUBTOTAL(3,C$2:C76)</f>
        <v>55</v>
      </c>
      <c r="B76" s="64" t="s">
        <v>1086</v>
      </c>
      <c r="C76" s="64" t="s">
        <v>73</v>
      </c>
      <c r="D76" s="64" t="s">
        <v>32</v>
      </c>
      <c r="E76" s="64" t="s">
        <v>33</v>
      </c>
      <c r="F76" s="63" t="s">
        <v>1494</v>
      </c>
      <c r="G76" s="69" t="s">
        <v>67</v>
      </c>
      <c r="H76" s="63" t="s">
        <v>1495</v>
      </c>
      <c r="I76" s="76">
        <v>46154</v>
      </c>
      <c r="J76" s="64">
        <f t="shared" ca="1" si="118"/>
        <v>30</v>
      </c>
      <c r="K76" s="64">
        <f t="shared" si="119"/>
        <v>46162</v>
      </c>
      <c r="L76" s="52" t="s">
        <v>737</v>
      </c>
      <c r="M76" s="64">
        <v>30000</v>
      </c>
      <c r="N76" s="64">
        <v>26000</v>
      </c>
      <c r="O76" s="65">
        <v>46154</v>
      </c>
      <c r="P76" s="64">
        <f t="shared" si="120"/>
        <v>4000</v>
      </c>
      <c r="Q76" s="64" t="s">
        <v>33</v>
      </c>
      <c r="R76" s="64" t="s">
        <v>64</v>
      </c>
      <c r="S76" s="64">
        <v>33000</v>
      </c>
      <c r="T76" s="64" t="s">
        <v>2083</v>
      </c>
      <c r="U76" s="65">
        <v>46162</v>
      </c>
      <c r="V76" s="64" t="s">
        <v>28</v>
      </c>
      <c r="W76" s="64">
        <f t="shared" si="121"/>
        <v>3000</v>
      </c>
      <c r="X76" s="64" t="s">
        <v>29</v>
      </c>
      <c r="Y76" s="64" t="s">
        <v>63</v>
      </c>
      <c r="Z76" s="71">
        <f t="shared" si="122"/>
        <v>10</v>
      </c>
      <c r="AA76" s="64"/>
      <c r="AB76" s="64" t="s">
        <v>320</v>
      </c>
    </row>
    <row r="77" spans="1:28" hidden="1">
      <c r="A77" s="64">
        <f>SUBTOTAL(3,C$2:C77)</f>
        <v>55</v>
      </c>
      <c r="B77" s="64" t="s">
        <v>1086</v>
      </c>
      <c r="C77" s="64" t="s">
        <v>1168</v>
      </c>
      <c r="D77" s="64" t="s">
        <v>32</v>
      </c>
      <c r="E77" s="64" t="s">
        <v>33</v>
      </c>
      <c r="F77" s="63" t="s">
        <v>1524</v>
      </c>
      <c r="G77" s="69" t="s">
        <v>989</v>
      </c>
      <c r="H77" s="63" t="s">
        <v>1525</v>
      </c>
      <c r="I77" s="65">
        <v>46155</v>
      </c>
      <c r="J77" s="64">
        <f t="shared" ref="J77:J78" ca="1" si="123">+TODAY()-I77</f>
        <v>29</v>
      </c>
      <c r="K77" s="64">
        <f t="shared" ref="K77:K78" si="124">+U77</f>
        <v>46162</v>
      </c>
      <c r="L77" s="52" t="s">
        <v>737</v>
      </c>
      <c r="M77" s="64">
        <v>15500</v>
      </c>
      <c r="N77" s="64">
        <v>12000</v>
      </c>
      <c r="O77" s="65">
        <v>45790</v>
      </c>
      <c r="P77" s="64">
        <f t="shared" ref="P77:P78" si="125">+M77-N77</f>
        <v>3500</v>
      </c>
      <c r="Q77" s="64" t="s">
        <v>33</v>
      </c>
      <c r="R77" s="64" t="s">
        <v>64</v>
      </c>
      <c r="S77" s="64">
        <v>20000</v>
      </c>
      <c r="T77" s="64" t="s">
        <v>2082</v>
      </c>
      <c r="U77" s="65">
        <v>46162</v>
      </c>
      <c r="V77" s="64" t="s">
        <v>28</v>
      </c>
      <c r="W77" s="64">
        <f t="shared" ref="W77:W78" si="126">+S77-M77</f>
        <v>4500</v>
      </c>
      <c r="X77" s="64" t="s">
        <v>29</v>
      </c>
      <c r="Y77" s="64" t="s">
        <v>63</v>
      </c>
      <c r="Z77" s="71">
        <f t="shared" ref="Z77:Z78" si="127">+W77*100/M77</f>
        <v>29.032258064516128</v>
      </c>
      <c r="AA77" s="64"/>
      <c r="AB77" s="64" t="s">
        <v>320</v>
      </c>
    </row>
    <row r="78" spans="1:28" hidden="1">
      <c r="A78" s="64">
        <f>SUBTOTAL(3,C$2:C78)</f>
        <v>55</v>
      </c>
      <c r="B78" s="64" t="s">
        <v>1086</v>
      </c>
      <c r="C78" s="64" t="s">
        <v>73</v>
      </c>
      <c r="D78" s="64" t="s">
        <v>32</v>
      </c>
      <c r="E78" s="64" t="s">
        <v>33</v>
      </c>
      <c r="F78" s="63" t="s">
        <v>1526</v>
      </c>
      <c r="G78" s="69" t="s">
        <v>67</v>
      </c>
      <c r="H78" s="63" t="s">
        <v>1527</v>
      </c>
      <c r="I78" s="65">
        <v>46154</v>
      </c>
      <c r="J78" s="64">
        <f t="shared" ca="1" si="123"/>
        <v>30</v>
      </c>
      <c r="K78" s="64">
        <f t="shared" si="124"/>
        <v>46162</v>
      </c>
      <c r="L78" s="52" t="s">
        <v>737</v>
      </c>
      <c r="M78" s="64">
        <v>33000</v>
      </c>
      <c r="N78" s="64">
        <v>29000</v>
      </c>
      <c r="O78" s="65">
        <v>46155</v>
      </c>
      <c r="P78" s="64">
        <f t="shared" si="125"/>
        <v>4000</v>
      </c>
      <c r="Q78" s="64" t="s">
        <v>33</v>
      </c>
      <c r="R78" s="64" t="s">
        <v>64</v>
      </c>
      <c r="S78" s="64">
        <v>33000</v>
      </c>
      <c r="T78" s="64" t="s">
        <v>2083</v>
      </c>
      <c r="U78" s="65">
        <v>46162</v>
      </c>
      <c r="V78" s="64" t="s">
        <v>28</v>
      </c>
      <c r="W78" s="64">
        <f t="shared" si="126"/>
        <v>0</v>
      </c>
      <c r="X78" s="64" t="s">
        <v>29</v>
      </c>
      <c r="Y78" s="64" t="s">
        <v>63</v>
      </c>
      <c r="Z78" s="71">
        <f t="shared" si="127"/>
        <v>0</v>
      </c>
      <c r="AA78" s="64"/>
      <c r="AB78" s="64" t="s">
        <v>320</v>
      </c>
    </row>
    <row r="79" spans="1:28" hidden="1">
      <c r="A79" s="64">
        <f>SUBTOTAL(3,C$2:C79)</f>
        <v>55</v>
      </c>
      <c r="B79" s="64" t="s">
        <v>1086</v>
      </c>
      <c r="C79" s="64" t="s">
        <v>1567</v>
      </c>
      <c r="D79" s="64" t="s">
        <v>32</v>
      </c>
      <c r="E79" s="64" t="s">
        <v>33</v>
      </c>
      <c r="F79" s="63" t="s">
        <v>1568</v>
      </c>
      <c r="G79" s="69" t="s">
        <v>67</v>
      </c>
      <c r="H79" s="63" t="s">
        <v>1569</v>
      </c>
      <c r="I79" s="65">
        <v>46155</v>
      </c>
      <c r="J79" s="64">
        <f t="shared" ref="J79:J83" ca="1" si="128">+TODAY()-I79</f>
        <v>29</v>
      </c>
      <c r="K79" s="64">
        <f t="shared" ref="K79:K83" si="129">+U79</f>
        <v>46162</v>
      </c>
      <c r="L79" s="63" t="s">
        <v>1570</v>
      </c>
      <c r="M79" s="64">
        <v>12000</v>
      </c>
      <c r="N79" s="64">
        <v>11000</v>
      </c>
      <c r="O79" s="65">
        <v>45790</v>
      </c>
      <c r="P79" s="64">
        <f t="shared" ref="P79:P83" si="130">+M79-N79</f>
        <v>1000</v>
      </c>
      <c r="Q79" s="64" t="s">
        <v>33</v>
      </c>
      <c r="R79" s="64" t="s">
        <v>1662</v>
      </c>
      <c r="S79" s="64">
        <v>15000</v>
      </c>
      <c r="T79" s="64" t="s">
        <v>2085</v>
      </c>
      <c r="U79" s="65">
        <v>46162</v>
      </c>
      <c r="V79" s="64" t="s">
        <v>28</v>
      </c>
      <c r="W79" s="64">
        <f t="shared" ref="W79:W83" si="131">+S79-M79</f>
        <v>3000</v>
      </c>
      <c r="X79" s="64" t="s">
        <v>29</v>
      </c>
      <c r="Y79" s="64" t="s">
        <v>63</v>
      </c>
      <c r="Z79" s="71">
        <f t="shared" ref="Z79:Z83" si="132">+W79*100/M79</f>
        <v>25</v>
      </c>
      <c r="AA79" s="64"/>
      <c r="AB79" s="64" t="s">
        <v>320</v>
      </c>
    </row>
    <row r="80" spans="1:28" hidden="1">
      <c r="A80" s="64">
        <f>SUBTOTAL(3,C$2:C80)</f>
        <v>55</v>
      </c>
      <c r="B80" s="64" t="s">
        <v>1086</v>
      </c>
      <c r="C80" s="64" t="s">
        <v>991</v>
      </c>
      <c r="D80" s="64" t="s">
        <v>32</v>
      </c>
      <c r="E80" s="64" t="s">
        <v>33</v>
      </c>
      <c r="F80" s="63" t="s">
        <v>1601</v>
      </c>
      <c r="G80" s="69" t="s">
        <v>989</v>
      </c>
      <c r="H80" s="63" t="s">
        <v>1602</v>
      </c>
      <c r="I80" s="65">
        <v>46156</v>
      </c>
      <c r="J80" s="64">
        <f t="shared" ca="1" si="128"/>
        <v>28</v>
      </c>
      <c r="K80" s="64">
        <f t="shared" si="129"/>
        <v>46162</v>
      </c>
      <c r="L80" s="52" t="s">
        <v>737</v>
      </c>
      <c r="M80" s="64">
        <v>15500</v>
      </c>
      <c r="N80" s="64">
        <v>12500</v>
      </c>
      <c r="O80" s="65">
        <v>46156</v>
      </c>
      <c r="P80" s="64">
        <f t="shared" si="130"/>
        <v>3000</v>
      </c>
      <c r="Q80" s="64" t="s">
        <v>33</v>
      </c>
      <c r="R80" s="64" t="s">
        <v>64</v>
      </c>
      <c r="S80" s="64">
        <v>20000</v>
      </c>
      <c r="T80" s="64" t="s">
        <v>2082</v>
      </c>
      <c r="U80" s="65">
        <v>46162</v>
      </c>
      <c r="V80" s="64" t="s">
        <v>28</v>
      </c>
      <c r="W80" s="64">
        <f t="shared" si="131"/>
        <v>4500</v>
      </c>
      <c r="X80" s="64" t="s">
        <v>29</v>
      </c>
      <c r="Y80" s="64" t="s">
        <v>63</v>
      </c>
      <c r="Z80" s="71">
        <f t="shared" si="132"/>
        <v>29.032258064516128</v>
      </c>
      <c r="AA80" s="64"/>
      <c r="AB80" s="64"/>
    </row>
    <row r="81" spans="1:28" hidden="1">
      <c r="A81" s="64">
        <f>SUBTOTAL(3,C$2:C81)</f>
        <v>55</v>
      </c>
      <c r="B81" s="64" t="s">
        <v>1086</v>
      </c>
      <c r="C81" s="64" t="s">
        <v>948</v>
      </c>
      <c r="D81" s="64" t="s">
        <v>32</v>
      </c>
      <c r="E81" s="64" t="s">
        <v>33</v>
      </c>
      <c r="F81" s="63" t="s">
        <v>1603</v>
      </c>
      <c r="G81" s="69" t="s">
        <v>951</v>
      </c>
      <c r="H81" s="63" t="s">
        <v>1604</v>
      </c>
      <c r="I81" s="65">
        <v>46156</v>
      </c>
      <c r="J81" s="64">
        <f t="shared" ca="1" si="128"/>
        <v>28</v>
      </c>
      <c r="K81" s="64">
        <f t="shared" si="129"/>
        <v>46162</v>
      </c>
      <c r="L81" s="52" t="s">
        <v>737</v>
      </c>
      <c r="M81" s="64">
        <v>15500</v>
      </c>
      <c r="N81" s="64">
        <v>12500</v>
      </c>
      <c r="O81" s="65">
        <v>46156</v>
      </c>
      <c r="P81" s="64">
        <f t="shared" si="130"/>
        <v>3000</v>
      </c>
      <c r="Q81" s="64" t="s">
        <v>33</v>
      </c>
      <c r="R81" s="64" t="s">
        <v>64</v>
      </c>
      <c r="S81" s="64">
        <v>20000</v>
      </c>
      <c r="T81" s="64" t="s">
        <v>2082</v>
      </c>
      <c r="U81" s="65">
        <v>46162</v>
      </c>
      <c r="V81" s="64" t="s">
        <v>28</v>
      </c>
      <c r="W81" s="64">
        <f t="shared" si="131"/>
        <v>4500</v>
      </c>
      <c r="X81" s="64" t="s">
        <v>29</v>
      </c>
      <c r="Y81" s="64" t="s">
        <v>63</v>
      </c>
      <c r="Z81" s="71">
        <f t="shared" si="132"/>
        <v>29.032258064516128</v>
      </c>
      <c r="AA81" s="64"/>
      <c r="AB81" s="64"/>
    </row>
    <row r="82" spans="1:28" hidden="1">
      <c r="A82" s="64">
        <f>SUBTOTAL(3,C$2:C82)</f>
        <v>55</v>
      </c>
      <c r="B82" s="64" t="s">
        <v>1086</v>
      </c>
      <c r="C82" s="64" t="s">
        <v>72</v>
      </c>
      <c r="D82" s="64" t="s">
        <v>32</v>
      </c>
      <c r="E82" s="64" t="s">
        <v>33</v>
      </c>
      <c r="F82" s="63" t="s">
        <v>1084</v>
      </c>
      <c r="G82" s="69" t="s">
        <v>67</v>
      </c>
      <c r="H82" s="63" t="s">
        <v>1605</v>
      </c>
      <c r="I82" s="65">
        <v>46156</v>
      </c>
      <c r="J82" s="64">
        <f t="shared" ca="1" si="128"/>
        <v>28</v>
      </c>
      <c r="K82" s="64">
        <f t="shared" si="129"/>
        <v>46162</v>
      </c>
      <c r="L82" s="52" t="s">
        <v>737</v>
      </c>
      <c r="M82" s="64">
        <v>27000</v>
      </c>
      <c r="N82" s="64">
        <v>20000</v>
      </c>
      <c r="O82" s="65">
        <v>46156</v>
      </c>
      <c r="P82" s="64">
        <f t="shared" si="130"/>
        <v>7000</v>
      </c>
      <c r="Q82" s="64" t="s">
        <v>33</v>
      </c>
      <c r="R82" s="64" t="s">
        <v>64</v>
      </c>
      <c r="S82" s="64">
        <v>33000</v>
      </c>
      <c r="T82" s="64" t="s">
        <v>2083</v>
      </c>
      <c r="U82" s="65">
        <v>46162</v>
      </c>
      <c r="V82" s="64" t="s">
        <v>28</v>
      </c>
      <c r="W82" s="64">
        <f t="shared" si="131"/>
        <v>6000</v>
      </c>
      <c r="X82" s="64" t="s">
        <v>29</v>
      </c>
      <c r="Y82" s="64" t="s">
        <v>63</v>
      </c>
      <c r="Z82" s="71">
        <f t="shared" si="132"/>
        <v>22.222222222222221</v>
      </c>
      <c r="AA82" s="64"/>
      <c r="AB82" s="64" t="s">
        <v>320</v>
      </c>
    </row>
    <row r="83" spans="1:28" hidden="1">
      <c r="A83" s="64">
        <f>SUBTOTAL(3,C$2:C83)</f>
        <v>55</v>
      </c>
      <c r="B83" s="64" t="s">
        <v>1086</v>
      </c>
      <c r="C83" s="64" t="s">
        <v>1567</v>
      </c>
      <c r="D83" s="64" t="s">
        <v>32</v>
      </c>
      <c r="E83" s="64" t="s">
        <v>33</v>
      </c>
      <c r="F83" s="63" t="s">
        <v>1648</v>
      </c>
      <c r="G83" s="69" t="s">
        <v>67</v>
      </c>
      <c r="H83" s="63" t="s">
        <v>1649</v>
      </c>
      <c r="I83" s="65">
        <v>46157</v>
      </c>
      <c r="J83" s="64">
        <f t="shared" ca="1" si="128"/>
        <v>27</v>
      </c>
      <c r="K83" s="64">
        <f t="shared" si="129"/>
        <v>46162</v>
      </c>
      <c r="L83" s="52" t="s">
        <v>1570</v>
      </c>
      <c r="M83" s="64">
        <v>13500</v>
      </c>
      <c r="N83" s="64">
        <v>12500</v>
      </c>
      <c r="O83" s="65">
        <v>46157</v>
      </c>
      <c r="P83" s="64">
        <f t="shared" si="130"/>
        <v>1000</v>
      </c>
      <c r="Q83" s="64" t="s">
        <v>33</v>
      </c>
      <c r="R83" s="64" t="s">
        <v>1662</v>
      </c>
      <c r="S83" s="64">
        <v>15000</v>
      </c>
      <c r="T83" s="64" t="s">
        <v>2085</v>
      </c>
      <c r="U83" s="65">
        <v>46162</v>
      </c>
      <c r="V83" s="64" t="s">
        <v>28</v>
      </c>
      <c r="W83" s="64">
        <f t="shared" si="131"/>
        <v>1500</v>
      </c>
      <c r="X83" s="64" t="s">
        <v>29</v>
      </c>
      <c r="Y83" s="64" t="s">
        <v>63</v>
      </c>
      <c r="Z83" s="71">
        <f t="shared" si="132"/>
        <v>11.111111111111111</v>
      </c>
      <c r="AA83" s="64"/>
      <c r="AB83" s="64" t="s">
        <v>320</v>
      </c>
    </row>
    <row r="84" spans="1:28" hidden="1">
      <c r="A84" s="64">
        <f>SUBTOTAL(3,C$2:C84)</f>
        <v>55</v>
      </c>
      <c r="B84" s="64" t="s">
        <v>1086</v>
      </c>
      <c r="C84" s="64" t="s">
        <v>991</v>
      </c>
      <c r="D84" s="64" t="s">
        <v>32</v>
      </c>
      <c r="E84" s="64" t="s">
        <v>33</v>
      </c>
      <c r="F84" s="63" t="s">
        <v>1643</v>
      </c>
      <c r="G84" s="69" t="s">
        <v>1645</v>
      </c>
      <c r="H84" s="63" t="s">
        <v>1644</v>
      </c>
      <c r="I84" s="65">
        <v>46157</v>
      </c>
      <c r="J84" s="64">
        <f t="shared" ref="J84:J85" ca="1" si="133">+TODAY()-I84</f>
        <v>27</v>
      </c>
      <c r="K84" s="64">
        <f t="shared" ref="K84:K85" si="134">+U84</f>
        <v>46162</v>
      </c>
      <c r="L84" s="52" t="s">
        <v>737</v>
      </c>
      <c r="M84" s="64">
        <v>15500</v>
      </c>
      <c r="N84" s="64">
        <v>13500</v>
      </c>
      <c r="O84" s="65">
        <v>46157</v>
      </c>
      <c r="P84" s="64">
        <f t="shared" ref="P84:P85" si="135">+M84-N84</f>
        <v>2000</v>
      </c>
      <c r="Q84" s="64" t="s">
        <v>33</v>
      </c>
      <c r="R84" s="64" t="s">
        <v>64</v>
      </c>
      <c r="S84" s="64">
        <v>20000</v>
      </c>
      <c r="T84" s="64" t="s">
        <v>2082</v>
      </c>
      <c r="U84" s="65">
        <v>46162</v>
      </c>
      <c r="V84" s="64" t="s">
        <v>28</v>
      </c>
      <c r="W84" s="64">
        <f t="shared" ref="W84:W85" si="136">+S84-M84</f>
        <v>4500</v>
      </c>
      <c r="X84" s="64" t="s">
        <v>29</v>
      </c>
      <c r="Y84" s="64" t="s">
        <v>63</v>
      </c>
      <c r="Z84" s="71">
        <f t="shared" ref="Z84:Z85" si="137">+W84*100/M84</f>
        <v>29.032258064516128</v>
      </c>
      <c r="AA84" s="64"/>
      <c r="AB84" s="64"/>
    </row>
    <row r="85" spans="1:28" hidden="1">
      <c r="A85" s="64">
        <f>SUBTOTAL(3,C$2:C85)</f>
        <v>55</v>
      </c>
      <c r="B85" s="64" t="s">
        <v>1086</v>
      </c>
      <c r="C85" s="64" t="s">
        <v>948</v>
      </c>
      <c r="D85" s="64" t="s">
        <v>32</v>
      </c>
      <c r="E85" s="64" t="s">
        <v>33</v>
      </c>
      <c r="F85" s="63" t="s">
        <v>1646</v>
      </c>
      <c r="G85" s="69" t="s">
        <v>1645</v>
      </c>
      <c r="H85" s="63" t="s">
        <v>1647</v>
      </c>
      <c r="I85" s="65">
        <v>46157</v>
      </c>
      <c r="J85" s="64">
        <f t="shared" ca="1" si="133"/>
        <v>27</v>
      </c>
      <c r="K85" s="64">
        <f t="shared" si="134"/>
        <v>46162</v>
      </c>
      <c r="L85" s="52" t="s">
        <v>737</v>
      </c>
      <c r="M85" s="64">
        <v>15500</v>
      </c>
      <c r="N85" s="64">
        <v>13500</v>
      </c>
      <c r="O85" s="65">
        <v>46157</v>
      </c>
      <c r="P85" s="64">
        <f t="shared" si="135"/>
        <v>2000</v>
      </c>
      <c r="Q85" s="64" t="s">
        <v>33</v>
      </c>
      <c r="R85" s="64" t="s">
        <v>64</v>
      </c>
      <c r="S85" s="64">
        <v>20000</v>
      </c>
      <c r="T85" s="64" t="s">
        <v>2082</v>
      </c>
      <c r="U85" s="65">
        <v>46162</v>
      </c>
      <c r="V85" s="64" t="s">
        <v>28</v>
      </c>
      <c r="W85" s="64">
        <f t="shared" si="136"/>
        <v>4500</v>
      </c>
      <c r="X85" s="64" t="s">
        <v>29</v>
      </c>
      <c r="Y85" s="64" t="s">
        <v>63</v>
      </c>
      <c r="Z85" s="71">
        <f t="shared" si="137"/>
        <v>29.032258064516128</v>
      </c>
      <c r="AA85" s="64"/>
      <c r="AB85" s="64"/>
    </row>
    <row r="86" spans="1:28" hidden="1">
      <c r="A86" s="64">
        <f>SUBTOTAL(3,C$2:C86)</f>
        <v>55</v>
      </c>
      <c r="B86" s="64" t="s">
        <v>1086</v>
      </c>
      <c r="C86" s="64" t="s">
        <v>1567</v>
      </c>
      <c r="D86" s="64" t="s">
        <v>32</v>
      </c>
      <c r="E86" s="64" t="s">
        <v>33</v>
      </c>
      <c r="F86" s="63" t="s">
        <v>1650</v>
      </c>
      <c r="G86" s="69" t="s">
        <v>143</v>
      </c>
      <c r="H86" s="63" t="s">
        <v>1651</v>
      </c>
      <c r="I86" s="65">
        <v>46157</v>
      </c>
      <c r="J86" s="64">
        <f t="shared" ref="J86:J89" ca="1" si="138">+TODAY()-I86</f>
        <v>27</v>
      </c>
      <c r="K86" s="64">
        <f t="shared" ref="K86:K89" si="139">+U86</f>
        <v>46162</v>
      </c>
      <c r="L86" s="52" t="s">
        <v>1570</v>
      </c>
      <c r="M86" s="64">
        <v>8000</v>
      </c>
      <c r="N86" s="64">
        <v>7000</v>
      </c>
      <c r="O86" s="65">
        <v>46157</v>
      </c>
      <c r="P86" s="64">
        <f t="shared" ref="P86:P89" si="140">+M86-N86</f>
        <v>1000</v>
      </c>
      <c r="Q86" s="64" t="s">
        <v>33</v>
      </c>
      <c r="R86" s="64" t="s">
        <v>1662</v>
      </c>
      <c r="S86" s="64">
        <v>15000</v>
      </c>
      <c r="T86" s="64" t="s">
        <v>2085</v>
      </c>
      <c r="U86" s="65">
        <v>46162</v>
      </c>
      <c r="V86" s="64" t="s">
        <v>28</v>
      </c>
      <c r="W86" s="64">
        <f t="shared" ref="W86:W89" si="141">+S86-M86</f>
        <v>7000</v>
      </c>
      <c r="X86" s="64" t="s">
        <v>29</v>
      </c>
      <c r="Y86" s="64" t="s">
        <v>63</v>
      </c>
      <c r="Z86" s="71">
        <f t="shared" ref="Z86:Z89" si="142">+W86*100/M86</f>
        <v>87.5</v>
      </c>
      <c r="AA86" s="64"/>
      <c r="AB86" s="64" t="s">
        <v>320</v>
      </c>
    </row>
    <row r="87" spans="1:28" hidden="1">
      <c r="A87" s="64">
        <f>SUBTOTAL(3,C$2:C87)</f>
        <v>55</v>
      </c>
      <c r="B87" s="64" t="s">
        <v>1086</v>
      </c>
      <c r="C87" s="64" t="s">
        <v>991</v>
      </c>
      <c r="D87" s="64" t="s">
        <v>32</v>
      </c>
      <c r="E87" s="64" t="s">
        <v>33</v>
      </c>
      <c r="F87" s="63" t="s">
        <v>1663</v>
      </c>
      <c r="G87" s="69" t="s">
        <v>1645</v>
      </c>
      <c r="H87" s="63" t="s">
        <v>1664</v>
      </c>
      <c r="I87" s="65">
        <v>46157</v>
      </c>
      <c r="J87" s="64">
        <f t="shared" ca="1" si="138"/>
        <v>27</v>
      </c>
      <c r="K87" s="64">
        <f t="shared" si="139"/>
        <v>46162</v>
      </c>
      <c r="L87" s="52" t="s">
        <v>737</v>
      </c>
      <c r="M87" s="64">
        <v>15500</v>
      </c>
      <c r="N87" s="64">
        <v>13500</v>
      </c>
      <c r="O87" s="65">
        <v>46157</v>
      </c>
      <c r="P87" s="64">
        <f t="shared" si="140"/>
        <v>2000</v>
      </c>
      <c r="Q87" s="64" t="s">
        <v>33</v>
      </c>
      <c r="R87" s="64" t="s">
        <v>64</v>
      </c>
      <c r="S87" s="64">
        <v>20000</v>
      </c>
      <c r="T87" s="64" t="s">
        <v>2082</v>
      </c>
      <c r="U87" s="65">
        <v>46162</v>
      </c>
      <c r="V87" s="64" t="s">
        <v>28</v>
      </c>
      <c r="W87" s="64">
        <f t="shared" si="141"/>
        <v>4500</v>
      </c>
      <c r="X87" s="64" t="s">
        <v>29</v>
      </c>
      <c r="Y87" s="64" t="s">
        <v>63</v>
      </c>
      <c r="Z87" s="71">
        <f t="shared" si="142"/>
        <v>29.032258064516128</v>
      </c>
      <c r="AA87" s="64"/>
      <c r="AB87" s="64"/>
    </row>
    <row r="88" spans="1:28" hidden="1">
      <c r="A88" s="64">
        <f>SUBTOTAL(3,C$2:C88)</f>
        <v>55</v>
      </c>
      <c r="B88" s="64" t="s">
        <v>1086</v>
      </c>
      <c r="C88" s="64" t="s">
        <v>73</v>
      </c>
      <c r="D88" s="64" t="s">
        <v>32</v>
      </c>
      <c r="E88" s="64" t="s">
        <v>33</v>
      </c>
      <c r="F88" s="63" t="s">
        <v>321</v>
      </c>
      <c r="G88" s="69" t="s">
        <v>67</v>
      </c>
      <c r="H88" s="63" t="s">
        <v>1665</v>
      </c>
      <c r="I88" s="65">
        <v>46157</v>
      </c>
      <c r="J88" s="64">
        <f t="shared" ca="1" si="138"/>
        <v>27</v>
      </c>
      <c r="K88" s="64">
        <f t="shared" si="139"/>
        <v>46162</v>
      </c>
      <c r="L88" s="52" t="s">
        <v>737</v>
      </c>
      <c r="M88" s="64">
        <v>27000</v>
      </c>
      <c r="N88" s="64">
        <v>23000</v>
      </c>
      <c r="O88" s="65">
        <v>46157</v>
      </c>
      <c r="P88" s="64">
        <f t="shared" si="140"/>
        <v>4000</v>
      </c>
      <c r="Q88" s="64" t="s">
        <v>33</v>
      </c>
      <c r="R88" s="64" t="s">
        <v>64</v>
      </c>
      <c r="S88" s="64">
        <v>33000</v>
      </c>
      <c r="T88" s="64" t="s">
        <v>2083</v>
      </c>
      <c r="U88" s="65">
        <v>46162</v>
      </c>
      <c r="V88" s="64" t="s">
        <v>28</v>
      </c>
      <c r="W88" s="64">
        <f t="shared" si="141"/>
        <v>6000</v>
      </c>
      <c r="X88" s="64" t="s">
        <v>29</v>
      </c>
      <c r="Y88" s="64" t="s">
        <v>63</v>
      </c>
      <c r="Z88" s="71">
        <f t="shared" si="142"/>
        <v>22.222222222222221</v>
      </c>
      <c r="AA88" s="64"/>
      <c r="AB88" s="64" t="s">
        <v>320</v>
      </c>
    </row>
    <row r="89" spans="1:28" hidden="1">
      <c r="A89" s="64">
        <f>SUBTOTAL(3,C$2:C89)</f>
        <v>55</v>
      </c>
      <c r="B89" s="64" t="s">
        <v>1086</v>
      </c>
      <c r="C89" s="64" t="s">
        <v>1168</v>
      </c>
      <c r="D89" s="64" t="s">
        <v>32</v>
      </c>
      <c r="E89" s="64" t="s">
        <v>33</v>
      </c>
      <c r="F89" s="63" t="s">
        <v>1480</v>
      </c>
      <c r="G89" s="69" t="s">
        <v>989</v>
      </c>
      <c r="H89" s="63" t="s">
        <v>1691</v>
      </c>
      <c r="I89" s="65">
        <v>46158</v>
      </c>
      <c r="J89" s="64">
        <f t="shared" ca="1" si="138"/>
        <v>26</v>
      </c>
      <c r="K89" s="64" t="str">
        <f t="shared" si="139"/>
        <v>Pending</v>
      </c>
      <c r="L89" s="52" t="s">
        <v>737</v>
      </c>
      <c r="M89" s="64">
        <v>15500</v>
      </c>
      <c r="N89" s="64">
        <v>12000</v>
      </c>
      <c r="O89" s="65">
        <v>46158</v>
      </c>
      <c r="P89" s="64">
        <f t="shared" si="140"/>
        <v>3500</v>
      </c>
      <c r="Q89" s="64" t="s">
        <v>33</v>
      </c>
      <c r="R89" s="64" t="s">
        <v>64</v>
      </c>
      <c r="S89" s="64">
        <v>20000</v>
      </c>
      <c r="T89" s="64" t="s">
        <v>33</v>
      </c>
      <c r="U89" s="64" t="s">
        <v>33</v>
      </c>
      <c r="V89" s="64" t="s">
        <v>28</v>
      </c>
      <c r="W89" s="64">
        <f t="shared" si="141"/>
        <v>4500</v>
      </c>
      <c r="X89" s="64" t="s">
        <v>29</v>
      </c>
      <c r="Y89" s="64" t="s">
        <v>63</v>
      </c>
      <c r="Z89" s="71">
        <f t="shared" si="142"/>
        <v>29.032258064516128</v>
      </c>
      <c r="AA89" s="64"/>
      <c r="AB89" s="64" t="s">
        <v>320</v>
      </c>
    </row>
    <row r="90" spans="1:28" hidden="1">
      <c r="A90" s="64">
        <f>SUBTOTAL(3,C$2:C90)</f>
        <v>55</v>
      </c>
      <c r="B90" s="64" t="s">
        <v>1086</v>
      </c>
      <c r="C90" s="64" t="s">
        <v>991</v>
      </c>
      <c r="D90" s="64" t="s">
        <v>32</v>
      </c>
      <c r="E90" s="64" t="s">
        <v>33</v>
      </c>
      <c r="F90" s="63" t="s">
        <v>1686</v>
      </c>
      <c r="G90" s="69" t="s">
        <v>1645</v>
      </c>
      <c r="H90" s="63" t="s">
        <v>1688</v>
      </c>
      <c r="I90" s="65">
        <v>46158</v>
      </c>
      <c r="J90" s="64">
        <f t="shared" ref="J90:J91" ca="1" si="143">+TODAY()-I90</f>
        <v>26</v>
      </c>
      <c r="K90" s="64" t="str">
        <f t="shared" ref="K90:K91" si="144">+U90</f>
        <v>Pending</v>
      </c>
      <c r="L90" s="52" t="s">
        <v>737</v>
      </c>
      <c r="M90" s="64">
        <v>15500</v>
      </c>
      <c r="N90" s="64">
        <v>13500</v>
      </c>
      <c r="O90" s="65">
        <v>46158</v>
      </c>
      <c r="P90" s="64">
        <f t="shared" ref="P90:P91" si="145">+M90-N90</f>
        <v>2000</v>
      </c>
      <c r="Q90" s="64" t="s">
        <v>33</v>
      </c>
      <c r="R90" s="64" t="s">
        <v>64</v>
      </c>
      <c r="S90" s="64">
        <v>20000</v>
      </c>
      <c r="T90" s="64" t="s">
        <v>33</v>
      </c>
      <c r="U90" s="64" t="s">
        <v>33</v>
      </c>
      <c r="V90" s="64" t="s">
        <v>28</v>
      </c>
      <c r="W90" s="64">
        <f t="shared" ref="W90:W91" si="146">+S90-M90</f>
        <v>4500</v>
      </c>
      <c r="X90" s="64" t="s">
        <v>29</v>
      </c>
      <c r="Y90" s="64" t="s">
        <v>63</v>
      </c>
      <c r="Z90" s="71">
        <f t="shared" ref="Z90:Z91" si="147">+W90*100/M90</f>
        <v>29.032258064516128</v>
      </c>
      <c r="AA90" s="64"/>
      <c r="AB90" s="64"/>
    </row>
    <row r="91" spans="1:28" hidden="1">
      <c r="A91" s="64">
        <f>SUBTOTAL(3,C$2:C91)</f>
        <v>55</v>
      </c>
      <c r="B91" s="64" t="s">
        <v>1086</v>
      </c>
      <c r="C91" s="64" t="s">
        <v>65</v>
      </c>
      <c r="D91" s="64" t="s">
        <v>32</v>
      </c>
      <c r="E91" s="64" t="s">
        <v>33</v>
      </c>
      <c r="F91" s="63" t="s">
        <v>66</v>
      </c>
      <c r="G91" s="69" t="s">
        <v>67</v>
      </c>
      <c r="H91" s="63" t="s">
        <v>1687</v>
      </c>
      <c r="I91" s="65">
        <v>46158</v>
      </c>
      <c r="J91" s="64">
        <f t="shared" ca="1" si="143"/>
        <v>26</v>
      </c>
      <c r="K91" s="64" t="str">
        <f t="shared" si="144"/>
        <v>Pending</v>
      </c>
      <c r="L91" s="52" t="s">
        <v>737</v>
      </c>
      <c r="M91" s="64">
        <v>27000</v>
      </c>
      <c r="N91" s="64">
        <v>20000</v>
      </c>
      <c r="O91" s="65">
        <v>46158</v>
      </c>
      <c r="P91" s="64">
        <f t="shared" si="145"/>
        <v>7000</v>
      </c>
      <c r="Q91" s="64" t="s">
        <v>33</v>
      </c>
      <c r="R91" s="64" t="s">
        <v>64</v>
      </c>
      <c r="S91" s="64">
        <v>33000</v>
      </c>
      <c r="T91" s="64" t="s">
        <v>33</v>
      </c>
      <c r="U91" s="64" t="s">
        <v>33</v>
      </c>
      <c r="V91" s="64" t="s">
        <v>28</v>
      </c>
      <c r="W91" s="64">
        <f t="shared" si="146"/>
        <v>6000</v>
      </c>
      <c r="X91" s="64" t="s">
        <v>29</v>
      </c>
      <c r="Y91" s="64" t="s">
        <v>63</v>
      </c>
      <c r="Z91" s="71">
        <f t="shared" si="147"/>
        <v>22.222222222222221</v>
      </c>
      <c r="AA91" s="64"/>
      <c r="AB91" s="64"/>
    </row>
    <row r="92" spans="1:28" hidden="1">
      <c r="A92" s="64">
        <f>SUBTOTAL(3,C$2:C92)</f>
        <v>55</v>
      </c>
      <c r="B92" s="64" t="s">
        <v>1086</v>
      </c>
      <c r="C92" s="64" t="s">
        <v>991</v>
      </c>
      <c r="D92" s="64" t="s">
        <v>32</v>
      </c>
      <c r="E92" s="64" t="s">
        <v>33</v>
      </c>
      <c r="F92" s="63" t="s">
        <v>1689</v>
      </c>
      <c r="G92" s="69" t="s">
        <v>989</v>
      </c>
      <c r="H92" s="63" t="s">
        <v>1690</v>
      </c>
      <c r="I92" s="65">
        <v>46158</v>
      </c>
      <c r="J92" s="64">
        <f t="shared" ref="J92:J93" ca="1" si="148">+TODAY()-I92</f>
        <v>26</v>
      </c>
      <c r="K92" s="64" t="str">
        <f t="shared" ref="K92:K93" si="149">+U92</f>
        <v>Pending</v>
      </c>
      <c r="L92" s="52" t="s">
        <v>737</v>
      </c>
      <c r="M92" s="64">
        <v>15500</v>
      </c>
      <c r="N92" s="64">
        <v>13500</v>
      </c>
      <c r="O92" s="65">
        <v>46158</v>
      </c>
      <c r="P92" s="64">
        <f t="shared" ref="P92:P93" si="150">+M92-N92</f>
        <v>2000</v>
      </c>
      <c r="Q92" s="64" t="s">
        <v>33</v>
      </c>
      <c r="R92" s="64" t="s">
        <v>64</v>
      </c>
      <c r="S92" s="64">
        <v>20000</v>
      </c>
      <c r="T92" s="64" t="s">
        <v>33</v>
      </c>
      <c r="U92" s="64" t="s">
        <v>33</v>
      </c>
      <c r="V92" s="64" t="s">
        <v>28</v>
      </c>
      <c r="W92" s="64">
        <f t="shared" ref="W92:W93" si="151">+S92-M92</f>
        <v>4500</v>
      </c>
      <c r="X92" s="64" t="s">
        <v>29</v>
      </c>
      <c r="Y92" s="64" t="s">
        <v>63</v>
      </c>
      <c r="Z92" s="71">
        <f t="shared" ref="Z92:Z93" si="152">+W92*100/M92</f>
        <v>29.032258064516128</v>
      </c>
      <c r="AA92" s="64"/>
      <c r="AB92" s="64"/>
    </row>
    <row r="93" spans="1:28" hidden="1">
      <c r="A93" s="64">
        <f>SUBTOTAL(3,C$2:C93)</f>
        <v>55</v>
      </c>
      <c r="B93" s="64" t="s">
        <v>1086</v>
      </c>
      <c r="C93" s="64" t="s">
        <v>65</v>
      </c>
      <c r="D93" s="64" t="s">
        <v>32</v>
      </c>
      <c r="E93" s="64" t="s">
        <v>33</v>
      </c>
      <c r="F93" s="63" t="s">
        <v>1228</v>
      </c>
      <c r="G93" s="69" t="s">
        <v>67</v>
      </c>
      <c r="H93" s="63" t="s">
        <v>1836</v>
      </c>
      <c r="I93" s="65">
        <v>46159</v>
      </c>
      <c r="J93" s="64">
        <f t="shared" ca="1" si="148"/>
        <v>25</v>
      </c>
      <c r="K93" s="64" t="str">
        <f t="shared" si="149"/>
        <v>Pending</v>
      </c>
      <c r="L93" s="52" t="s">
        <v>737</v>
      </c>
      <c r="M93" s="64">
        <v>27000</v>
      </c>
      <c r="N93" s="64">
        <v>20000</v>
      </c>
      <c r="O93" s="65">
        <v>46159</v>
      </c>
      <c r="P93" s="64">
        <f t="shared" si="150"/>
        <v>7000</v>
      </c>
      <c r="Q93" s="64" t="s">
        <v>33</v>
      </c>
      <c r="R93" s="64" t="s">
        <v>64</v>
      </c>
      <c r="S93" s="64">
        <v>33000</v>
      </c>
      <c r="T93" s="64" t="s">
        <v>33</v>
      </c>
      <c r="U93" s="64" t="s">
        <v>33</v>
      </c>
      <c r="V93" s="64" t="s">
        <v>28</v>
      </c>
      <c r="W93" s="64">
        <f t="shared" si="151"/>
        <v>6000</v>
      </c>
      <c r="X93" s="64" t="s">
        <v>29</v>
      </c>
      <c r="Y93" s="64" t="s">
        <v>63</v>
      </c>
      <c r="Z93" s="71">
        <f t="shared" si="152"/>
        <v>22.222222222222221</v>
      </c>
      <c r="AA93" s="64"/>
      <c r="AB93" s="64"/>
    </row>
    <row r="94" spans="1:28" hidden="1">
      <c r="A94" s="64">
        <f>SUBTOTAL(3,C$2:C94)</f>
        <v>55</v>
      </c>
      <c r="B94" s="64" t="s">
        <v>1086</v>
      </c>
      <c r="C94" s="64" t="s">
        <v>991</v>
      </c>
      <c r="D94" s="64" t="s">
        <v>32</v>
      </c>
      <c r="E94" s="64" t="s">
        <v>33</v>
      </c>
      <c r="F94" s="63" t="s">
        <v>1708</v>
      </c>
      <c r="G94" s="69" t="s">
        <v>989</v>
      </c>
      <c r="H94" s="63" t="s">
        <v>1709</v>
      </c>
      <c r="I94" s="65">
        <v>46159</v>
      </c>
      <c r="J94" s="64">
        <f t="shared" ref="J94:J96" ca="1" si="153">+TODAY()-I94</f>
        <v>25</v>
      </c>
      <c r="K94" s="64" t="str">
        <f t="shared" ref="K94:K96" si="154">+U94</f>
        <v>Pending</v>
      </c>
      <c r="L94" s="52" t="s">
        <v>737</v>
      </c>
      <c r="M94" s="64">
        <v>15500</v>
      </c>
      <c r="N94" s="64">
        <v>13500</v>
      </c>
      <c r="O94" s="65">
        <v>46159</v>
      </c>
      <c r="P94" s="64">
        <f t="shared" ref="P94:P96" si="155">+M94-N94</f>
        <v>2000</v>
      </c>
      <c r="Q94" s="64" t="s">
        <v>33</v>
      </c>
      <c r="R94" s="64" t="s">
        <v>64</v>
      </c>
      <c r="S94" s="64">
        <v>20000</v>
      </c>
      <c r="T94" s="64" t="s">
        <v>33</v>
      </c>
      <c r="U94" s="64" t="s">
        <v>33</v>
      </c>
      <c r="V94" s="64" t="s">
        <v>28</v>
      </c>
      <c r="W94" s="64">
        <f t="shared" ref="W94:W96" si="156">+S94-M94</f>
        <v>4500</v>
      </c>
      <c r="X94" s="64" t="s">
        <v>29</v>
      </c>
      <c r="Y94" s="64" t="s">
        <v>63</v>
      </c>
      <c r="Z94" s="71">
        <f t="shared" ref="Z94:Z96" si="157">+W94*100/M94</f>
        <v>29.032258064516128</v>
      </c>
      <c r="AA94" s="64"/>
      <c r="AB94" s="64"/>
    </row>
    <row r="95" spans="1:28" hidden="1">
      <c r="A95" s="64">
        <f>SUBTOTAL(3,C$2:C95)</f>
        <v>55</v>
      </c>
      <c r="B95" s="64" t="s">
        <v>1086</v>
      </c>
      <c r="C95" s="64" t="s">
        <v>1168</v>
      </c>
      <c r="D95" s="64" t="s">
        <v>32</v>
      </c>
      <c r="E95" s="64" t="s">
        <v>33</v>
      </c>
      <c r="F95" s="63" t="s">
        <v>1710</v>
      </c>
      <c r="G95" s="69" t="s">
        <v>989</v>
      </c>
      <c r="H95" s="63" t="s">
        <v>1711</v>
      </c>
      <c r="I95" s="65">
        <v>46159</v>
      </c>
      <c r="J95" s="64">
        <f t="shared" ca="1" si="153"/>
        <v>25</v>
      </c>
      <c r="K95" s="64" t="str">
        <f t="shared" si="154"/>
        <v>Pending</v>
      </c>
      <c r="L95" s="52" t="s">
        <v>737</v>
      </c>
      <c r="M95" s="64">
        <v>15500</v>
      </c>
      <c r="N95" s="64">
        <v>13500</v>
      </c>
      <c r="O95" s="65">
        <v>46159</v>
      </c>
      <c r="P95" s="64">
        <f t="shared" si="155"/>
        <v>2000</v>
      </c>
      <c r="Q95" s="64" t="s">
        <v>33</v>
      </c>
      <c r="R95" s="64" t="s">
        <v>64</v>
      </c>
      <c r="S95" s="64">
        <v>20000</v>
      </c>
      <c r="T95" s="64" t="s">
        <v>33</v>
      </c>
      <c r="U95" s="64" t="s">
        <v>33</v>
      </c>
      <c r="V95" s="64" t="s">
        <v>28</v>
      </c>
      <c r="W95" s="64">
        <f t="shared" si="156"/>
        <v>4500</v>
      </c>
      <c r="X95" s="64" t="s">
        <v>29</v>
      </c>
      <c r="Y95" s="64" t="s">
        <v>63</v>
      </c>
      <c r="Z95" s="71">
        <f t="shared" si="157"/>
        <v>29.032258064516128</v>
      </c>
      <c r="AA95" s="64"/>
      <c r="AB95" s="64" t="s">
        <v>320</v>
      </c>
    </row>
    <row r="96" spans="1:28" hidden="1">
      <c r="A96" s="64">
        <f>SUBTOTAL(3,C$2:C96)</f>
        <v>55</v>
      </c>
      <c r="B96" s="64" t="s">
        <v>1086</v>
      </c>
      <c r="C96" s="64" t="s">
        <v>991</v>
      </c>
      <c r="D96" s="64" t="s">
        <v>32</v>
      </c>
      <c r="E96" s="64" t="s">
        <v>33</v>
      </c>
      <c r="F96" s="63" t="s">
        <v>1777</v>
      </c>
      <c r="G96" s="69" t="s">
        <v>1645</v>
      </c>
      <c r="H96" s="63" t="s">
        <v>1778</v>
      </c>
      <c r="I96" s="65">
        <v>46160</v>
      </c>
      <c r="J96" s="64">
        <f t="shared" ca="1" si="153"/>
        <v>24</v>
      </c>
      <c r="K96" s="64" t="str">
        <f t="shared" si="154"/>
        <v>Pending</v>
      </c>
      <c r="L96" s="52" t="s">
        <v>737</v>
      </c>
      <c r="M96" s="64">
        <v>15500</v>
      </c>
      <c r="N96" s="64">
        <v>13500</v>
      </c>
      <c r="O96" s="65">
        <v>46160</v>
      </c>
      <c r="P96" s="64">
        <f t="shared" si="155"/>
        <v>2000</v>
      </c>
      <c r="Q96" s="64" t="s">
        <v>33</v>
      </c>
      <c r="R96" s="64" t="s">
        <v>64</v>
      </c>
      <c r="S96" s="64">
        <v>20000</v>
      </c>
      <c r="T96" s="64" t="s">
        <v>33</v>
      </c>
      <c r="U96" s="64" t="s">
        <v>33</v>
      </c>
      <c r="V96" s="64" t="s">
        <v>28</v>
      </c>
      <c r="W96" s="64">
        <f t="shared" si="156"/>
        <v>4500</v>
      </c>
      <c r="X96" s="64" t="s">
        <v>29</v>
      </c>
      <c r="Y96" s="64" t="s">
        <v>63</v>
      </c>
      <c r="Z96" s="71">
        <f t="shared" si="157"/>
        <v>29.032258064516128</v>
      </c>
      <c r="AA96" s="64"/>
      <c r="AB96" s="64"/>
    </row>
    <row r="97" spans="1:28" hidden="1">
      <c r="A97" s="64">
        <f>SUBTOTAL(3,C$2:C97)</f>
        <v>55</v>
      </c>
      <c r="B97" s="64" t="s">
        <v>1086</v>
      </c>
      <c r="C97" s="64" t="s">
        <v>991</v>
      </c>
      <c r="D97" s="64" t="s">
        <v>32</v>
      </c>
      <c r="E97" s="64" t="s">
        <v>33</v>
      </c>
      <c r="F97" s="63" t="s">
        <v>1779</v>
      </c>
      <c r="G97" s="69" t="s">
        <v>1645</v>
      </c>
      <c r="H97" s="63" t="s">
        <v>1780</v>
      </c>
      <c r="I97" s="65">
        <v>46160</v>
      </c>
      <c r="J97" s="64">
        <f t="shared" ref="J97:J101" ca="1" si="158">+TODAY()-I97</f>
        <v>24</v>
      </c>
      <c r="K97" s="64" t="str">
        <f t="shared" ref="K97:K101" si="159">+U97</f>
        <v>Pending</v>
      </c>
      <c r="L97" s="52" t="s">
        <v>737</v>
      </c>
      <c r="M97" s="64">
        <v>15500</v>
      </c>
      <c r="N97" s="64">
        <v>13500</v>
      </c>
      <c r="O97" s="65">
        <v>46160</v>
      </c>
      <c r="P97" s="64">
        <f t="shared" ref="P97:P101" si="160">+M97-N97</f>
        <v>2000</v>
      </c>
      <c r="Q97" s="64" t="s">
        <v>33</v>
      </c>
      <c r="R97" s="64" t="s">
        <v>64</v>
      </c>
      <c r="S97" s="64">
        <v>20000</v>
      </c>
      <c r="T97" s="64" t="s">
        <v>33</v>
      </c>
      <c r="U97" s="64" t="s">
        <v>33</v>
      </c>
      <c r="V97" s="64" t="s">
        <v>28</v>
      </c>
      <c r="W97" s="64">
        <f t="shared" ref="W97:W101" si="161">+S97-M97</f>
        <v>4500</v>
      </c>
      <c r="X97" s="64" t="s">
        <v>29</v>
      </c>
      <c r="Y97" s="64" t="s">
        <v>63</v>
      </c>
      <c r="Z97" s="71">
        <f t="shared" ref="Z97:Z101" si="162">+W97*100/M97</f>
        <v>29.032258064516128</v>
      </c>
      <c r="AA97" s="64"/>
      <c r="AB97" s="64"/>
    </row>
    <row r="98" spans="1:28" hidden="1">
      <c r="A98" s="64">
        <f>SUBTOTAL(3,C$2:C98)</f>
        <v>55</v>
      </c>
      <c r="B98" s="64" t="s">
        <v>1086</v>
      </c>
      <c r="C98" s="64" t="s">
        <v>72</v>
      </c>
      <c r="D98" s="64" t="s">
        <v>32</v>
      </c>
      <c r="E98" s="64" t="s">
        <v>33</v>
      </c>
      <c r="F98" s="63" t="s">
        <v>69</v>
      </c>
      <c r="G98" s="69" t="s">
        <v>67</v>
      </c>
      <c r="H98" s="63" t="s">
        <v>1781</v>
      </c>
      <c r="I98" s="65">
        <v>46158</v>
      </c>
      <c r="J98" s="64">
        <f t="shared" ca="1" si="158"/>
        <v>26</v>
      </c>
      <c r="K98" s="64" t="str">
        <f t="shared" si="159"/>
        <v>Pending</v>
      </c>
      <c r="L98" s="52" t="s">
        <v>737</v>
      </c>
      <c r="M98" s="64">
        <v>19000</v>
      </c>
      <c r="N98" s="64">
        <v>15000</v>
      </c>
      <c r="O98" s="65">
        <v>46160</v>
      </c>
      <c r="P98" s="64">
        <f t="shared" si="160"/>
        <v>4000</v>
      </c>
      <c r="Q98" s="64" t="s">
        <v>33</v>
      </c>
      <c r="R98" s="64" t="s">
        <v>64</v>
      </c>
      <c r="S98" s="64">
        <v>20500</v>
      </c>
      <c r="T98" s="64" t="s">
        <v>33</v>
      </c>
      <c r="U98" s="64" t="s">
        <v>33</v>
      </c>
      <c r="V98" s="64" t="s">
        <v>28</v>
      </c>
      <c r="W98" s="64">
        <f t="shared" si="161"/>
        <v>1500</v>
      </c>
      <c r="X98" s="64" t="s">
        <v>29</v>
      </c>
      <c r="Y98" s="64" t="s">
        <v>63</v>
      </c>
      <c r="Z98" s="71">
        <f t="shared" si="162"/>
        <v>7.8947368421052628</v>
      </c>
      <c r="AA98" s="64"/>
      <c r="AB98" s="64" t="s">
        <v>320</v>
      </c>
    </row>
    <row r="99" spans="1:28" hidden="1">
      <c r="A99" s="64">
        <f>SUBTOTAL(3,C$2:C99)</f>
        <v>55</v>
      </c>
      <c r="B99" s="64" t="s">
        <v>1086</v>
      </c>
      <c r="C99" s="64" t="s">
        <v>73</v>
      </c>
      <c r="D99" s="64" t="s">
        <v>32</v>
      </c>
      <c r="E99" s="64" t="s">
        <v>33</v>
      </c>
      <c r="F99" s="63" t="s">
        <v>1837</v>
      </c>
      <c r="G99" s="69" t="s">
        <v>67</v>
      </c>
      <c r="H99" s="63" t="s">
        <v>1838</v>
      </c>
      <c r="I99" s="65">
        <v>46160</v>
      </c>
      <c r="J99" s="64">
        <f t="shared" ca="1" si="158"/>
        <v>24</v>
      </c>
      <c r="K99" s="64" t="str">
        <f t="shared" si="159"/>
        <v>Pending</v>
      </c>
      <c r="L99" s="52" t="s">
        <v>737</v>
      </c>
      <c r="M99" s="64">
        <v>31000</v>
      </c>
      <c r="N99" s="64">
        <v>27000</v>
      </c>
      <c r="O99" s="65">
        <v>46161</v>
      </c>
      <c r="P99" s="64">
        <f t="shared" si="160"/>
        <v>4000</v>
      </c>
      <c r="Q99" s="64" t="s">
        <v>33</v>
      </c>
      <c r="R99" s="64" t="s">
        <v>64</v>
      </c>
      <c r="S99" s="64">
        <v>33000</v>
      </c>
      <c r="T99" s="64" t="s">
        <v>33</v>
      </c>
      <c r="U99" s="64" t="s">
        <v>33</v>
      </c>
      <c r="V99" s="64" t="s">
        <v>28</v>
      </c>
      <c r="W99" s="64">
        <f t="shared" si="161"/>
        <v>2000</v>
      </c>
      <c r="X99" s="64" t="s">
        <v>29</v>
      </c>
      <c r="Y99" s="64" t="s">
        <v>63</v>
      </c>
      <c r="Z99" s="71">
        <f t="shared" si="162"/>
        <v>6.4516129032258061</v>
      </c>
      <c r="AA99" s="64"/>
      <c r="AB99" s="64" t="s">
        <v>320</v>
      </c>
    </row>
    <row r="100" spans="1:28" hidden="1">
      <c r="A100" s="64">
        <f>SUBTOTAL(3,C$2:C100)</f>
        <v>55</v>
      </c>
      <c r="B100" s="64" t="s">
        <v>1086</v>
      </c>
      <c r="C100" s="64" t="s">
        <v>1168</v>
      </c>
      <c r="D100" s="64" t="s">
        <v>32</v>
      </c>
      <c r="E100" s="64" t="s">
        <v>33</v>
      </c>
      <c r="F100" s="63" t="s">
        <v>1839</v>
      </c>
      <c r="G100" s="69" t="s">
        <v>1840</v>
      </c>
      <c r="H100" s="63" t="s">
        <v>1841</v>
      </c>
      <c r="I100" s="65">
        <v>46161</v>
      </c>
      <c r="J100" s="64">
        <f t="shared" ref="J100" ca="1" si="163">+TODAY()-I100</f>
        <v>23</v>
      </c>
      <c r="K100" s="64" t="str">
        <f t="shared" ref="K100" si="164">+U100</f>
        <v>Pending</v>
      </c>
      <c r="L100" s="52" t="s">
        <v>737</v>
      </c>
      <c r="M100" s="64">
        <v>15500</v>
      </c>
      <c r="N100" s="64">
        <v>13500</v>
      </c>
      <c r="O100" s="65">
        <v>46161</v>
      </c>
      <c r="P100" s="64">
        <f t="shared" ref="P100" si="165">+M100-N100</f>
        <v>2000</v>
      </c>
      <c r="Q100" s="64" t="s">
        <v>33</v>
      </c>
      <c r="R100" s="64" t="s">
        <v>64</v>
      </c>
      <c r="S100" s="64">
        <v>20000</v>
      </c>
      <c r="T100" s="64" t="s">
        <v>33</v>
      </c>
      <c r="U100" s="64" t="s">
        <v>33</v>
      </c>
      <c r="V100" s="64" t="s">
        <v>28</v>
      </c>
      <c r="W100" s="64">
        <f t="shared" ref="W100" si="166">+S100-M100</f>
        <v>4500</v>
      </c>
      <c r="X100" s="64" t="s">
        <v>29</v>
      </c>
      <c r="Y100" s="64" t="s">
        <v>63</v>
      </c>
      <c r="Z100" s="71">
        <f t="shared" ref="Z100" si="167">+W100*100/M100</f>
        <v>29.032258064516128</v>
      </c>
      <c r="AA100" s="64"/>
      <c r="AB100" s="64" t="s">
        <v>320</v>
      </c>
    </row>
    <row r="101" spans="1:28" hidden="1">
      <c r="A101" s="64">
        <f>SUBTOTAL(3,C$2:C101)</f>
        <v>55</v>
      </c>
      <c r="B101" s="64" t="s">
        <v>1086</v>
      </c>
      <c r="C101" s="64" t="s">
        <v>65</v>
      </c>
      <c r="D101" s="64" t="s">
        <v>32</v>
      </c>
      <c r="E101" s="64" t="s">
        <v>33</v>
      </c>
      <c r="F101" s="63" t="s">
        <v>260</v>
      </c>
      <c r="G101" s="69" t="s">
        <v>67</v>
      </c>
      <c r="H101" s="63" t="s">
        <v>1844</v>
      </c>
      <c r="I101" s="65">
        <v>46161</v>
      </c>
      <c r="J101" s="64">
        <f t="shared" ca="1" si="158"/>
        <v>23</v>
      </c>
      <c r="K101" s="64" t="str">
        <f t="shared" si="159"/>
        <v>Pending</v>
      </c>
      <c r="L101" s="52" t="s">
        <v>737</v>
      </c>
      <c r="M101" s="64">
        <v>27000</v>
      </c>
      <c r="N101" s="64">
        <v>20000</v>
      </c>
      <c r="O101" s="65">
        <v>46161</v>
      </c>
      <c r="P101" s="64">
        <f t="shared" si="160"/>
        <v>7000</v>
      </c>
      <c r="Q101" s="64" t="s">
        <v>33</v>
      </c>
      <c r="R101" s="64" t="s">
        <v>64</v>
      </c>
      <c r="S101" s="64">
        <v>33000</v>
      </c>
      <c r="T101" s="64" t="s">
        <v>33</v>
      </c>
      <c r="U101" s="64" t="s">
        <v>33</v>
      </c>
      <c r="V101" s="64" t="s">
        <v>28</v>
      </c>
      <c r="W101" s="64">
        <f t="shared" si="161"/>
        <v>6000</v>
      </c>
      <c r="X101" s="64" t="s">
        <v>29</v>
      </c>
      <c r="Y101" s="64" t="s">
        <v>63</v>
      </c>
      <c r="Z101" s="71">
        <f t="shared" si="162"/>
        <v>22.222222222222221</v>
      </c>
      <c r="AA101" s="64"/>
      <c r="AB101" s="64"/>
    </row>
    <row r="102" spans="1:28" hidden="1">
      <c r="A102" s="64">
        <f>SUBTOTAL(3,C$2:C102)</f>
        <v>55</v>
      </c>
      <c r="B102" s="64" t="s">
        <v>1086</v>
      </c>
      <c r="C102" s="64" t="s">
        <v>1168</v>
      </c>
      <c r="D102" s="64" t="s">
        <v>32</v>
      </c>
      <c r="E102" s="64" t="s">
        <v>33</v>
      </c>
      <c r="F102" s="63" t="s">
        <v>1842</v>
      </c>
      <c r="G102" s="69" t="s">
        <v>1840</v>
      </c>
      <c r="H102" s="63" t="s">
        <v>1843</v>
      </c>
      <c r="I102" s="65">
        <v>46161</v>
      </c>
      <c r="J102" s="64">
        <f t="shared" ref="J102" ca="1" si="168">+TODAY()-I102</f>
        <v>23</v>
      </c>
      <c r="K102" s="64" t="str">
        <f t="shared" ref="K102" si="169">+U102</f>
        <v>Pending</v>
      </c>
      <c r="L102" s="52" t="s">
        <v>737</v>
      </c>
      <c r="M102" s="64">
        <v>15500</v>
      </c>
      <c r="N102" s="64">
        <v>13500</v>
      </c>
      <c r="O102" s="65">
        <v>46161</v>
      </c>
      <c r="P102" s="64">
        <f t="shared" ref="P102" si="170">+M102-N102</f>
        <v>2000</v>
      </c>
      <c r="Q102" s="64" t="s">
        <v>33</v>
      </c>
      <c r="R102" s="64" t="s">
        <v>64</v>
      </c>
      <c r="S102" s="64">
        <v>20000</v>
      </c>
      <c r="T102" s="64" t="s">
        <v>33</v>
      </c>
      <c r="U102" s="64" t="s">
        <v>33</v>
      </c>
      <c r="V102" s="64" t="s">
        <v>28</v>
      </c>
      <c r="W102" s="64">
        <f t="shared" ref="W102" si="171">+S102-M102</f>
        <v>4500</v>
      </c>
      <c r="X102" s="64" t="s">
        <v>29</v>
      </c>
      <c r="Y102" s="64" t="s">
        <v>63</v>
      </c>
      <c r="Z102" s="71">
        <f t="shared" ref="Z102" si="172">+W102*100/M102</f>
        <v>29.032258064516128</v>
      </c>
      <c r="AA102" s="64"/>
      <c r="AB102" s="64" t="s">
        <v>320</v>
      </c>
    </row>
    <row r="103" spans="1:28" hidden="1">
      <c r="A103" s="64">
        <f>SUBTOTAL(3,C$2:C103)</f>
        <v>55</v>
      </c>
      <c r="B103" s="64" t="s">
        <v>1086</v>
      </c>
      <c r="C103" s="64" t="s">
        <v>1168</v>
      </c>
      <c r="D103" s="64" t="s">
        <v>32</v>
      </c>
      <c r="E103" s="64" t="s">
        <v>33</v>
      </c>
      <c r="F103" s="63" t="s">
        <v>1852</v>
      </c>
      <c r="G103" s="69" t="s">
        <v>1840</v>
      </c>
      <c r="H103" s="63" t="s">
        <v>1853</v>
      </c>
      <c r="I103" s="65">
        <v>46162</v>
      </c>
      <c r="J103" s="64">
        <f t="shared" ref="J103:J105" ca="1" si="173">+TODAY()-I103</f>
        <v>22</v>
      </c>
      <c r="K103" s="64" t="str">
        <f t="shared" ref="K103:K105" si="174">+U103</f>
        <v>Pending</v>
      </c>
      <c r="L103" s="52" t="s">
        <v>737</v>
      </c>
      <c r="M103" s="64">
        <v>15500</v>
      </c>
      <c r="N103" s="64">
        <v>13500</v>
      </c>
      <c r="O103" s="65">
        <v>46162</v>
      </c>
      <c r="P103" s="64">
        <f t="shared" ref="P103:P105" si="175">+M103-N103</f>
        <v>2000</v>
      </c>
      <c r="Q103" s="64" t="s">
        <v>33</v>
      </c>
      <c r="R103" s="64" t="s">
        <v>64</v>
      </c>
      <c r="S103" s="64">
        <v>20000</v>
      </c>
      <c r="T103" s="64" t="s">
        <v>33</v>
      </c>
      <c r="U103" s="64" t="s">
        <v>33</v>
      </c>
      <c r="V103" s="64" t="s">
        <v>28</v>
      </c>
      <c r="W103" s="64">
        <f t="shared" ref="W103:W105" si="176">+S103-M103</f>
        <v>4500</v>
      </c>
      <c r="X103" s="64" t="s">
        <v>29</v>
      </c>
      <c r="Y103" s="64" t="s">
        <v>63</v>
      </c>
      <c r="Z103" s="71">
        <f t="shared" ref="Z103:Z105" si="177">+W103*100/M103</f>
        <v>29.032258064516128</v>
      </c>
      <c r="AA103" s="64"/>
      <c r="AB103" s="64" t="s">
        <v>320</v>
      </c>
    </row>
    <row r="104" spans="1:28" hidden="1">
      <c r="A104" s="64">
        <f>SUBTOTAL(3,C$2:C104)</f>
        <v>55</v>
      </c>
      <c r="B104" s="64" t="s">
        <v>1086</v>
      </c>
      <c r="C104" s="64" t="s">
        <v>72</v>
      </c>
      <c r="D104" s="64" t="s">
        <v>32</v>
      </c>
      <c r="E104" s="64" t="s">
        <v>33</v>
      </c>
      <c r="F104" s="63" t="s">
        <v>69</v>
      </c>
      <c r="G104" s="69" t="s">
        <v>67</v>
      </c>
      <c r="H104" s="63" t="s">
        <v>1855</v>
      </c>
      <c r="I104" s="65">
        <v>46162</v>
      </c>
      <c r="J104" s="64">
        <f t="shared" ca="1" si="173"/>
        <v>22</v>
      </c>
      <c r="K104" s="64" t="str">
        <f t="shared" si="174"/>
        <v>Pending</v>
      </c>
      <c r="L104" s="52" t="s">
        <v>737</v>
      </c>
      <c r="M104" s="64">
        <v>27000</v>
      </c>
      <c r="N104" s="64">
        <v>20000</v>
      </c>
      <c r="O104" s="65">
        <v>46162</v>
      </c>
      <c r="P104" s="64">
        <f t="shared" si="175"/>
        <v>7000</v>
      </c>
      <c r="Q104" s="64" t="s">
        <v>33</v>
      </c>
      <c r="R104" s="64" t="s">
        <v>64</v>
      </c>
      <c r="S104" s="64">
        <v>33000</v>
      </c>
      <c r="T104" s="64" t="s">
        <v>33</v>
      </c>
      <c r="U104" s="64" t="s">
        <v>33</v>
      </c>
      <c r="V104" s="64" t="s">
        <v>28</v>
      </c>
      <c r="W104" s="64">
        <f t="shared" si="176"/>
        <v>6000</v>
      </c>
      <c r="X104" s="64" t="s">
        <v>29</v>
      </c>
      <c r="Y104" s="64" t="s">
        <v>63</v>
      </c>
      <c r="Z104" s="71">
        <f t="shared" si="177"/>
        <v>22.222222222222221</v>
      </c>
      <c r="AA104" s="64"/>
      <c r="AB104" s="64" t="s">
        <v>320</v>
      </c>
    </row>
    <row r="105" spans="1:28" hidden="1">
      <c r="A105" s="64">
        <f>SUBTOTAL(3,C$2:C105)</f>
        <v>55</v>
      </c>
      <c r="B105" s="64" t="s">
        <v>1086</v>
      </c>
      <c r="C105" s="64" t="s">
        <v>991</v>
      </c>
      <c r="D105" s="64" t="s">
        <v>32</v>
      </c>
      <c r="E105" s="64" t="s">
        <v>33</v>
      </c>
      <c r="F105" s="63" t="s">
        <v>1884</v>
      </c>
      <c r="G105" s="69" t="s">
        <v>1645</v>
      </c>
      <c r="H105" s="63" t="s">
        <v>1885</v>
      </c>
      <c r="I105" s="65">
        <v>46162</v>
      </c>
      <c r="J105" s="64">
        <f t="shared" ca="1" si="173"/>
        <v>22</v>
      </c>
      <c r="K105" s="64" t="str">
        <f t="shared" si="174"/>
        <v>Pending</v>
      </c>
      <c r="L105" s="52" t="s">
        <v>737</v>
      </c>
      <c r="M105" s="64">
        <v>15500</v>
      </c>
      <c r="N105" s="64">
        <v>13500</v>
      </c>
      <c r="O105" s="65">
        <v>46163</v>
      </c>
      <c r="P105" s="64">
        <f t="shared" si="175"/>
        <v>2000</v>
      </c>
      <c r="Q105" s="64" t="s">
        <v>33</v>
      </c>
      <c r="R105" s="64" t="s">
        <v>64</v>
      </c>
      <c r="S105" s="64">
        <v>20000</v>
      </c>
      <c r="T105" s="64" t="s">
        <v>33</v>
      </c>
      <c r="U105" s="64" t="s">
        <v>33</v>
      </c>
      <c r="V105" s="64" t="s">
        <v>28</v>
      </c>
      <c r="W105" s="64">
        <f t="shared" si="176"/>
        <v>4500</v>
      </c>
      <c r="X105" s="64" t="s">
        <v>29</v>
      </c>
      <c r="Y105" s="64" t="s">
        <v>63</v>
      </c>
      <c r="Z105" s="71">
        <f t="shared" si="177"/>
        <v>29.032258064516128</v>
      </c>
      <c r="AA105" s="64"/>
      <c r="AB105" s="64"/>
    </row>
    <row r="106" spans="1:28" hidden="1">
      <c r="A106" s="64">
        <f>SUBTOTAL(3,C$2:C106)</f>
        <v>55</v>
      </c>
      <c r="B106" s="64" t="s">
        <v>1086</v>
      </c>
      <c r="C106" s="64" t="s">
        <v>1168</v>
      </c>
      <c r="D106" s="64" t="s">
        <v>32</v>
      </c>
      <c r="E106" s="64" t="s">
        <v>33</v>
      </c>
      <c r="F106" s="63" t="s">
        <v>1891</v>
      </c>
      <c r="G106" s="69" t="s">
        <v>1840</v>
      </c>
      <c r="H106" s="63" t="s">
        <v>1892</v>
      </c>
      <c r="I106" s="65">
        <v>46163</v>
      </c>
      <c r="J106" s="64">
        <f t="shared" ref="J106" ca="1" si="178">+TODAY()-I106</f>
        <v>21</v>
      </c>
      <c r="K106" s="64" t="str">
        <f t="shared" ref="K106" si="179">+U106</f>
        <v>Pending</v>
      </c>
      <c r="L106" s="52" t="s">
        <v>737</v>
      </c>
      <c r="M106" s="64">
        <v>15500</v>
      </c>
      <c r="N106" s="64">
        <v>13500</v>
      </c>
      <c r="O106" s="65">
        <v>46163</v>
      </c>
      <c r="P106" s="64">
        <f t="shared" ref="P106" si="180">+M106-N106</f>
        <v>2000</v>
      </c>
      <c r="Q106" s="64" t="s">
        <v>33</v>
      </c>
      <c r="R106" s="64" t="s">
        <v>64</v>
      </c>
      <c r="S106" s="64">
        <v>20000</v>
      </c>
      <c r="T106" s="64" t="s">
        <v>33</v>
      </c>
      <c r="U106" s="64" t="s">
        <v>33</v>
      </c>
      <c r="V106" s="64" t="s">
        <v>28</v>
      </c>
      <c r="W106" s="64">
        <f t="shared" ref="W106" si="181">+S106-M106</f>
        <v>4500</v>
      </c>
      <c r="X106" s="64" t="s">
        <v>29</v>
      </c>
      <c r="Y106" s="64" t="s">
        <v>63</v>
      </c>
      <c r="Z106" s="71">
        <f t="shared" ref="Z106" si="182">+W106*100/M106</f>
        <v>29.032258064516128</v>
      </c>
      <c r="AA106" s="64"/>
      <c r="AB106" s="64" t="s">
        <v>320</v>
      </c>
    </row>
    <row r="107" spans="1:28" hidden="1">
      <c r="A107" s="64">
        <f>SUBTOTAL(3,C$2:C107)</f>
        <v>55</v>
      </c>
      <c r="B107" s="64" t="s">
        <v>1086</v>
      </c>
      <c r="C107" s="64" t="s">
        <v>1168</v>
      </c>
      <c r="D107" s="64" t="s">
        <v>32</v>
      </c>
      <c r="E107" s="64" t="s">
        <v>33</v>
      </c>
      <c r="F107" s="63" t="s">
        <v>1893</v>
      </c>
      <c r="G107" s="69" t="s">
        <v>1840</v>
      </c>
      <c r="H107" s="63" t="s">
        <v>1894</v>
      </c>
      <c r="I107" s="65">
        <v>46163</v>
      </c>
      <c r="J107" s="64">
        <f t="shared" ref="J107:J109" ca="1" si="183">+TODAY()-I107</f>
        <v>21</v>
      </c>
      <c r="K107" s="64" t="str">
        <f t="shared" ref="K107:K109" si="184">+U107</f>
        <v>Pending</v>
      </c>
      <c r="L107" s="52" t="s">
        <v>737</v>
      </c>
      <c r="M107" s="64">
        <v>15500</v>
      </c>
      <c r="N107" s="64">
        <v>13500</v>
      </c>
      <c r="O107" s="65">
        <v>46163</v>
      </c>
      <c r="P107" s="64">
        <f t="shared" ref="P107:P109" si="185">+M107-N107</f>
        <v>2000</v>
      </c>
      <c r="Q107" s="64" t="s">
        <v>33</v>
      </c>
      <c r="R107" s="64" t="s">
        <v>64</v>
      </c>
      <c r="S107" s="64">
        <v>20000</v>
      </c>
      <c r="T107" s="64" t="s">
        <v>33</v>
      </c>
      <c r="U107" s="64" t="s">
        <v>33</v>
      </c>
      <c r="V107" s="64" t="s">
        <v>28</v>
      </c>
      <c r="W107" s="64">
        <f t="shared" ref="W107:W109" si="186">+S107-M107</f>
        <v>4500</v>
      </c>
      <c r="X107" s="64" t="s">
        <v>29</v>
      </c>
      <c r="Y107" s="64" t="s">
        <v>63</v>
      </c>
      <c r="Z107" s="71">
        <f t="shared" ref="Z107:Z109" si="187">+W107*100/M107</f>
        <v>29.032258064516128</v>
      </c>
      <c r="AA107" s="64"/>
      <c r="AB107" s="64" t="s">
        <v>320</v>
      </c>
    </row>
    <row r="108" spans="1:28" hidden="1">
      <c r="A108" s="64">
        <f>SUBTOTAL(3,C$2:C108)</f>
        <v>55</v>
      </c>
      <c r="B108" s="64" t="s">
        <v>1086</v>
      </c>
      <c r="C108" s="64" t="s">
        <v>1567</v>
      </c>
      <c r="D108" s="64" t="s">
        <v>32</v>
      </c>
      <c r="E108" s="64" t="s">
        <v>33</v>
      </c>
      <c r="F108" s="63" t="s">
        <v>1887</v>
      </c>
      <c r="G108" s="69" t="s">
        <v>1888</v>
      </c>
      <c r="H108" s="63" t="s">
        <v>1889</v>
      </c>
      <c r="I108" s="65">
        <v>46163</v>
      </c>
      <c r="J108" s="64">
        <f t="shared" ca="1" si="183"/>
        <v>21</v>
      </c>
      <c r="K108" s="64" t="str">
        <f t="shared" si="184"/>
        <v>Pending</v>
      </c>
      <c r="L108" s="52" t="s">
        <v>1570</v>
      </c>
      <c r="M108" s="64">
        <v>15500</v>
      </c>
      <c r="N108" s="64">
        <v>14500</v>
      </c>
      <c r="O108" s="65">
        <v>46163</v>
      </c>
      <c r="P108" s="64">
        <f t="shared" si="185"/>
        <v>1000</v>
      </c>
      <c r="Q108" s="64" t="s">
        <v>33</v>
      </c>
      <c r="R108" s="64" t="s">
        <v>1662</v>
      </c>
      <c r="S108" s="64">
        <v>20000</v>
      </c>
      <c r="T108" s="64" t="s">
        <v>33</v>
      </c>
      <c r="U108" s="64" t="s">
        <v>33</v>
      </c>
      <c r="V108" s="64" t="s">
        <v>28</v>
      </c>
      <c r="W108" s="64">
        <f t="shared" si="186"/>
        <v>4500</v>
      </c>
      <c r="X108" s="64" t="s">
        <v>29</v>
      </c>
      <c r="Y108" s="64" t="s">
        <v>63</v>
      </c>
      <c r="Z108" s="71">
        <f t="shared" si="187"/>
        <v>29.032258064516128</v>
      </c>
      <c r="AA108" s="64"/>
      <c r="AB108" s="64" t="s">
        <v>320</v>
      </c>
    </row>
    <row r="109" spans="1:28" hidden="1">
      <c r="A109" s="64">
        <f>SUBTOTAL(3,C$2:C109)</f>
        <v>55</v>
      </c>
      <c r="B109" s="64" t="s">
        <v>1086</v>
      </c>
      <c r="C109" s="64" t="s">
        <v>73</v>
      </c>
      <c r="D109" s="64" t="s">
        <v>32</v>
      </c>
      <c r="E109" s="64" t="s">
        <v>33</v>
      </c>
      <c r="F109" s="63" t="s">
        <v>321</v>
      </c>
      <c r="G109" s="69" t="s">
        <v>67</v>
      </c>
      <c r="H109" s="63" t="s">
        <v>1890</v>
      </c>
      <c r="I109" s="65">
        <v>46163</v>
      </c>
      <c r="J109" s="64">
        <f t="shared" ca="1" si="183"/>
        <v>21</v>
      </c>
      <c r="K109" s="64" t="str">
        <f t="shared" si="184"/>
        <v>Pending</v>
      </c>
      <c r="L109" s="52" t="s">
        <v>737</v>
      </c>
      <c r="M109" s="64">
        <v>27000</v>
      </c>
      <c r="N109" s="64">
        <v>23000</v>
      </c>
      <c r="O109" s="65">
        <v>46163</v>
      </c>
      <c r="P109" s="64">
        <f t="shared" si="185"/>
        <v>4000</v>
      </c>
      <c r="Q109" s="64" t="s">
        <v>33</v>
      </c>
      <c r="R109" s="64" t="s">
        <v>64</v>
      </c>
      <c r="S109" s="64">
        <v>33000</v>
      </c>
      <c r="T109" s="64" t="s">
        <v>33</v>
      </c>
      <c r="U109" s="64" t="s">
        <v>33</v>
      </c>
      <c r="V109" s="64" t="s">
        <v>28</v>
      </c>
      <c r="W109" s="64">
        <f t="shared" si="186"/>
        <v>6000</v>
      </c>
      <c r="X109" s="64" t="s">
        <v>29</v>
      </c>
      <c r="Y109" s="64" t="s">
        <v>63</v>
      </c>
      <c r="Z109" s="71">
        <f t="shared" si="187"/>
        <v>22.222222222222221</v>
      </c>
      <c r="AA109" s="64"/>
      <c r="AB109" s="64" t="s">
        <v>320</v>
      </c>
    </row>
    <row r="110" spans="1:28" hidden="1">
      <c r="A110" s="64">
        <f>SUBTOTAL(3,C$2:C110)</f>
        <v>55</v>
      </c>
      <c r="B110" s="64" t="s">
        <v>1086</v>
      </c>
      <c r="C110" s="64" t="s">
        <v>72</v>
      </c>
      <c r="D110" s="64" t="s">
        <v>32</v>
      </c>
      <c r="E110" s="64" t="s">
        <v>33</v>
      </c>
      <c r="F110" s="63" t="s">
        <v>69</v>
      </c>
      <c r="G110" s="69" t="s">
        <v>67</v>
      </c>
      <c r="H110" s="63" t="s">
        <v>1944</v>
      </c>
      <c r="I110" s="65">
        <v>46163</v>
      </c>
      <c r="J110" s="64">
        <f t="shared" ref="J110" ca="1" si="188">+TODAY()-I110</f>
        <v>21</v>
      </c>
      <c r="K110" s="64" t="str">
        <f t="shared" ref="K110" si="189">+U110</f>
        <v>Pending</v>
      </c>
      <c r="L110" s="52" t="s">
        <v>71</v>
      </c>
      <c r="M110" s="64">
        <v>19000</v>
      </c>
      <c r="N110" s="64">
        <v>15000</v>
      </c>
      <c r="O110" s="65">
        <v>46163</v>
      </c>
      <c r="P110" s="64">
        <f t="shared" ref="P110" si="190">+M110-N110</f>
        <v>4000</v>
      </c>
      <c r="Q110" s="64" t="s">
        <v>33</v>
      </c>
      <c r="R110" s="64" t="s">
        <v>64</v>
      </c>
      <c r="S110" s="64">
        <v>20500</v>
      </c>
      <c r="T110" s="64" t="s">
        <v>33</v>
      </c>
      <c r="U110" s="64" t="s">
        <v>33</v>
      </c>
      <c r="V110" s="64" t="s">
        <v>28</v>
      </c>
      <c r="W110" s="64">
        <f t="shared" ref="W110" si="191">+S110-M110</f>
        <v>1500</v>
      </c>
      <c r="X110" s="64" t="s">
        <v>29</v>
      </c>
      <c r="Y110" s="64" t="s">
        <v>63</v>
      </c>
      <c r="Z110" s="71">
        <f t="shared" ref="Z110" si="192">+W110*100/M110</f>
        <v>7.8947368421052628</v>
      </c>
      <c r="AA110" s="64"/>
      <c r="AB110" s="64" t="s">
        <v>320</v>
      </c>
    </row>
    <row r="111" spans="1:28" hidden="1">
      <c r="A111" s="64">
        <f>SUBTOTAL(3,C$2:C111)</f>
        <v>55</v>
      </c>
      <c r="B111" s="64" t="s">
        <v>1086</v>
      </c>
      <c r="C111" s="64" t="s">
        <v>1897</v>
      </c>
      <c r="D111" s="64" t="s">
        <v>32</v>
      </c>
      <c r="E111" s="64" t="s">
        <v>33</v>
      </c>
      <c r="F111" s="63" t="s">
        <v>1898</v>
      </c>
      <c r="G111" s="69" t="s">
        <v>67</v>
      </c>
      <c r="H111" s="63" t="s">
        <v>1899</v>
      </c>
      <c r="I111" s="65">
        <v>46163</v>
      </c>
      <c r="J111" s="64">
        <f t="shared" ref="J111:J114" ca="1" si="193">+TODAY()-I111</f>
        <v>21</v>
      </c>
      <c r="K111" s="64" t="str">
        <f t="shared" ref="K111:K114" si="194">+U111</f>
        <v>Pending</v>
      </c>
      <c r="L111" s="52" t="s">
        <v>71</v>
      </c>
      <c r="M111" s="64">
        <v>19000</v>
      </c>
      <c r="N111" s="64">
        <v>16000</v>
      </c>
      <c r="O111" s="65">
        <v>46163</v>
      </c>
      <c r="P111" s="64">
        <f t="shared" ref="P111:P114" si="195">+M111-N111</f>
        <v>3000</v>
      </c>
      <c r="Q111" s="64" t="s">
        <v>33</v>
      </c>
      <c r="R111" s="64" t="s">
        <v>64</v>
      </c>
      <c r="S111" s="64">
        <v>20500</v>
      </c>
      <c r="T111" s="64" t="s">
        <v>33</v>
      </c>
      <c r="U111" s="64" t="s">
        <v>33</v>
      </c>
      <c r="V111" s="64" t="s">
        <v>28</v>
      </c>
      <c r="W111" s="64">
        <f t="shared" ref="W111:W114" si="196">+S111-M111</f>
        <v>1500</v>
      </c>
      <c r="X111" s="64" t="s">
        <v>29</v>
      </c>
      <c r="Y111" s="64" t="s">
        <v>63</v>
      </c>
      <c r="Z111" s="71">
        <f t="shared" ref="Z111:Z114" si="197">+W111*100/M111</f>
        <v>7.8947368421052628</v>
      </c>
      <c r="AA111" s="64"/>
      <c r="AB111" s="64" t="s">
        <v>320</v>
      </c>
    </row>
    <row r="112" spans="1:28" hidden="1">
      <c r="A112" s="64">
        <f>SUBTOTAL(3,C$2:C112)</f>
        <v>55</v>
      </c>
      <c r="B112" s="64" t="s">
        <v>1086</v>
      </c>
      <c r="C112" s="64" t="s">
        <v>991</v>
      </c>
      <c r="D112" s="64" t="s">
        <v>32</v>
      </c>
      <c r="E112" s="64" t="s">
        <v>33</v>
      </c>
      <c r="F112" s="63" t="s">
        <v>1946</v>
      </c>
      <c r="G112" s="69" t="s">
        <v>1645</v>
      </c>
      <c r="H112" s="63" t="s">
        <v>1945</v>
      </c>
      <c r="I112" s="65">
        <v>46163</v>
      </c>
      <c r="J112" s="64">
        <f t="shared" ca="1" si="193"/>
        <v>21</v>
      </c>
      <c r="K112" s="64" t="str">
        <f t="shared" si="194"/>
        <v>Pending</v>
      </c>
      <c r="L112" s="52" t="s">
        <v>737</v>
      </c>
      <c r="M112" s="64">
        <v>15500</v>
      </c>
      <c r="N112" s="64">
        <v>13500</v>
      </c>
      <c r="O112" s="65">
        <v>46164</v>
      </c>
      <c r="P112" s="64">
        <f t="shared" si="195"/>
        <v>2000</v>
      </c>
      <c r="Q112" s="64" t="s">
        <v>33</v>
      </c>
      <c r="R112" s="64" t="s">
        <v>64</v>
      </c>
      <c r="S112" s="64">
        <v>20000</v>
      </c>
      <c r="T112" s="64" t="s">
        <v>33</v>
      </c>
      <c r="U112" s="64" t="s">
        <v>33</v>
      </c>
      <c r="V112" s="64" t="s">
        <v>28</v>
      </c>
      <c r="W112" s="64">
        <f t="shared" si="196"/>
        <v>4500</v>
      </c>
      <c r="X112" s="64" t="s">
        <v>29</v>
      </c>
      <c r="Y112" s="64" t="s">
        <v>63</v>
      </c>
      <c r="Z112" s="71">
        <f t="shared" si="197"/>
        <v>29.032258064516128</v>
      </c>
      <c r="AA112" s="64"/>
      <c r="AB112" s="64"/>
    </row>
    <row r="113" spans="1:28" hidden="1">
      <c r="A113" s="64">
        <f>SUBTOTAL(3,C$2:C113)</f>
        <v>55</v>
      </c>
      <c r="B113" s="64" t="s">
        <v>1086</v>
      </c>
      <c r="C113" s="64" t="s">
        <v>1168</v>
      </c>
      <c r="D113" s="64" t="s">
        <v>32</v>
      </c>
      <c r="E113" s="64" t="s">
        <v>33</v>
      </c>
      <c r="F113" s="63" t="s">
        <v>1947</v>
      </c>
      <c r="G113" s="69" t="s">
        <v>1840</v>
      </c>
      <c r="H113" s="63" t="s">
        <v>1948</v>
      </c>
      <c r="I113" s="65">
        <v>46163</v>
      </c>
      <c r="J113" s="64">
        <f t="shared" ca="1" si="193"/>
        <v>21</v>
      </c>
      <c r="K113" s="64" t="str">
        <f t="shared" si="194"/>
        <v>Pending</v>
      </c>
      <c r="L113" s="52" t="s">
        <v>737</v>
      </c>
      <c r="M113" s="64">
        <v>15500</v>
      </c>
      <c r="N113" s="64">
        <v>13500</v>
      </c>
      <c r="O113" s="65">
        <v>46164</v>
      </c>
      <c r="P113" s="64">
        <f t="shared" si="195"/>
        <v>2000</v>
      </c>
      <c r="Q113" s="64" t="s">
        <v>33</v>
      </c>
      <c r="R113" s="64" t="s">
        <v>64</v>
      </c>
      <c r="S113" s="64">
        <v>20000</v>
      </c>
      <c r="T113" s="64" t="s">
        <v>33</v>
      </c>
      <c r="U113" s="64" t="s">
        <v>33</v>
      </c>
      <c r="V113" s="64" t="s">
        <v>28</v>
      </c>
      <c r="W113" s="64">
        <f t="shared" si="196"/>
        <v>4500</v>
      </c>
      <c r="X113" s="64" t="s">
        <v>29</v>
      </c>
      <c r="Y113" s="64" t="s">
        <v>63</v>
      </c>
      <c r="Z113" s="71">
        <f t="shared" si="197"/>
        <v>29.032258064516128</v>
      </c>
      <c r="AA113" s="64"/>
      <c r="AB113" s="64" t="s">
        <v>320</v>
      </c>
    </row>
    <row r="114" spans="1:28" hidden="1">
      <c r="A114" s="64">
        <f>SUBTOTAL(3,C$2:C114)</f>
        <v>55</v>
      </c>
      <c r="B114" s="64" t="s">
        <v>1086</v>
      </c>
      <c r="C114" s="64" t="s">
        <v>65</v>
      </c>
      <c r="D114" s="64" t="s">
        <v>32</v>
      </c>
      <c r="E114" s="64" t="s">
        <v>33</v>
      </c>
      <c r="F114" s="63" t="s">
        <v>66</v>
      </c>
      <c r="G114" s="69" t="s">
        <v>67</v>
      </c>
      <c r="H114" s="63" t="s">
        <v>1958</v>
      </c>
      <c r="I114" s="65">
        <v>46164</v>
      </c>
      <c r="J114" s="64">
        <f t="shared" ca="1" si="193"/>
        <v>20</v>
      </c>
      <c r="K114" s="64" t="str">
        <f t="shared" si="194"/>
        <v>Pending</v>
      </c>
      <c r="L114" s="52" t="s">
        <v>737</v>
      </c>
      <c r="M114" s="64">
        <v>27000</v>
      </c>
      <c r="N114" s="64">
        <v>20000</v>
      </c>
      <c r="O114" s="65">
        <v>46164</v>
      </c>
      <c r="P114" s="64">
        <f t="shared" si="195"/>
        <v>7000</v>
      </c>
      <c r="Q114" s="64" t="s">
        <v>33</v>
      </c>
      <c r="R114" s="64" t="s">
        <v>64</v>
      </c>
      <c r="S114" s="64">
        <v>33000</v>
      </c>
      <c r="T114" s="64" t="s">
        <v>33</v>
      </c>
      <c r="U114" s="64" t="s">
        <v>33</v>
      </c>
      <c r="V114" s="64" t="s">
        <v>28</v>
      </c>
      <c r="W114" s="64">
        <f t="shared" si="196"/>
        <v>6000</v>
      </c>
      <c r="X114" s="64" t="s">
        <v>29</v>
      </c>
      <c r="Y114" s="64" t="s">
        <v>63</v>
      </c>
      <c r="Z114" s="71">
        <f t="shared" si="197"/>
        <v>22.222222222222221</v>
      </c>
      <c r="AA114" s="64"/>
      <c r="AB114" s="64"/>
    </row>
    <row r="115" spans="1:28" hidden="1">
      <c r="A115" s="64">
        <f>SUBTOTAL(3,C$2:C115)</f>
        <v>55</v>
      </c>
      <c r="B115" s="64" t="s">
        <v>1086</v>
      </c>
      <c r="C115" s="64" t="s">
        <v>1959</v>
      </c>
      <c r="D115" s="64" t="s">
        <v>32</v>
      </c>
      <c r="E115" s="64" t="s">
        <v>33</v>
      </c>
      <c r="F115" s="63" t="s">
        <v>1960</v>
      </c>
      <c r="G115" s="69" t="s">
        <v>1961</v>
      </c>
      <c r="H115" s="63" t="s">
        <v>1962</v>
      </c>
      <c r="I115" s="65">
        <v>46164</v>
      </c>
      <c r="J115" s="64">
        <f t="shared" ref="J115:J120" ca="1" si="198">+TODAY()-I115</f>
        <v>20</v>
      </c>
      <c r="K115" s="64" t="str">
        <f t="shared" ref="K115:K120" si="199">+U115</f>
        <v>Pending</v>
      </c>
      <c r="L115" s="52" t="s">
        <v>71</v>
      </c>
      <c r="M115" s="64">
        <v>19000</v>
      </c>
      <c r="N115" s="64">
        <v>15000</v>
      </c>
      <c r="O115" s="65">
        <v>46164</v>
      </c>
      <c r="P115" s="64">
        <f t="shared" ref="P115:P120" si="200">+M115-N115</f>
        <v>4000</v>
      </c>
      <c r="Q115" s="64" t="s">
        <v>33</v>
      </c>
      <c r="R115" s="64" t="s">
        <v>64</v>
      </c>
      <c r="S115" s="64">
        <v>20500</v>
      </c>
      <c r="T115" s="64" t="s">
        <v>33</v>
      </c>
      <c r="U115" s="64" t="s">
        <v>33</v>
      </c>
      <c r="V115" s="64" t="s">
        <v>28</v>
      </c>
      <c r="W115" s="64">
        <f t="shared" ref="W115:W120" si="201">+S115-M115</f>
        <v>1500</v>
      </c>
      <c r="X115" s="64" t="s">
        <v>29</v>
      </c>
      <c r="Y115" s="64" t="s">
        <v>63</v>
      </c>
      <c r="Z115" s="71">
        <f t="shared" ref="Z115:Z120" si="202">+W115*100/M115</f>
        <v>7.8947368421052628</v>
      </c>
      <c r="AA115" s="64"/>
      <c r="AB115" s="64"/>
    </row>
    <row r="116" spans="1:28" hidden="1">
      <c r="A116" s="64">
        <f>SUBTOTAL(3,C$2:C116)</f>
        <v>55</v>
      </c>
      <c r="B116" s="64" t="s">
        <v>1086</v>
      </c>
      <c r="C116" s="64" t="s">
        <v>948</v>
      </c>
      <c r="D116" s="64" t="s">
        <v>32</v>
      </c>
      <c r="E116" s="64" t="s">
        <v>33</v>
      </c>
      <c r="F116" s="63" t="s">
        <v>2010</v>
      </c>
      <c r="G116" s="69" t="s">
        <v>1645</v>
      </c>
      <c r="H116" s="63" t="s">
        <v>2011</v>
      </c>
      <c r="I116" s="65">
        <v>46164</v>
      </c>
      <c r="J116" s="64">
        <f t="shared" ref="J116" ca="1" si="203">+TODAY()-I116</f>
        <v>20</v>
      </c>
      <c r="K116" s="64" t="str">
        <f t="shared" ref="K116" si="204">+U116</f>
        <v>Pending</v>
      </c>
      <c r="L116" s="52" t="s">
        <v>737</v>
      </c>
      <c r="M116" s="64">
        <v>15500</v>
      </c>
      <c r="N116" s="64">
        <v>13500</v>
      </c>
      <c r="O116" s="65">
        <v>46165</v>
      </c>
      <c r="P116" s="64">
        <f t="shared" ref="P116" si="205">+M116-N116</f>
        <v>2000</v>
      </c>
      <c r="Q116" s="64" t="s">
        <v>33</v>
      </c>
      <c r="R116" s="64" t="s">
        <v>64</v>
      </c>
      <c r="S116" s="64">
        <v>20000</v>
      </c>
      <c r="T116" s="64" t="s">
        <v>33</v>
      </c>
      <c r="U116" s="64" t="s">
        <v>33</v>
      </c>
      <c r="V116" s="64" t="s">
        <v>28</v>
      </c>
      <c r="W116" s="64">
        <f t="shared" ref="W116" si="206">+S116-M116</f>
        <v>4500</v>
      </c>
      <c r="X116" s="64" t="s">
        <v>29</v>
      </c>
      <c r="Y116" s="64" t="s">
        <v>63</v>
      </c>
      <c r="Z116" s="71">
        <f t="shared" ref="Z116" si="207">+W116*100/M116</f>
        <v>29.032258064516128</v>
      </c>
      <c r="AA116" s="64"/>
      <c r="AB116" s="64"/>
    </row>
    <row r="117" spans="1:28" hidden="1">
      <c r="A117" s="64">
        <f>SUBTOTAL(3,C$2:C117)</f>
        <v>55</v>
      </c>
      <c r="B117" s="64" t="s">
        <v>1086</v>
      </c>
      <c r="C117" s="64" t="s">
        <v>1168</v>
      </c>
      <c r="D117" s="64" t="s">
        <v>32</v>
      </c>
      <c r="E117" s="64" t="s">
        <v>33</v>
      </c>
      <c r="F117" s="63" t="s">
        <v>2008</v>
      </c>
      <c r="G117" s="69" t="s">
        <v>1840</v>
      </c>
      <c r="H117" s="63" t="s">
        <v>2009</v>
      </c>
      <c r="I117" s="65">
        <v>46164</v>
      </c>
      <c r="J117" s="64">
        <f t="shared" ref="J117" ca="1" si="208">+TODAY()-I117</f>
        <v>20</v>
      </c>
      <c r="K117" s="64" t="str">
        <f t="shared" ref="K117" si="209">+U117</f>
        <v>Pending</v>
      </c>
      <c r="L117" s="52" t="s">
        <v>737</v>
      </c>
      <c r="M117" s="64">
        <v>15500</v>
      </c>
      <c r="N117" s="64">
        <v>13500</v>
      </c>
      <c r="O117" s="65">
        <v>46165</v>
      </c>
      <c r="P117" s="64">
        <f t="shared" ref="P117" si="210">+M117-N117</f>
        <v>2000</v>
      </c>
      <c r="Q117" s="64" t="s">
        <v>33</v>
      </c>
      <c r="R117" s="64" t="s">
        <v>64</v>
      </c>
      <c r="S117" s="64">
        <v>20000</v>
      </c>
      <c r="T117" s="64" t="s">
        <v>33</v>
      </c>
      <c r="U117" s="64" t="s">
        <v>33</v>
      </c>
      <c r="V117" s="64" t="s">
        <v>28</v>
      </c>
      <c r="W117" s="64">
        <f t="shared" ref="W117" si="211">+S117-M117</f>
        <v>4500</v>
      </c>
      <c r="X117" s="64" t="s">
        <v>29</v>
      </c>
      <c r="Y117" s="64" t="s">
        <v>63</v>
      </c>
      <c r="Z117" s="71">
        <f t="shared" ref="Z117" si="212">+W117*100/M117</f>
        <v>29.032258064516128</v>
      </c>
      <c r="AA117" s="64"/>
      <c r="AB117" s="64" t="s">
        <v>320</v>
      </c>
    </row>
    <row r="118" spans="1:28" hidden="1">
      <c r="A118" s="64">
        <f>SUBTOTAL(3,C$2:C118)</f>
        <v>55</v>
      </c>
      <c r="B118" s="64" t="s">
        <v>1086</v>
      </c>
      <c r="C118" s="64" t="s">
        <v>1168</v>
      </c>
      <c r="D118" s="64" t="s">
        <v>32</v>
      </c>
      <c r="E118" s="64" t="s">
        <v>33</v>
      </c>
      <c r="F118" s="63" t="s">
        <v>2006</v>
      </c>
      <c r="G118" s="69" t="s">
        <v>1840</v>
      </c>
      <c r="H118" s="63" t="s">
        <v>2007</v>
      </c>
      <c r="I118" s="65">
        <v>46164</v>
      </c>
      <c r="J118" s="64">
        <f t="shared" ca="1" si="198"/>
        <v>20</v>
      </c>
      <c r="K118" s="64" t="str">
        <f t="shared" si="199"/>
        <v>Pending</v>
      </c>
      <c r="L118" s="52" t="s">
        <v>737</v>
      </c>
      <c r="M118" s="64">
        <v>15500</v>
      </c>
      <c r="N118" s="64">
        <v>13500</v>
      </c>
      <c r="O118" s="65">
        <v>46165</v>
      </c>
      <c r="P118" s="64">
        <f t="shared" si="200"/>
        <v>2000</v>
      </c>
      <c r="Q118" s="64" t="s">
        <v>33</v>
      </c>
      <c r="R118" s="64" t="s">
        <v>64</v>
      </c>
      <c r="S118" s="64">
        <v>20000</v>
      </c>
      <c r="T118" s="64" t="s">
        <v>33</v>
      </c>
      <c r="U118" s="64" t="s">
        <v>33</v>
      </c>
      <c r="V118" s="64" t="s">
        <v>28</v>
      </c>
      <c r="W118" s="64">
        <f t="shared" si="201"/>
        <v>4500</v>
      </c>
      <c r="X118" s="64" t="s">
        <v>29</v>
      </c>
      <c r="Y118" s="64" t="s">
        <v>63</v>
      </c>
      <c r="Z118" s="71">
        <f t="shared" si="202"/>
        <v>29.032258064516128</v>
      </c>
      <c r="AA118" s="64"/>
      <c r="AB118" s="64" t="s">
        <v>320</v>
      </c>
    </row>
    <row r="119" spans="1:28" hidden="1">
      <c r="A119" s="64">
        <f>SUBTOTAL(3,C$2:C119)</f>
        <v>55</v>
      </c>
      <c r="B119" s="64" t="s">
        <v>1086</v>
      </c>
      <c r="C119" s="64" t="s">
        <v>1168</v>
      </c>
      <c r="D119" s="64" t="s">
        <v>32</v>
      </c>
      <c r="E119" s="64" t="s">
        <v>33</v>
      </c>
      <c r="F119" s="63" t="s">
        <v>1891</v>
      </c>
      <c r="G119" s="69" t="s">
        <v>1840</v>
      </c>
      <c r="H119" s="63" t="s">
        <v>2065</v>
      </c>
      <c r="I119" s="65">
        <v>46165</v>
      </c>
      <c r="J119" s="64">
        <f t="shared" ca="1" si="198"/>
        <v>19</v>
      </c>
      <c r="K119" s="64" t="str">
        <f t="shared" si="199"/>
        <v>Pending</v>
      </c>
      <c r="L119" s="52" t="s">
        <v>737</v>
      </c>
      <c r="M119" s="64">
        <v>15500</v>
      </c>
      <c r="N119" s="64">
        <v>13500</v>
      </c>
      <c r="O119" s="65">
        <v>46165</v>
      </c>
      <c r="P119" s="64">
        <f t="shared" si="200"/>
        <v>2000</v>
      </c>
      <c r="Q119" s="64" t="s">
        <v>33</v>
      </c>
      <c r="R119" s="64" t="s">
        <v>64</v>
      </c>
      <c r="S119" s="64">
        <v>20000</v>
      </c>
      <c r="T119" s="64" t="s">
        <v>33</v>
      </c>
      <c r="U119" s="64" t="s">
        <v>33</v>
      </c>
      <c r="V119" s="64" t="s">
        <v>28</v>
      </c>
      <c r="W119" s="64">
        <f t="shared" si="201"/>
        <v>4500</v>
      </c>
      <c r="X119" s="64" t="s">
        <v>29</v>
      </c>
      <c r="Y119" s="64" t="s">
        <v>63</v>
      </c>
      <c r="Z119" s="71">
        <f t="shared" si="202"/>
        <v>29.032258064516128</v>
      </c>
      <c r="AA119" s="64"/>
      <c r="AB119" s="64" t="s">
        <v>320</v>
      </c>
    </row>
    <row r="120" spans="1:28" hidden="1">
      <c r="A120" s="64">
        <f>SUBTOTAL(3,C$2:C120)</f>
        <v>55</v>
      </c>
      <c r="B120" s="64" t="s">
        <v>1086</v>
      </c>
      <c r="C120" s="64" t="s">
        <v>73</v>
      </c>
      <c r="D120" s="64" t="s">
        <v>32</v>
      </c>
      <c r="E120" s="64" t="s">
        <v>33</v>
      </c>
      <c r="F120" s="63" t="s">
        <v>2062</v>
      </c>
      <c r="G120" s="69" t="s">
        <v>2063</v>
      </c>
      <c r="H120" s="63" t="s">
        <v>2064</v>
      </c>
      <c r="I120" s="65">
        <v>46165</v>
      </c>
      <c r="J120" s="64">
        <f t="shared" ca="1" si="198"/>
        <v>19</v>
      </c>
      <c r="K120" s="64" t="str">
        <f t="shared" si="199"/>
        <v>Pending</v>
      </c>
      <c r="L120" s="52" t="s">
        <v>737</v>
      </c>
      <c r="M120" s="64">
        <v>15500</v>
      </c>
      <c r="N120" s="64">
        <v>13500</v>
      </c>
      <c r="O120" s="65">
        <v>46165</v>
      </c>
      <c r="P120" s="64">
        <f t="shared" si="200"/>
        <v>2000</v>
      </c>
      <c r="Q120" s="64" t="s">
        <v>33</v>
      </c>
      <c r="R120" s="64" t="s">
        <v>64</v>
      </c>
      <c r="S120" s="64">
        <v>20000</v>
      </c>
      <c r="T120" s="64" t="s">
        <v>33</v>
      </c>
      <c r="U120" s="64" t="s">
        <v>33</v>
      </c>
      <c r="V120" s="64" t="s">
        <v>28</v>
      </c>
      <c r="W120" s="64">
        <f t="shared" si="201"/>
        <v>4500</v>
      </c>
      <c r="X120" s="64" t="s">
        <v>29</v>
      </c>
      <c r="Y120" s="64" t="s">
        <v>63</v>
      </c>
      <c r="Z120" s="71">
        <f t="shared" si="202"/>
        <v>29.032258064516128</v>
      </c>
      <c r="AA120" s="64"/>
      <c r="AB120" s="64" t="s">
        <v>320</v>
      </c>
    </row>
    <row r="121" spans="1:28" hidden="1">
      <c r="A121" s="64">
        <f>SUBTOTAL(3,C$2:C121)</f>
        <v>55</v>
      </c>
      <c r="B121" s="64" t="s">
        <v>1086</v>
      </c>
      <c r="C121" s="64" t="s">
        <v>1959</v>
      </c>
      <c r="D121" s="64" t="s">
        <v>32</v>
      </c>
      <c r="E121" s="64" t="s">
        <v>33</v>
      </c>
      <c r="F121" s="63" t="s">
        <v>1960</v>
      </c>
      <c r="G121" s="69" t="s">
        <v>1961</v>
      </c>
      <c r="H121" s="63" t="s">
        <v>2066</v>
      </c>
      <c r="I121" s="65">
        <v>46165</v>
      </c>
      <c r="J121" s="64">
        <f t="shared" ref="J121:J123" ca="1" si="213">+TODAY()-I121</f>
        <v>19</v>
      </c>
      <c r="K121" s="64" t="str">
        <f t="shared" ref="K121:K123" si="214">+U121</f>
        <v>Pending</v>
      </c>
      <c r="L121" s="52" t="s">
        <v>71</v>
      </c>
      <c r="M121" s="64">
        <v>26000</v>
      </c>
      <c r="N121" s="64">
        <v>22000</v>
      </c>
      <c r="O121" s="65">
        <v>46165</v>
      </c>
      <c r="P121" s="64">
        <f t="shared" ref="P121:P123" si="215">+M121-N121</f>
        <v>4000</v>
      </c>
      <c r="Q121" s="64" t="s">
        <v>33</v>
      </c>
      <c r="R121" s="64" t="s">
        <v>64</v>
      </c>
      <c r="S121" s="64">
        <v>33000</v>
      </c>
      <c r="T121" s="64" t="s">
        <v>33</v>
      </c>
      <c r="U121" s="64" t="s">
        <v>33</v>
      </c>
      <c r="V121" s="64" t="s">
        <v>28</v>
      </c>
      <c r="W121" s="64">
        <f t="shared" ref="W121:W123" si="216">+S121-M121</f>
        <v>7000</v>
      </c>
      <c r="X121" s="64" t="s">
        <v>29</v>
      </c>
      <c r="Y121" s="64" t="s">
        <v>63</v>
      </c>
      <c r="Z121" s="71">
        <f t="shared" ref="Z121:Z123" si="217">+W121*100/M121</f>
        <v>26.923076923076923</v>
      </c>
      <c r="AA121" s="64"/>
      <c r="AB121" s="64"/>
    </row>
    <row r="122" spans="1:28" hidden="1">
      <c r="A122" s="64">
        <f>SUBTOTAL(3,C$2:C122)</f>
        <v>55</v>
      </c>
      <c r="B122" s="64" t="s">
        <v>1086</v>
      </c>
      <c r="C122" s="64" t="s">
        <v>72</v>
      </c>
      <c r="D122" s="64" t="s">
        <v>32</v>
      </c>
      <c r="E122" s="64" t="s">
        <v>33</v>
      </c>
      <c r="F122" s="63" t="s">
        <v>1084</v>
      </c>
      <c r="G122" s="69" t="s">
        <v>67</v>
      </c>
      <c r="H122" s="63" t="s">
        <v>2067</v>
      </c>
      <c r="I122" s="65">
        <v>46166</v>
      </c>
      <c r="J122" s="64">
        <f t="shared" ca="1" si="213"/>
        <v>18</v>
      </c>
      <c r="K122" s="64" t="str">
        <f t="shared" si="214"/>
        <v>Pending</v>
      </c>
      <c r="L122" s="52" t="s">
        <v>71</v>
      </c>
      <c r="M122" s="64">
        <v>27000</v>
      </c>
      <c r="N122" s="64">
        <v>20000</v>
      </c>
      <c r="O122" s="65">
        <v>46166</v>
      </c>
      <c r="P122" s="64">
        <f t="shared" si="215"/>
        <v>7000</v>
      </c>
      <c r="Q122" s="64" t="s">
        <v>33</v>
      </c>
      <c r="R122" s="64" t="s">
        <v>64</v>
      </c>
      <c r="S122" s="64">
        <v>33000</v>
      </c>
      <c r="T122" s="64" t="s">
        <v>33</v>
      </c>
      <c r="U122" s="64" t="s">
        <v>33</v>
      </c>
      <c r="V122" s="64" t="s">
        <v>28</v>
      </c>
      <c r="W122" s="64">
        <f t="shared" si="216"/>
        <v>6000</v>
      </c>
      <c r="X122" s="64" t="s">
        <v>29</v>
      </c>
      <c r="Y122" s="64" t="s">
        <v>63</v>
      </c>
      <c r="Z122" s="71">
        <f t="shared" si="217"/>
        <v>22.222222222222221</v>
      </c>
      <c r="AA122" s="64"/>
      <c r="AB122" s="64" t="s">
        <v>320</v>
      </c>
    </row>
    <row r="123" spans="1:28" hidden="1">
      <c r="A123" s="64">
        <f>SUBTOTAL(3,C$2:C123)</f>
        <v>55</v>
      </c>
      <c r="B123" s="64" t="s">
        <v>1086</v>
      </c>
      <c r="C123" s="64" t="s">
        <v>1168</v>
      </c>
      <c r="D123" s="64" t="s">
        <v>32</v>
      </c>
      <c r="E123" s="64" t="s">
        <v>33</v>
      </c>
      <c r="F123" s="63" t="s">
        <v>2072</v>
      </c>
      <c r="G123" s="69" t="s">
        <v>1840</v>
      </c>
      <c r="H123" s="63" t="s">
        <v>2073</v>
      </c>
      <c r="I123" s="65">
        <v>46166</v>
      </c>
      <c r="J123" s="64">
        <f t="shared" ca="1" si="213"/>
        <v>18</v>
      </c>
      <c r="K123" s="64" t="str">
        <f t="shared" si="214"/>
        <v>Pending</v>
      </c>
      <c r="L123" s="52" t="s">
        <v>737</v>
      </c>
      <c r="M123" s="64">
        <v>15500</v>
      </c>
      <c r="N123" s="64">
        <v>13500</v>
      </c>
      <c r="O123" s="65">
        <v>46166</v>
      </c>
      <c r="P123" s="64">
        <f t="shared" si="215"/>
        <v>2000</v>
      </c>
      <c r="Q123" s="64" t="s">
        <v>33</v>
      </c>
      <c r="R123" s="64" t="s">
        <v>64</v>
      </c>
      <c r="S123" s="64">
        <v>20000</v>
      </c>
      <c r="T123" s="64" t="s">
        <v>33</v>
      </c>
      <c r="U123" s="64" t="s">
        <v>33</v>
      </c>
      <c r="V123" s="64" t="s">
        <v>28</v>
      </c>
      <c r="W123" s="64">
        <f t="shared" si="216"/>
        <v>4500</v>
      </c>
      <c r="X123" s="64" t="s">
        <v>29</v>
      </c>
      <c r="Y123" s="64" t="s">
        <v>63</v>
      </c>
      <c r="Z123" s="71">
        <f t="shared" si="217"/>
        <v>29.032258064516128</v>
      </c>
      <c r="AA123" s="64"/>
      <c r="AB123" s="64" t="s">
        <v>320</v>
      </c>
    </row>
    <row r="124" spans="1:28" hidden="1">
      <c r="A124" s="64">
        <f>SUBTOTAL(3,C$2:C124)</f>
        <v>55</v>
      </c>
      <c r="B124" s="64" t="s">
        <v>1086</v>
      </c>
      <c r="C124" s="64" t="s">
        <v>2068</v>
      </c>
      <c r="D124" s="64" t="s">
        <v>32</v>
      </c>
      <c r="E124" s="64" t="s">
        <v>33</v>
      </c>
      <c r="F124" s="63" t="s">
        <v>2069</v>
      </c>
      <c r="G124" s="69" t="s">
        <v>67</v>
      </c>
      <c r="H124" s="77">
        <v>17425</v>
      </c>
      <c r="I124" s="65">
        <v>46166</v>
      </c>
      <c r="J124" s="64">
        <f t="shared" ref="J124:J127" ca="1" si="218">+TODAY()-I124</f>
        <v>18</v>
      </c>
      <c r="K124" s="64" t="str">
        <f t="shared" ref="K124:K127" si="219">+U124</f>
        <v>Pending</v>
      </c>
      <c r="L124" s="63" t="s">
        <v>2070</v>
      </c>
      <c r="M124" s="64">
        <v>25000</v>
      </c>
      <c r="N124" s="64">
        <v>22000</v>
      </c>
      <c r="O124" s="65">
        <v>46166</v>
      </c>
      <c r="P124" s="64">
        <f t="shared" ref="P124:P127" si="220">+M124-N124</f>
        <v>3000</v>
      </c>
      <c r="Q124" s="64" t="s">
        <v>33</v>
      </c>
      <c r="R124" s="64" t="s">
        <v>2071</v>
      </c>
      <c r="S124" s="64">
        <v>30000</v>
      </c>
      <c r="T124" s="64" t="s">
        <v>33</v>
      </c>
      <c r="U124" s="64" t="s">
        <v>33</v>
      </c>
      <c r="V124" s="64" t="s">
        <v>28</v>
      </c>
      <c r="W124" s="64">
        <f t="shared" ref="W124:W127" si="221">+S124-M124</f>
        <v>5000</v>
      </c>
      <c r="X124" s="64" t="s">
        <v>29</v>
      </c>
      <c r="Y124" s="64" t="s">
        <v>63</v>
      </c>
      <c r="Z124" s="71">
        <f t="shared" ref="Z124:Z127" si="222">+W124*100/M124</f>
        <v>20</v>
      </c>
      <c r="AA124" s="64"/>
      <c r="AB124" s="64" t="s">
        <v>320</v>
      </c>
    </row>
    <row r="125" spans="1:28" hidden="1">
      <c r="A125" s="64">
        <f>SUBTOTAL(3,C$2:C125)</f>
        <v>55</v>
      </c>
      <c r="B125" s="64" t="s">
        <v>1086</v>
      </c>
      <c r="C125" s="64" t="s">
        <v>1168</v>
      </c>
      <c r="D125" s="64" t="s">
        <v>32</v>
      </c>
      <c r="E125" s="64" t="s">
        <v>33</v>
      </c>
      <c r="F125" s="63" t="s">
        <v>2137</v>
      </c>
      <c r="G125" s="69" t="s">
        <v>1840</v>
      </c>
      <c r="H125" s="77" t="s">
        <v>2138</v>
      </c>
      <c r="I125" s="65">
        <v>46167</v>
      </c>
      <c r="J125" s="64">
        <f t="shared" ca="1" si="218"/>
        <v>17</v>
      </c>
      <c r="K125" s="64" t="str">
        <f t="shared" si="219"/>
        <v>Pending</v>
      </c>
      <c r="L125" s="63" t="s">
        <v>737</v>
      </c>
      <c r="M125" s="64">
        <v>15500</v>
      </c>
      <c r="N125" s="64">
        <v>13500</v>
      </c>
      <c r="O125" s="65">
        <v>46167</v>
      </c>
      <c r="P125" s="64">
        <f t="shared" si="220"/>
        <v>2000</v>
      </c>
      <c r="Q125" s="64" t="s">
        <v>33</v>
      </c>
      <c r="R125" s="64" t="s">
        <v>64</v>
      </c>
      <c r="S125" s="64">
        <v>20000</v>
      </c>
      <c r="T125" s="64" t="s">
        <v>33</v>
      </c>
      <c r="U125" s="64" t="s">
        <v>33</v>
      </c>
      <c r="V125" s="64" t="s">
        <v>28</v>
      </c>
      <c r="W125" s="64">
        <f t="shared" si="221"/>
        <v>4500</v>
      </c>
      <c r="X125" s="64" t="s">
        <v>29</v>
      </c>
      <c r="Y125" s="64" t="s">
        <v>63</v>
      </c>
      <c r="Z125" s="71">
        <f t="shared" si="222"/>
        <v>29.032258064516128</v>
      </c>
      <c r="AA125" s="64"/>
      <c r="AB125" s="64" t="s">
        <v>320</v>
      </c>
    </row>
    <row r="126" spans="1:28" hidden="1">
      <c r="A126" s="64">
        <f>SUBTOTAL(3,C$2:C126)</f>
        <v>55</v>
      </c>
      <c r="B126" s="64" t="s">
        <v>1086</v>
      </c>
      <c r="C126" s="64" t="s">
        <v>65</v>
      </c>
      <c r="D126" s="64" t="s">
        <v>32</v>
      </c>
      <c r="E126" s="64" t="s">
        <v>33</v>
      </c>
      <c r="F126" s="63" t="s">
        <v>66</v>
      </c>
      <c r="G126" s="69" t="s">
        <v>67</v>
      </c>
      <c r="H126" s="77" t="s">
        <v>2139</v>
      </c>
      <c r="I126" s="65">
        <v>46167</v>
      </c>
      <c r="J126" s="64">
        <f t="shared" ca="1" si="218"/>
        <v>17</v>
      </c>
      <c r="K126" s="64" t="str">
        <f t="shared" si="219"/>
        <v>Pending</v>
      </c>
      <c r="L126" s="63" t="s">
        <v>737</v>
      </c>
      <c r="M126" s="64">
        <v>27000</v>
      </c>
      <c r="N126" s="64">
        <v>20000</v>
      </c>
      <c r="O126" s="65">
        <v>46167</v>
      </c>
      <c r="P126" s="64">
        <f t="shared" si="220"/>
        <v>7000</v>
      </c>
      <c r="Q126" s="64" t="s">
        <v>33</v>
      </c>
      <c r="R126" s="64" t="s">
        <v>64</v>
      </c>
      <c r="S126" s="64">
        <v>33000</v>
      </c>
      <c r="T126" s="64" t="s">
        <v>33</v>
      </c>
      <c r="U126" s="64" t="s">
        <v>33</v>
      </c>
      <c r="V126" s="64" t="s">
        <v>28</v>
      </c>
      <c r="W126" s="64">
        <f t="shared" si="221"/>
        <v>6000</v>
      </c>
      <c r="X126" s="64" t="s">
        <v>29</v>
      </c>
      <c r="Y126" s="64" t="s">
        <v>63</v>
      </c>
      <c r="Z126" s="71">
        <f t="shared" si="222"/>
        <v>22.222222222222221</v>
      </c>
      <c r="AA126" s="64"/>
      <c r="AB126" s="64"/>
    </row>
    <row r="127" spans="1:28" hidden="1">
      <c r="A127" s="64">
        <f>SUBTOTAL(3,C$2:C127)</f>
        <v>55</v>
      </c>
      <c r="B127" s="64" t="s">
        <v>1086</v>
      </c>
      <c r="C127" s="64" t="s">
        <v>991</v>
      </c>
      <c r="D127" s="64" t="s">
        <v>32</v>
      </c>
      <c r="E127" s="64" t="s">
        <v>33</v>
      </c>
      <c r="F127" s="63" t="s">
        <v>2206</v>
      </c>
      <c r="G127" s="69" t="s">
        <v>1645</v>
      </c>
      <c r="H127" s="77" t="s">
        <v>2207</v>
      </c>
      <c r="I127" s="65">
        <v>46167</v>
      </c>
      <c r="J127" s="64">
        <f t="shared" ca="1" si="218"/>
        <v>17</v>
      </c>
      <c r="K127" s="64" t="str">
        <f t="shared" si="219"/>
        <v>Pending</v>
      </c>
      <c r="L127" s="63" t="s">
        <v>737</v>
      </c>
      <c r="M127" s="64">
        <v>15500</v>
      </c>
      <c r="N127" s="64">
        <v>12500</v>
      </c>
      <c r="O127" s="65">
        <v>46168</v>
      </c>
      <c r="P127" s="64">
        <f t="shared" si="220"/>
        <v>3000</v>
      </c>
      <c r="Q127" s="64" t="s">
        <v>33</v>
      </c>
      <c r="R127" s="64" t="s">
        <v>64</v>
      </c>
      <c r="S127" s="64">
        <v>20000</v>
      </c>
      <c r="T127" s="64" t="s">
        <v>33</v>
      </c>
      <c r="U127" s="64" t="s">
        <v>33</v>
      </c>
      <c r="V127" s="64" t="s">
        <v>28</v>
      </c>
      <c r="W127" s="64">
        <f t="shared" si="221"/>
        <v>4500</v>
      </c>
      <c r="X127" s="64" t="s">
        <v>29</v>
      </c>
      <c r="Y127" s="64" t="s">
        <v>63</v>
      </c>
      <c r="Z127" s="71">
        <f t="shared" si="222"/>
        <v>29.032258064516128</v>
      </c>
      <c r="AA127" s="64"/>
      <c r="AB127" s="64"/>
    </row>
    <row r="128" spans="1:28" hidden="1">
      <c r="A128" s="64">
        <f>SUBTOTAL(3,C$2:C128)</f>
        <v>55</v>
      </c>
      <c r="B128" s="64" t="s">
        <v>1086</v>
      </c>
      <c r="C128" s="64" t="s">
        <v>1168</v>
      </c>
      <c r="D128" s="64" t="s">
        <v>32</v>
      </c>
      <c r="E128" s="64" t="s">
        <v>33</v>
      </c>
      <c r="F128" s="63" t="s">
        <v>1891</v>
      </c>
      <c r="G128" s="69" t="s">
        <v>1840</v>
      </c>
      <c r="H128" s="77" t="s">
        <v>2201</v>
      </c>
      <c r="I128" s="65">
        <v>46168</v>
      </c>
      <c r="J128" s="64">
        <f t="shared" ref="J128:J129" ca="1" si="223">+TODAY()-I128</f>
        <v>16</v>
      </c>
      <c r="K128" s="64" t="str">
        <f t="shared" ref="K128:K129" si="224">+U128</f>
        <v>Pending</v>
      </c>
      <c r="L128" s="63" t="s">
        <v>737</v>
      </c>
      <c r="M128" s="64">
        <v>15500</v>
      </c>
      <c r="N128" s="64">
        <v>13500</v>
      </c>
      <c r="O128" s="65">
        <v>46168</v>
      </c>
      <c r="P128" s="64">
        <f t="shared" ref="P128:P129" si="225">+M128-N128</f>
        <v>2000</v>
      </c>
      <c r="Q128" s="64" t="s">
        <v>33</v>
      </c>
      <c r="R128" s="64" t="s">
        <v>64</v>
      </c>
      <c r="S128" s="64">
        <v>20000</v>
      </c>
      <c r="T128" s="64" t="s">
        <v>33</v>
      </c>
      <c r="U128" s="64" t="s">
        <v>33</v>
      </c>
      <c r="V128" s="64" t="s">
        <v>28</v>
      </c>
      <c r="W128" s="64">
        <f t="shared" ref="W128:W129" si="226">+S128-M128</f>
        <v>4500</v>
      </c>
      <c r="X128" s="64" t="s">
        <v>29</v>
      </c>
      <c r="Y128" s="64" t="s">
        <v>63</v>
      </c>
      <c r="Z128" s="71">
        <f t="shared" ref="Z128:Z129" si="227">+W128*100/M128</f>
        <v>29.032258064516128</v>
      </c>
      <c r="AA128" s="64"/>
      <c r="AB128" s="64" t="s">
        <v>320</v>
      </c>
    </row>
    <row r="129" spans="1:28" hidden="1">
      <c r="A129" s="64">
        <f>SUBTOTAL(3,C$2:C129)</f>
        <v>55</v>
      </c>
      <c r="B129" s="64" t="s">
        <v>1086</v>
      </c>
      <c r="C129" s="64" t="s">
        <v>948</v>
      </c>
      <c r="D129" s="64" t="s">
        <v>32</v>
      </c>
      <c r="E129" s="64" t="s">
        <v>33</v>
      </c>
      <c r="F129" s="63" t="s">
        <v>1603</v>
      </c>
      <c r="G129" s="69" t="s">
        <v>1645</v>
      </c>
      <c r="H129" s="77" t="s">
        <v>2202</v>
      </c>
      <c r="I129" s="65">
        <v>46168</v>
      </c>
      <c r="J129" s="64">
        <f t="shared" ca="1" si="223"/>
        <v>16</v>
      </c>
      <c r="K129" s="64" t="str">
        <f t="shared" si="224"/>
        <v>Pending</v>
      </c>
      <c r="L129" s="63" t="s">
        <v>737</v>
      </c>
      <c r="M129" s="64">
        <v>15500</v>
      </c>
      <c r="N129" s="64">
        <v>12500</v>
      </c>
      <c r="O129" s="65">
        <v>46168</v>
      </c>
      <c r="P129" s="64">
        <f t="shared" si="225"/>
        <v>3000</v>
      </c>
      <c r="Q129" s="64" t="s">
        <v>33</v>
      </c>
      <c r="R129" s="64" t="s">
        <v>64</v>
      </c>
      <c r="S129" s="64">
        <v>20000</v>
      </c>
      <c r="T129" s="64" t="s">
        <v>33</v>
      </c>
      <c r="U129" s="64" t="s">
        <v>33</v>
      </c>
      <c r="V129" s="64" t="s">
        <v>28</v>
      </c>
      <c r="W129" s="64">
        <f t="shared" si="226"/>
        <v>4500</v>
      </c>
      <c r="X129" s="64" t="s">
        <v>29</v>
      </c>
      <c r="Y129" s="64" t="s">
        <v>63</v>
      </c>
      <c r="Z129" s="71">
        <f t="shared" si="227"/>
        <v>29.032258064516128</v>
      </c>
      <c r="AA129" s="64"/>
      <c r="AB129" s="64"/>
    </row>
    <row r="130" spans="1:28" hidden="1">
      <c r="A130" s="64">
        <f>SUBTOTAL(3,C$2:C130)</f>
        <v>55</v>
      </c>
      <c r="B130" s="64" t="s">
        <v>1086</v>
      </c>
      <c r="C130" s="64" t="s">
        <v>1168</v>
      </c>
      <c r="D130" s="64" t="s">
        <v>32</v>
      </c>
      <c r="E130" s="64" t="s">
        <v>33</v>
      </c>
      <c r="F130" s="63" t="s">
        <v>2203</v>
      </c>
      <c r="G130" s="69" t="s">
        <v>1840</v>
      </c>
      <c r="H130" s="77" t="s">
        <v>2204</v>
      </c>
      <c r="I130" s="65">
        <v>46168</v>
      </c>
      <c r="J130" s="64">
        <f t="shared" ref="J130:J134" ca="1" si="228">+TODAY()-I130</f>
        <v>16</v>
      </c>
      <c r="K130" s="64" t="str">
        <f t="shared" ref="K130:K134" si="229">+U130</f>
        <v>Pending</v>
      </c>
      <c r="L130" s="63" t="s">
        <v>737</v>
      </c>
      <c r="M130" s="64">
        <v>15500</v>
      </c>
      <c r="N130" s="64">
        <v>13500</v>
      </c>
      <c r="O130" s="65">
        <v>46168</v>
      </c>
      <c r="P130" s="64">
        <f t="shared" ref="P130:P134" si="230">+M130-N130</f>
        <v>2000</v>
      </c>
      <c r="Q130" s="64" t="s">
        <v>33</v>
      </c>
      <c r="R130" s="64" t="s">
        <v>64</v>
      </c>
      <c r="S130" s="64">
        <v>20000</v>
      </c>
      <c r="T130" s="64" t="s">
        <v>33</v>
      </c>
      <c r="U130" s="64" t="s">
        <v>33</v>
      </c>
      <c r="V130" s="64" t="s">
        <v>28</v>
      </c>
      <c r="W130" s="64">
        <f t="shared" ref="W130:W134" si="231">+S130-M130</f>
        <v>4500</v>
      </c>
      <c r="X130" s="64" t="s">
        <v>29</v>
      </c>
      <c r="Y130" s="64" t="s">
        <v>63</v>
      </c>
      <c r="Z130" s="71">
        <f t="shared" ref="Z130:Z134" si="232">+W130*100/M130</f>
        <v>29.032258064516128</v>
      </c>
      <c r="AA130" s="64"/>
      <c r="AB130" s="64" t="s">
        <v>320</v>
      </c>
    </row>
    <row r="131" spans="1:28" hidden="1">
      <c r="A131" s="64">
        <f>SUBTOTAL(3,C$2:C131)</f>
        <v>55</v>
      </c>
      <c r="B131" s="64" t="s">
        <v>1086</v>
      </c>
      <c r="C131" s="64" t="s">
        <v>72</v>
      </c>
      <c r="D131" s="64" t="s">
        <v>32</v>
      </c>
      <c r="E131" s="64" t="s">
        <v>33</v>
      </c>
      <c r="F131" s="63" t="s">
        <v>69</v>
      </c>
      <c r="G131" s="69" t="s">
        <v>67</v>
      </c>
      <c r="H131" s="77" t="s">
        <v>2200</v>
      </c>
      <c r="I131" s="65">
        <v>46168</v>
      </c>
      <c r="J131" s="64">
        <f t="shared" ca="1" si="228"/>
        <v>16</v>
      </c>
      <c r="K131" s="64" t="str">
        <f t="shared" si="229"/>
        <v>Pending</v>
      </c>
      <c r="L131" s="63" t="s">
        <v>71</v>
      </c>
      <c r="M131" s="64">
        <v>19000</v>
      </c>
      <c r="N131" s="64">
        <v>15000</v>
      </c>
      <c r="O131" s="65">
        <v>46168</v>
      </c>
      <c r="P131" s="64">
        <f t="shared" si="230"/>
        <v>4000</v>
      </c>
      <c r="Q131" s="64" t="s">
        <v>33</v>
      </c>
      <c r="R131" s="64" t="s">
        <v>64</v>
      </c>
      <c r="S131" s="64">
        <v>20500</v>
      </c>
      <c r="T131" s="64" t="s">
        <v>33</v>
      </c>
      <c r="U131" s="64" t="s">
        <v>33</v>
      </c>
      <c r="V131" s="64" t="s">
        <v>28</v>
      </c>
      <c r="W131" s="64">
        <f t="shared" si="231"/>
        <v>1500</v>
      </c>
      <c r="X131" s="64" t="s">
        <v>29</v>
      </c>
      <c r="Y131" s="64" t="s">
        <v>63</v>
      </c>
      <c r="Z131" s="71">
        <f t="shared" si="232"/>
        <v>7.8947368421052628</v>
      </c>
      <c r="AA131" s="64"/>
      <c r="AB131" s="64" t="s">
        <v>320</v>
      </c>
    </row>
    <row r="132" spans="1:28" hidden="1">
      <c r="A132" s="64">
        <f>SUBTOTAL(3,C$2:C132)</f>
        <v>55</v>
      </c>
      <c r="B132" s="64" t="s">
        <v>1086</v>
      </c>
      <c r="C132" s="64" t="s">
        <v>73</v>
      </c>
      <c r="D132" s="64" t="s">
        <v>32</v>
      </c>
      <c r="E132" s="64" t="s">
        <v>33</v>
      </c>
      <c r="F132" s="63" t="s">
        <v>366</v>
      </c>
      <c r="G132" s="69" t="s">
        <v>67</v>
      </c>
      <c r="H132" s="77" t="s">
        <v>2205</v>
      </c>
      <c r="I132" s="65">
        <v>46168</v>
      </c>
      <c r="J132" s="64">
        <f t="shared" ca="1" si="228"/>
        <v>16</v>
      </c>
      <c r="K132" s="64" t="str">
        <f t="shared" si="229"/>
        <v>Pending</v>
      </c>
      <c r="L132" s="63" t="s">
        <v>737</v>
      </c>
      <c r="M132" s="64">
        <v>28000</v>
      </c>
      <c r="N132" s="64">
        <v>24000</v>
      </c>
      <c r="O132" s="65">
        <v>46168</v>
      </c>
      <c r="P132" s="64">
        <f t="shared" si="230"/>
        <v>4000</v>
      </c>
      <c r="Q132" s="64" t="s">
        <v>33</v>
      </c>
      <c r="R132" s="64" t="s">
        <v>64</v>
      </c>
      <c r="S132" s="64">
        <v>33000</v>
      </c>
      <c r="T132" s="64" t="s">
        <v>33</v>
      </c>
      <c r="U132" s="64" t="s">
        <v>33</v>
      </c>
      <c r="V132" s="64" t="s">
        <v>28</v>
      </c>
      <c r="W132" s="64">
        <f t="shared" si="231"/>
        <v>5000</v>
      </c>
      <c r="X132" s="64" t="s">
        <v>29</v>
      </c>
      <c r="Y132" s="64" t="s">
        <v>63</v>
      </c>
      <c r="Z132" s="71">
        <f t="shared" si="232"/>
        <v>17.857142857142858</v>
      </c>
      <c r="AA132" s="64"/>
      <c r="AB132" s="64" t="s">
        <v>320</v>
      </c>
    </row>
    <row r="133" spans="1:28" hidden="1">
      <c r="A133" s="64">
        <f>SUBTOTAL(3,C$2:C133)</f>
        <v>55</v>
      </c>
      <c r="B133" s="64" t="s">
        <v>1086</v>
      </c>
      <c r="C133" s="64" t="s">
        <v>1567</v>
      </c>
      <c r="D133" s="64" t="s">
        <v>32</v>
      </c>
      <c r="E133" s="64" t="s">
        <v>33</v>
      </c>
      <c r="F133" s="63" t="s">
        <v>1643</v>
      </c>
      <c r="G133" s="69" t="s">
        <v>2294</v>
      </c>
      <c r="H133" s="77" t="s">
        <v>2295</v>
      </c>
      <c r="I133" s="65">
        <v>46169</v>
      </c>
      <c r="J133" s="64">
        <f t="shared" ca="1" si="228"/>
        <v>15</v>
      </c>
      <c r="K133" s="64" t="str">
        <f t="shared" si="229"/>
        <v>Pending</v>
      </c>
      <c r="L133" s="63" t="s">
        <v>1570</v>
      </c>
      <c r="M133" s="64">
        <v>15500</v>
      </c>
      <c r="N133" s="64">
        <v>13500</v>
      </c>
      <c r="O133" s="65">
        <v>46169</v>
      </c>
      <c r="P133" s="64">
        <f t="shared" si="230"/>
        <v>2000</v>
      </c>
      <c r="Q133" s="64" t="s">
        <v>33</v>
      </c>
      <c r="R133" s="64" t="s">
        <v>64</v>
      </c>
      <c r="S133" s="64">
        <v>20000</v>
      </c>
      <c r="T133" s="64" t="s">
        <v>33</v>
      </c>
      <c r="U133" s="64" t="s">
        <v>33</v>
      </c>
      <c r="V133" s="64" t="s">
        <v>28</v>
      </c>
      <c r="W133" s="64">
        <f t="shared" si="231"/>
        <v>4500</v>
      </c>
      <c r="X133" s="64" t="s">
        <v>29</v>
      </c>
      <c r="Y133" s="64" t="s">
        <v>63</v>
      </c>
      <c r="Z133" s="71">
        <f t="shared" si="232"/>
        <v>29.032258064516128</v>
      </c>
      <c r="AA133" s="64"/>
      <c r="AB133" s="64" t="s">
        <v>320</v>
      </c>
    </row>
    <row r="134" spans="1:28" hidden="1">
      <c r="A134" s="64">
        <f>SUBTOTAL(3,C$2:C134)</f>
        <v>55</v>
      </c>
      <c r="B134" s="64" t="s">
        <v>1086</v>
      </c>
      <c r="C134" s="64" t="s">
        <v>1168</v>
      </c>
      <c r="D134" s="64" t="s">
        <v>32</v>
      </c>
      <c r="E134" s="64" t="s">
        <v>33</v>
      </c>
      <c r="F134" s="63" t="s">
        <v>2296</v>
      </c>
      <c r="G134" s="69" t="s">
        <v>1840</v>
      </c>
      <c r="H134" s="77" t="s">
        <v>2297</v>
      </c>
      <c r="I134" s="65">
        <v>46169</v>
      </c>
      <c r="J134" s="64">
        <f t="shared" ca="1" si="228"/>
        <v>15</v>
      </c>
      <c r="K134" s="64" t="str">
        <f t="shared" si="229"/>
        <v>Pending</v>
      </c>
      <c r="L134" s="63" t="s">
        <v>737</v>
      </c>
      <c r="M134" s="64">
        <v>15500</v>
      </c>
      <c r="N134" s="64">
        <v>13500</v>
      </c>
      <c r="O134" s="65">
        <v>46169</v>
      </c>
      <c r="P134" s="64">
        <f t="shared" si="230"/>
        <v>2000</v>
      </c>
      <c r="Q134" s="64" t="s">
        <v>33</v>
      </c>
      <c r="R134" s="64" t="s">
        <v>64</v>
      </c>
      <c r="S134" s="64">
        <v>20000</v>
      </c>
      <c r="T134" s="64" t="s">
        <v>33</v>
      </c>
      <c r="U134" s="64" t="s">
        <v>33</v>
      </c>
      <c r="V134" s="64" t="s">
        <v>28</v>
      </c>
      <c r="W134" s="64">
        <f t="shared" si="231"/>
        <v>4500</v>
      </c>
      <c r="X134" s="64" t="s">
        <v>29</v>
      </c>
      <c r="Y134" s="64" t="s">
        <v>63</v>
      </c>
      <c r="Z134" s="71">
        <f t="shared" si="232"/>
        <v>29.032258064516128</v>
      </c>
      <c r="AA134" s="64"/>
      <c r="AB134" s="64" t="s">
        <v>320</v>
      </c>
    </row>
    <row r="135" spans="1:28" hidden="1">
      <c r="A135" s="64">
        <f>SUBTOTAL(3,C$2:C135)</f>
        <v>55</v>
      </c>
      <c r="B135" s="64" t="s">
        <v>1086</v>
      </c>
      <c r="C135" s="64" t="s">
        <v>1168</v>
      </c>
      <c r="D135" s="64" t="s">
        <v>32</v>
      </c>
      <c r="E135" s="64" t="s">
        <v>33</v>
      </c>
      <c r="F135" s="63" t="s">
        <v>2298</v>
      </c>
      <c r="G135" s="69" t="s">
        <v>1840</v>
      </c>
      <c r="H135" s="77" t="s">
        <v>2299</v>
      </c>
      <c r="I135" s="65">
        <v>46169</v>
      </c>
      <c r="J135" s="64">
        <f t="shared" ref="J135:J136" ca="1" si="233">+TODAY()-I135</f>
        <v>15</v>
      </c>
      <c r="K135" s="64" t="str">
        <f t="shared" ref="K135:K136" si="234">+U135</f>
        <v>Pending</v>
      </c>
      <c r="L135" s="63" t="s">
        <v>737</v>
      </c>
      <c r="M135" s="64">
        <v>15500</v>
      </c>
      <c r="N135" s="64">
        <v>13500</v>
      </c>
      <c r="O135" s="65">
        <v>46169</v>
      </c>
      <c r="P135" s="64">
        <f t="shared" ref="P135:P136" si="235">+M135-N135</f>
        <v>2000</v>
      </c>
      <c r="Q135" s="64" t="s">
        <v>33</v>
      </c>
      <c r="R135" s="64" t="s">
        <v>64</v>
      </c>
      <c r="S135" s="64">
        <v>20000</v>
      </c>
      <c r="T135" s="64" t="s">
        <v>33</v>
      </c>
      <c r="U135" s="64" t="s">
        <v>33</v>
      </c>
      <c r="V135" s="64" t="s">
        <v>28</v>
      </c>
      <c r="W135" s="64">
        <f t="shared" ref="W135:W136" si="236">+S135-M135</f>
        <v>4500</v>
      </c>
      <c r="X135" s="64" t="s">
        <v>29</v>
      </c>
      <c r="Y135" s="64" t="s">
        <v>63</v>
      </c>
      <c r="Z135" s="71">
        <f t="shared" ref="Z135:Z136" si="237">+W135*100/M135</f>
        <v>29.032258064516128</v>
      </c>
      <c r="AA135" s="64"/>
      <c r="AB135" s="64" t="s">
        <v>320</v>
      </c>
    </row>
    <row r="136" spans="1:28" hidden="1">
      <c r="A136" s="64">
        <f>SUBTOTAL(3,C$2:C136)</f>
        <v>55</v>
      </c>
      <c r="B136" s="64" t="s">
        <v>1086</v>
      </c>
      <c r="C136" s="64" t="s">
        <v>948</v>
      </c>
      <c r="D136" s="64" t="s">
        <v>32</v>
      </c>
      <c r="E136" s="64" t="s">
        <v>33</v>
      </c>
      <c r="F136" s="63" t="s">
        <v>2300</v>
      </c>
      <c r="G136" s="69" t="s">
        <v>1645</v>
      </c>
      <c r="H136" s="77" t="s">
        <v>2301</v>
      </c>
      <c r="I136" s="65">
        <v>46169</v>
      </c>
      <c r="J136" s="64">
        <f t="shared" ca="1" si="233"/>
        <v>15</v>
      </c>
      <c r="K136" s="64" t="str">
        <f t="shared" si="234"/>
        <v>Pending</v>
      </c>
      <c r="L136" s="63" t="s">
        <v>737</v>
      </c>
      <c r="M136" s="64">
        <v>15500</v>
      </c>
      <c r="N136" s="64">
        <v>13500</v>
      </c>
      <c r="O136" s="65">
        <v>46169</v>
      </c>
      <c r="P136" s="64">
        <f t="shared" si="235"/>
        <v>2000</v>
      </c>
      <c r="Q136" s="64" t="s">
        <v>33</v>
      </c>
      <c r="R136" s="64" t="s">
        <v>64</v>
      </c>
      <c r="S136" s="64">
        <v>20000</v>
      </c>
      <c r="T136" s="64" t="s">
        <v>33</v>
      </c>
      <c r="U136" s="64" t="s">
        <v>33</v>
      </c>
      <c r="V136" s="64" t="s">
        <v>28</v>
      </c>
      <c r="W136" s="64">
        <f t="shared" si="236"/>
        <v>4500</v>
      </c>
      <c r="X136" s="64" t="s">
        <v>29</v>
      </c>
      <c r="Y136" s="64" t="s">
        <v>63</v>
      </c>
      <c r="Z136" s="71">
        <f t="shared" si="237"/>
        <v>29.032258064516128</v>
      </c>
      <c r="AA136" s="64"/>
      <c r="AB136" s="64"/>
    </row>
    <row r="137" spans="1:28" hidden="1">
      <c r="A137" s="64">
        <f>SUBTOTAL(3,C$2:C137)</f>
        <v>55</v>
      </c>
      <c r="B137" s="64" t="s">
        <v>1086</v>
      </c>
      <c r="C137" s="64" t="s">
        <v>1168</v>
      </c>
      <c r="D137" s="64" t="s">
        <v>32</v>
      </c>
      <c r="E137" s="64" t="s">
        <v>33</v>
      </c>
      <c r="F137" s="63" t="s">
        <v>2302</v>
      </c>
      <c r="G137" s="69" t="s">
        <v>1840</v>
      </c>
      <c r="H137" s="77" t="s">
        <v>2303</v>
      </c>
      <c r="I137" s="65">
        <v>46169</v>
      </c>
      <c r="J137" s="64">
        <f t="shared" ref="J137:J143" ca="1" si="238">+TODAY()-I137</f>
        <v>15</v>
      </c>
      <c r="K137" s="64" t="str">
        <f t="shared" ref="K137:K143" si="239">+U137</f>
        <v>Pending</v>
      </c>
      <c r="L137" s="63" t="s">
        <v>737</v>
      </c>
      <c r="M137" s="64">
        <v>15500</v>
      </c>
      <c r="N137" s="64">
        <v>13500</v>
      </c>
      <c r="O137" s="65">
        <v>46169</v>
      </c>
      <c r="P137" s="64">
        <f t="shared" ref="P137:P143" si="240">+M137-N137</f>
        <v>2000</v>
      </c>
      <c r="Q137" s="64" t="s">
        <v>33</v>
      </c>
      <c r="R137" s="64" t="s">
        <v>64</v>
      </c>
      <c r="S137" s="64">
        <v>20000</v>
      </c>
      <c r="T137" s="64" t="s">
        <v>33</v>
      </c>
      <c r="U137" s="64" t="s">
        <v>33</v>
      </c>
      <c r="V137" s="64" t="s">
        <v>28</v>
      </c>
      <c r="W137" s="64">
        <f t="shared" ref="W137:W143" si="241">+S137-M137</f>
        <v>4500</v>
      </c>
      <c r="X137" s="64" t="s">
        <v>29</v>
      </c>
      <c r="Y137" s="64" t="s">
        <v>63</v>
      </c>
      <c r="Z137" s="71">
        <f t="shared" ref="Z137:Z143" si="242">+W137*100/M137</f>
        <v>29.032258064516128</v>
      </c>
      <c r="AA137" s="64"/>
      <c r="AB137" s="64" t="s">
        <v>320</v>
      </c>
    </row>
    <row r="138" spans="1:28" hidden="1">
      <c r="A138" s="64">
        <f>SUBTOTAL(3,C$2:C138)</f>
        <v>55</v>
      </c>
      <c r="B138" s="64" t="s">
        <v>1086</v>
      </c>
      <c r="C138" s="64" t="s">
        <v>73</v>
      </c>
      <c r="D138" s="64" t="s">
        <v>32</v>
      </c>
      <c r="E138" s="64" t="s">
        <v>33</v>
      </c>
      <c r="F138" s="63" t="s">
        <v>2305</v>
      </c>
      <c r="G138" s="69" t="s">
        <v>67</v>
      </c>
      <c r="H138" s="77" t="s">
        <v>2304</v>
      </c>
      <c r="I138" s="65">
        <v>46169</v>
      </c>
      <c r="J138" s="64">
        <f t="shared" ca="1" si="238"/>
        <v>15</v>
      </c>
      <c r="K138" s="64" t="str">
        <f t="shared" si="239"/>
        <v>Pending</v>
      </c>
      <c r="L138" s="63" t="s">
        <v>737</v>
      </c>
      <c r="M138" s="64">
        <v>32000</v>
      </c>
      <c r="N138" s="64">
        <v>28000</v>
      </c>
      <c r="O138" s="65">
        <v>46169</v>
      </c>
      <c r="P138" s="64">
        <f t="shared" si="240"/>
        <v>4000</v>
      </c>
      <c r="Q138" s="64" t="s">
        <v>33</v>
      </c>
      <c r="R138" s="64" t="s">
        <v>64</v>
      </c>
      <c r="S138" s="64">
        <v>33000</v>
      </c>
      <c r="T138" s="64" t="s">
        <v>33</v>
      </c>
      <c r="U138" s="64" t="s">
        <v>33</v>
      </c>
      <c r="V138" s="64" t="s">
        <v>28</v>
      </c>
      <c r="W138" s="64">
        <f t="shared" si="241"/>
        <v>1000</v>
      </c>
      <c r="X138" s="64" t="s">
        <v>29</v>
      </c>
      <c r="Y138" s="64" t="s">
        <v>63</v>
      </c>
      <c r="Z138" s="71">
        <f t="shared" si="242"/>
        <v>3.125</v>
      </c>
      <c r="AA138" s="64"/>
      <c r="AB138" s="64" t="s">
        <v>320</v>
      </c>
    </row>
    <row r="139" spans="1:28" hidden="1">
      <c r="A139" s="64">
        <f>SUBTOTAL(3,C$2:C139)</f>
        <v>55</v>
      </c>
      <c r="B139" s="64" t="s">
        <v>1086</v>
      </c>
      <c r="C139" s="64" t="s">
        <v>65</v>
      </c>
      <c r="D139" s="64" t="s">
        <v>32</v>
      </c>
      <c r="E139" s="64" t="s">
        <v>33</v>
      </c>
      <c r="F139" s="63" t="s">
        <v>556</v>
      </c>
      <c r="G139" s="69" t="s">
        <v>67</v>
      </c>
      <c r="H139" s="77" t="s">
        <v>2346</v>
      </c>
      <c r="I139" s="65">
        <v>46170</v>
      </c>
      <c r="J139" s="64">
        <f t="shared" ref="J139" ca="1" si="243">+TODAY()-I139</f>
        <v>14</v>
      </c>
      <c r="K139" s="64" t="str">
        <f t="shared" ref="K139" si="244">+U139</f>
        <v>Pending</v>
      </c>
      <c r="L139" s="63" t="s">
        <v>737</v>
      </c>
      <c r="M139" s="64">
        <v>27000</v>
      </c>
      <c r="N139" s="64">
        <v>20000</v>
      </c>
      <c r="O139" s="65">
        <v>46170</v>
      </c>
      <c r="P139" s="64">
        <f t="shared" ref="P139" si="245">+M139-N139</f>
        <v>7000</v>
      </c>
      <c r="Q139" s="64" t="s">
        <v>33</v>
      </c>
      <c r="R139" s="64" t="s">
        <v>64</v>
      </c>
      <c r="S139" s="64">
        <v>33000</v>
      </c>
      <c r="T139" s="64" t="s">
        <v>33</v>
      </c>
      <c r="U139" s="64" t="s">
        <v>33</v>
      </c>
      <c r="V139" s="64" t="s">
        <v>28</v>
      </c>
      <c r="W139" s="64">
        <f t="shared" ref="W139" si="246">+S139-M139</f>
        <v>6000</v>
      </c>
      <c r="X139" s="64" t="s">
        <v>29</v>
      </c>
      <c r="Y139" s="64" t="s">
        <v>63</v>
      </c>
      <c r="Z139" s="71">
        <f t="shared" ref="Z139" si="247">+W139*100/M139</f>
        <v>22.222222222222221</v>
      </c>
      <c r="AA139" s="64"/>
      <c r="AB139" s="64"/>
    </row>
    <row r="140" spans="1:28" hidden="1">
      <c r="A140" s="64">
        <f>SUBTOTAL(3,C$2:C140)</f>
        <v>55</v>
      </c>
      <c r="B140" s="64" t="s">
        <v>1086</v>
      </c>
      <c r="C140" s="64" t="s">
        <v>991</v>
      </c>
      <c r="D140" s="64" t="s">
        <v>32</v>
      </c>
      <c r="E140" s="64" t="s">
        <v>33</v>
      </c>
      <c r="F140" s="63" t="s">
        <v>2344</v>
      </c>
      <c r="G140" s="69" t="s">
        <v>1645</v>
      </c>
      <c r="H140" s="77" t="s">
        <v>2345</v>
      </c>
      <c r="I140" s="65">
        <v>46170</v>
      </c>
      <c r="J140" s="64">
        <f t="shared" ca="1" si="238"/>
        <v>14</v>
      </c>
      <c r="K140" s="64" t="str">
        <f t="shared" si="239"/>
        <v>Pending</v>
      </c>
      <c r="L140" s="63" t="s">
        <v>737</v>
      </c>
      <c r="M140" s="64">
        <v>15500</v>
      </c>
      <c r="N140" s="64">
        <v>12500</v>
      </c>
      <c r="O140" s="65">
        <v>46170</v>
      </c>
      <c r="P140" s="64">
        <f t="shared" si="240"/>
        <v>3000</v>
      </c>
      <c r="Q140" s="64" t="s">
        <v>33</v>
      </c>
      <c r="R140" s="64" t="s">
        <v>64</v>
      </c>
      <c r="S140" s="64">
        <v>20000</v>
      </c>
      <c r="T140" s="64" t="s">
        <v>33</v>
      </c>
      <c r="U140" s="64" t="s">
        <v>33</v>
      </c>
      <c r="V140" s="64" t="s">
        <v>28</v>
      </c>
      <c r="W140" s="64">
        <f t="shared" si="241"/>
        <v>4500</v>
      </c>
      <c r="X140" s="64" t="s">
        <v>29</v>
      </c>
      <c r="Y140" s="64" t="s">
        <v>63</v>
      </c>
      <c r="Z140" s="71">
        <f t="shared" si="242"/>
        <v>29.032258064516128</v>
      </c>
      <c r="AA140" s="64"/>
      <c r="AB140" s="64"/>
    </row>
    <row r="141" spans="1:28" s="79" customFormat="1" hidden="1">
      <c r="A141" s="78">
        <f>SUBTOTAL(3,C$2:C141)</f>
        <v>55</v>
      </c>
      <c r="B141" s="78" t="s">
        <v>1086</v>
      </c>
      <c r="C141" s="78" t="s">
        <v>72</v>
      </c>
      <c r="D141" s="78" t="s">
        <v>32</v>
      </c>
      <c r="E141" s="78" t="s">
        <v>33</v>
      </c>
      <c r="F141" s="79" t="s">
        <v>69</v>
      </c>
      <c r="G141" s="80" t="s">
        <v>67</v>
      </c>
      <c r="H141" s="81" t="s">
        <v>2518</v>
      </c>
      <c r="I141" s="82">
        <v>46170</v>
      </c>
      <c r="J141" s="78">
        <f t="shared" ca="1" si="238"/>
        <v>14</v>
      </c>
      <c r="K141" s="78" t="str">
        <f t="shared" si="239"/>
        <v>Pending</v>
      </c>
      <c r="L141" s="79" t="s">
        <v>71</v>
      </c>
      <c r="M141" s="78">
        <v>27000</v>
      </c>
      <c r="N141" s="78">
        <v>20000</v>
      </c>
      <c r="O141" s="82">
        <v>46170</v>
      </c>
      <c r="P141" s="78">
        <f t="shared" si="240"/>
        <v>7000</v>
      </c>
      <c r="Q141" s="78" t="s">
        <v>33</v>
      </c>
      <c r="R141" s="78" t="s">
        <v>64</v>
      </c>
      <c r="S141" s="78">
        <v>33000</v>
      </c>
      <c r="T141" s="78" t="s">
        <v>33</v>
      </c>
      <c r="U141" s="78" t="s">
        <v>33</v>
      </c>
      <c r="V141" s="78" t="s">
        <v>28</v>
      </c>
      <c r="W141" s="78">
        <f t="shared" si="241"/>
        <v>6000</v>
      </c>
      <c r="X141" s="78" t="s">
        <v>29</v>
      </c>
      <c r="Y141" s="78" t="s">
        <v>63</v>
      </c>
      <c r="Z141" s="83">
        <f t="shared" si="242"/>
        <v>22.222222222222221</v>
      </c>
      <c r="AA141" s="78"/>
      <c r="AB141" s="78" t="s">
        <v>320</v>
      </c>
    </row>
    <row r="142" spans="1:28" s="67" customFormat="1" hidden="1">
      <c r="A142" s="66">
        <f>SUBTOTAL(3,C$2:C142)</f>
        <v>55</v>
      </c>
      <c r="B142" s="66" t="s">
        <v>1086</v>
      </c>
      <c r="C142" s="66" t="s">
        <v>73</v>
      </c>
      <c r="D142" s="66" t="s">
        <v>32</v>
      </c>
      <c r="E142" s="66" t="s">
        <v>33</v>
      </c>
      <c r="F142" s="67" t="s">
        <v>2400</v>
      </c>
      <c r="G142" s="73" t="s">
        <v>67</v>
      </c>
      <c r="H142" s="84" t="s">
        <v>2347</v>
      </c>
      <c r="I142" s="68">
        <v>46171</v>
      </c>
      <c r="J142" s="66">
        <f t="shared" ref="J142" ca="1" si="248">+TODAY()-I142</f>
        <v>13</v>
      </c>
      <c r="K142" s="66" t="str">
        <f t="shared" ref="K142" si="249">+U142</f>
        <v>Pending</v>
      </c>
      <c r="L142" s="67" t="s">
        <v>737</v>
      </c>
      <c r="M142" s="66">
        <v>26000</v>
      </c>
      <c r="N142" s="66">
        <v>22000</v>
      </c>
      <c r="O142" s="68">
        <v>46172</v>
      </c>
      <c r="P142" s="66">
        <f t="shared" ref="P142" si="250">+M142-N142</f>
        <v>4000</v>
      </c>
      <c r="Q142" s="66" t="s">
        <v>33</v>
      </c>
      <c r="R142" s="66" t="s">
        <v>64</v>
      </c>
      <c r="S142" s="66">
        <v>33000</v>
      </c>
      <c r="T142" s="66" t="s">
        <v>33</v>
      </c>
      <c r="U142" s="66" t="s">
        <v>33</v>
      </c>
      <c r="V142" s="66" t="s">
        <v>28</v>
      </c>
      <c r="W142" s="66">
        <f t="shared" ref="W142" si="251">+S142-M142</f>
        <v>7000</v>
      </c>
      <c r="X142" s="66" t="s">
        <v>29</v>
      </c>
      <c r="Y142" s="66" t="s">
        <v>63</v>
      </c>
      <c r="Z142" s="75">
        <f t="shared" ref="Z142" si="252">+W142*100/M142</f>
        <v>26.923076923076923</v>
      </c>
      <c r="AA142" s="66"/>
      <c r="AB142" s="66" t="s">
        <v>320</v>
      </c>
    </row>
    <row r="143" spans="1:28" hidden="1">
      <c r="A143" s="64">
        <f>SUBTOTAL(3,C$2:C143)</f>
        <v>55</v>
      </c>
      <c r="B143" s="64" t="s">
        <v>1086</v>
      </c>
      <c r="C143" s="64" t="s">
        <v>65</v>
      </c>
      <c r="D143" s="64" t="s">
        <v>32</v>
      </c>
      <c r="E143" s="64" t="s">
        <v>33</v>
      </c>
      <c r="F143" s="63" t="s">
        <v>1228</v>
      </c>
      <c r="G143" s="69" t="s">
        <v>67</v>
      </c>
      <c r="H143" s="77" t="s">
        <v>2401</v>
      </c>
      <c r="I143" s="65">
        <v>46171</v>
      </c>
      <c r="J143" s="64">
        <f t="shared" ca="1" si="238"/>
        <v>13</v>
      </c>
      <c r="K143" s="64" t="str">
        <f t="shared" si="239"/>
        <v>Pending</v>
      </c>
      <c r="L143" s="63" t="s">
        <v>737</v>
      </c>
      <c r="M143" s="64">
        <v>27000</v>
      </c>
      <c r="N143" s="64">
        <v>20000</v>
      </c>
      <c r="O143" s="65">
        <v>46172</v>
      </c>
      <c r="P143" s="64">
        <f t="shared" si="240"/>
        <v>7000</v>
      </c>
      <c r="Q143" s="64" t="s">
        <v>33</v>
      </c>
      <c r="R143" s="64" t="s">
        <v>64</v>
      </c>
      <c r="S143" s="64">
        <v>33000</v>
      </c>
      <c r="T143" s="64" t="s">
        <v>33</v>
      </c>
      <c r="U143" s="64" t="s">
        <v>33</v>
      </c>
      <c r="V143" s="64" t="s">
        <v>28</v>
      </c>
      <c r="W143" s="64">
        <f t="shared" si="241"/>
        <v>6000</v>
      </c>
      <c r="X143" s="64" t="s">
        <v>29</v>
      </c>
      <c r="Y143" s="64" t="s">
        <v>63</v>
      </c>
      <c r="Z143" s="71">
        <f t="shared" si="242"/>
        <v>22.222222222222221</v>
      </c>
      <c r="AA143" s="64"/>
      <c r="AB143" s="64"/>
    </row>
    <row r="144" spans="1:28" hidden="1">
      <c r="A144" s="64">
        <f>SUBTOTAL(3,C$2:C144)</f>
        <v>55</v>
      </c>
      <c r="B144" s="64" t="s">
        <v>1086</v>
      </c>
      <c r="C144" s="64" t="s">
        <v>1168</v>
      </c>
      <c r="D144" s="64" t="s">
        <v>32</v>
      </c>
      <c r="E144" s="64" t="s">
        <v>33</v>
      </c>
      <c r="F144" s="63" t="s">
        <v>2395</v>
      </c>
      <c r="G144" s="69" t="s">
        <v>1840</v>
      </c>
      <c r="H144" s="77" t="s">
        <v>2396</v>
      </c>
      <c r="I144" s="65">
        <v>46171</v>
      </c>
      <c r="J144" s="64">
        <f t="shared" ref="J144" ca="1" si="253">+TODAY()-I144</f>
        <v>13</v>
      </c>
      <c r="K144" s="64" t="str">
        <f t="shared" ref="K144" si="254">+U144</f>
        <v>Pending</v>
      </c>
      <c r="L144" s="63" t="s">
        <v>737</v>
      </c>
      <c r="M144" s="64">
        <v>15500</v>
      </c>
      <c r="N144" s="64">
        <v>13500</v>
      </c>
      <c r="O144" s="65">
        <v>46172</v>
      </c>
      <c r="P144" s="64">
        <f t="shared" ref="P144" si="255">+M144-N144</f>
        <v>2000</v>
      </c>
      <c r="Q144" s="64" t="s">
        <v>33</v>
      </c>
      <c r="R144" s="64" t="s">
        <v>64</v>
      </c>
      <c r="S144" s="64">
        <v>20000</v>
      </c>
      <c r="T144" s="64" t="s">
        <v>33</v>
      </c>
      <c r="U144" s="64" t="s">
        <v>33</v>
      </c>
      <c r="V144" s="64" t="s">
        <v>28</v>
      </c>
      <c r="W144" s="64">
        <f t="shared" ref="W144" si="256">+S144-M144</f>
        <v>4500</v>
      </c>
      <c r="X144" s="64" t="s">
        <v>29</v>
      </c>
      <c r="Y144" s="64" t="s">
        <v>63</v>
      </c>
      <c r="Z144" s="71">
        <f t="shared" ref="Z144" si="257">+W144*100/M144</f>
        <v>29.032258064516128</v>
      </c>
      <c r="AA144" s="64"/>
      <c r="AB144" s="64" t="s">
        <v>320</v>
      </c>
    </row>
    <row r="145" spans="1:29" hidden="1">
      <c r="A145" s="64">
        <f>SUBTOTAL(3,C$2:C145)</f>
        <v>55</v>
      </c>
      <c r="B145" s="64" t="s">
        <v>1086</v>
      </c>
      <c r="C145" s="64" t="s">
        <v>1168</v>
      </c>
      <c r="D145" s="64" t="s">
        <v>32</v>
      </c>
      <c r="E145" s="64" t="s">
        <v>33</v>
      </c>
      <c r="F145" s="63" t="s">
        <v>2397</v>
      </c>
      <c r="G145" s="69" t="s">
        <v>1840</v>
      </c>
      <c r="H145" s="77" t="s">
        <v>2398</v>
      </c>
      <c r="I145" s="65">
        <v>46171</v>
      </c>
      <c r="J145" s="64">
        <f t="shared" ref="J145" ca="1" si="258">+TODAY()-I145</f>
        <v>13</v>
      </c>
      <c r="K145" s="64" t="str">
        <f t="shared" ref="K145" si="259">+U145</f>
        <v>Pending</v>
      </c>
      <c r="L145" s="63" t="s">
        <v>737</v>
      </c>
      <c r="M145" s="64">
        <v>15500</v>
      </c>
      <c r="N145" s="64">
        <v>13500</v>
      </c>
      <c r="O145" s="65">
        <v>46172</v>
      </c>
      <c r="P145" s="64">
        <f t="shared" ref="P145" si="260">+M145-N145</f>
        <v>2000</v>
      </c>
      <c r="Q145" s="64" t="s">
        <v>33</v>
      </c>
      <c r="R145" s="64" t="s">
        <v>64</v>
      </c>
      <c r="S145" s="64">
        <v>20000</v>
      </c>
      <c r="T145" s="64" t="s">
        <v>33</v>
      </c>
      <c r="U145" s="64" t="s">
        <v>33</v>
      </c>
      <c r="V145" s="64" t="s">
        <v>28</v>
      </c>
      <c r="W145" s="64">
        <f t="shared" ref="W145" si="261">+S145-M145</f>
        <v>4500</v>
      </c>
      <c r="X145" s="64" t="s">
        <v>29</v>
      </c>
      <c r="Y145" s="64" t="s">
        <v>63</v>
      </c>
      <c r="Z145" s="71">
        <f t="shared" ref="Z145" si="262">+W145*100/M145</f>
        <v>29.032258064516128</v>
      </c>
      <c r="AA145" s="64"/>
      <c r="AB145" s="64" t="s">
        <v>320</v>
      </c>
    </row>
    <row r="146" spans="1:29" hidden="1">
      <c r="A146" s="64">
        <f>SUBTOTAL(3,C$2:C146)</f>
        <v>55</v>
      </c>
      <c r="B146" s="64" t="s">
        <v>1086</v>
      </c>
      <c r="C146" s="64" t="s">
        <v>1168</v>
      </c>
      <c r="D146" s="64" t="s">
        <v>32</v>
      </c>
      <c r="E146" s="64" t="s">
        <v>33</v>
      </c>
      <c r="F146" s="63" t="s">
        <v>1891</v>
      </c>
      <c r="G146" s="69" t="s">
        <v>1840</v>
      </c>
      <c r="H146" s="77" t="s">
        <v>2399</v>
      </c>
      <c r="I146" s="65">
        <v>46171</v>
      </c>
      <c r="J146" s="64">
        <f t="shared" ref="J146:J147" ca="1" si="263">+TODAY()-I146</f>
        <v>13</v>
      </c>
      <c r="K146" s="64" t="str">
        <f t="shared" ref="K146:K147" si="264">+U146</f>
        <v>Pending</v>
      </c>
      <c r="L146" s="63" t="s">
        <v>737</v>
      </c>
      <c r="M146" s="64">
        <v>15500</v>
      </c>
      <c r="N146" s="64">
        <v>13500</v>
      </c>
      <c r="O146" s="65">
        <v>46172</v>
      </c>
      <c r="P146" s="64">
        <f t="shared" ref="P146:P147" si="265">+M146-N146</f>
        <v>2000</v>
      </c>
      <c r="Q146" s="64" t="s">
        <v>33</v>
      </c>
      <c r="R146" s="64" t="s">
        <v>64</v>
      </c>
      <c r="S146" s="64">
        <v>20000</v>
      </c>
      <c r="T146" s="64" t="s">
        <v>33</v>
      </c>
      <c r="U146" s="64" t="s">
        <v>33</v>
      </c>
      <c r="V146" s="64" t="s">
        <v>28</v>
      </c>
      <c r="W146" s="64">
        <f t="shared" ref="W146:W147" si="266">+S146-M146</f>
        <v>4500</v>
      </c>
      <c r="X146" s="64" t="s">
        <v>29</v>
      </c>
      <c r="Y146" s="64" t="s">
        <v>63</v>
      </c>
      <c r="Z146" s="71">
        <f t="shared" ref="Z146:Z147" si="267">+W146*100/M146</f>
        <v>29.032258064516128</v>
      </c>
      <c r="AA146" s="64"/>
      <c r="AB146" s="64" t="s">
        <v>320</v>
      </c>
    </row>
    <row r="147" spans="1:29" hidden="1">
      <c r="A147" s="64">
        <f>SUBTOTAL(3,C$2:C147)</f>
        <v>55</v>
      </c>
      <c r="B147" s="64" t="s">
        <v>1086</v>
      </c>
      <c r="C147" s="64" t="s">
        <v>65</v>
      </c>
      <c r="D147" s="64" t="s">
        <v>32</v>
      </c>
      <c r="E147" s="64" t="s">
        <v>33</v>
      </c>
      <c r="F147" s="63" t="s">
        <v>1228</v>
      </c>
      <c r="G147" s="69" t="s">
        <v>67</v>
      </c>
      <c r="H147" s="77" t="s">
        <v>2516</v>
      </c>
      <c r="I147" s="65">
        <v>46171</v>
      </c>
      <c r="J147" s="64">
        <f t="shared" ca="1" si="263"/>
        <v>13</v>
      </c>
      <c r="K147" s="64" t="str">
        <f t="shared" si="264"/>
        <v>Pending</v>
      </c>
      <c r="L147" s="63" t="s">
        <v>737</v>
      </c>
      <c r="M147" s="64">
        <v>27000</v>
      </c>
      <c r="N147" s="64">
        <v>20000</v>
      </c>
      <c r="O147" s="65">
        <v>46172</v>
      </c>
      <c r="P147" s="64">
        <f t="shared" si="265"/>
        <v>7000</v>
      </c>
      <c r="Q147" s="64" t="s">
        <v>33</v>
      </c>
      <c r="R147" s="64" t="s">
        <v>64</v>
      </c>
      <c r="S147" s="64">
        <v>33000</v>
      </c>
      <c r="T147" s="64" t="s">
        <v>33</v>
      </c>
      <c r="U147" s="64" t="s">
        <v>33</v>
      </c>
      <c r="V147" s="64" t="s">
        <v>28</v>
      </c>
      <c r="W147" s="64">
        <f t="shared" si="266"/>
        <v>6000</v>
      </c>
      <c r="X147" s="64" t="s">
        <v>29</v>
      </c>
      <c r="Y147" s="64" t="s">
        <v>63</v>
      </c>
      <c r="Z147" s="71">
        <f t="shared" si="267"/>
        <v>22.222222222222221</v>
      </c>
      <c r="AA147" s="64"/>
      <c r="AB147" s="64"/>
    </row>
    <row r="148" spans="1:29" hidden="1">
      <c r="A148" s="64">
        <f>SUBTOTAL(3,C$2:C148)</f>
        <v>55</v>
      </c>
      <c r="B148" s="64" t="s">
        <v>1086</v>
      </c>
      <c r="C148" s="64" t="s">
        <v>1168</v>
      </c>
      <c r="D148" s="64" t="s">
        <v>32</v>
      </c>
      <c r="E148" s="64" t="s">
        <v>33</v>
      </c>
      <c r="F148" s="63" t="s">
        <v>2459</v>
      </c>
      <c r="G148" s="69" t="s">
        <v>1840</v>
      </c>
      <c r="H148" s="77" t="s">
        <v>2460</v>
      </c>
      <c r="I148" s="65">
        <v>46172</v>
      </c>
      <c r="J148" s="64">
        <f t="shared" ref="J148" ca="1" si="268">+TODAY()-I148</f>
        <v>12</v>
      </c>
      <c r="K148" s="64" t="str">
        <f t="shared" ref="K148" si="269">+U148</f>
        <v>Pending</v>
      </c>
      <c r="L148" s="63" t="s">
        <v>737</v>
      </c>
      <c r="M148" s="64">
        <v>15500</v>
      </c>
      <c r="N148" s="64">
        <v>13500</v>
      </c>
      <c r="O148" s="65">
        <v>46173</v>
      </c>
      <c r="P148" s="64">
        <f t="shared" ref="P148" si="270">+M148-N148</f>
        <v>2000</v>
      </c>
      <c r="Q148" s="64" t="s">
        <v>33</v>
      </c>
      <c r="R148" s="64" t="s">
        <v>64</v>
      </c>
      <c r="S148" s="64">
        <v>20000</v>
      </c>
      <c r="T148" s="64" t="s">
        <v>33</v>
      </c>
      <c r="U148" s="64" t="s">
        <v>33</v>
      </c>
      <c r="V148" s="64" t="s">
        <v>28</v>
      </c>
      <c r="W148" s="64">
        <f t="shared" ref="W148" si="271">+S148-M148</f>
        <v>4500</v>
      </c>
      <c r="X148" s="64" t="s">
        <v>29</v>
      </c>
      <c r="Y148" s="64" t="s">
        <v>63</v>
      </c>
      <c r="Z148" s="71">
        <f t="shared" ref="Z148" si="272">+W148*100/M148</f>
        <v>29.032258064516128</v>
      </c>
      <c r="AA148" s="64"/>
      <c r="AB148" s="64" t="s">
        <v>320</v>
      </c>
    </row>
    <row r="149" spans="1:29" hidden="1">
      <c r="A149" s="64">
        <f>SUBTOTAL(3,C$2:C149)</f>
        <v>55</v>
      </c>
      <c r="B149" s="64" t="s">
        <v>1086</v>
      </c>
      <c r="C149" s="64" t="s">
        <v>1168</v>
      </c>
      <c r="D149" s="64" t="s">
        <v>32</v>
      </c>
      <c r="E149" s="64" t="s">
        <v>33</v>
      </c>
      <c r="F149" s="63" t="s">
        <v>2461</v>
      </c>
      <c r="G149" s="69" t="s">
        <v>1840</v>
      </c>
      <c r="H149" s="77" t="s">
        <v>2462</v>
      </c>
      <c r="I149" s="65">
        <v>46172</v>
      </c>
      <c r="J149" s="64">
        <f t="shared" ref="J149" ca="1" si="273">+TODAY()-I149</f>
        <v>12</v>
      </c>
      <c r="K149" s="64" t="str">
        <f t="shared" ref="K149" si="274">+U149</f>
        <v>Pending</v>
      </c>
      <c r="L149" s="63" t="s">
        <v>737</v>
      </c>
      <c r="M149" s="64">
        <v>15500</v>
      </c>
      <c r="N149" s="64">
        <v>13500</v>
      </c>
      <c r="O149" s="65">
        <v>46173</v>
      </c>
      <c r="P149" s="64">
        <f t="shared" ref="P149" si="275">+M149-N149</f>
        <v>2000</v>
      </c>
      <c r="Q149" s="64" t="s">
        <v>33</v>
      </c>
      <c r="R149" s="64" t="s">
        <v>64</v>
      </c>
      <c r="S149" s="64">
        <v>20000</v>
      </c>
      <c r="T149" s="64" t="s">
        <v>33</v>
      </c>
      <c r="U149" s="64" t="s">
        <v>33</v>
      </c>
      <c r="V149" s="64" t="s">
        <v>28</v>
      </c>
      <c r="W149" s="64">
        <f t="shared" ref="W149" si="276">+S149-M149</f>
        <v>4500</v>
      </c>
      <c r="X149" s="64" t="s">
        <v>29</v>
      </c>
      <c r="Y149" s="64" t="s">
        <v>63</v>
      </c>
      <c r="Z149" s="71">
        <f t="shared" ref="Z149" si="277">+W149*100/M149</f>
        <v>29.032258064516128</v>
      </c>
      <c r="AA149" s="64"/>
      <c r="AB149" s="64" t="s">
        <v>320</v>
      </c>
    </row>
    <row r="150" spans="1:29" hidden="1">
      <c r="A150" s="64">
        <f>SUBTOTAL(3,C$2:C150)</f>
        <v>55</v>
      </c>
      <c r="B150" s="64" t="s">
        <v>1086</v>
      </c>
      <c r="C150" s="64" t="s">
        <v>2463</v>
      </c>
      <c r="D150" s="64" t="s">
        <v>32</v>
      </c>
      <c r="E150" s="64" t="s">
        <v>33</v>
      </c>
      <c r="F150" s="63" t="s">
        <v>2464</v>
      </c>
      <c r="G150" s="69" t="s">
        <v>59</v>
      </c>
      <c r="H150" s="77">
        <v>17434</v>
      </c>
      <c r="I150" s="65">
        <v>46172</v>
      </c>
      <c r="J150" s="64">
        <f t="shared" ref="J150:J152" ca="1" si="278">+TODAY()-I150</f>
        <v>12</v>
      </c>
      <c r="K150" s="64" t="str">
        <f t="shared" ref="K150:K152" si="279">+U150</f>
        <v>Pending</v>
      </c>
      <c r="L150" s="63" t="s">
        <v>2465</v>
      </c>
      <c r="M150" s="64">
        <v>11000</v>
      </c>
      <c r="N150" s="64">
        <v>11000</v>
      </c>
      <c r="O150" s="65">
        <v>46173</v>
      </c>
      <c r="P150" s="64">
        <f t="shared" ref="P150:P152" si="280">+M150-N150</f>
        <v>0</v>
      </c>
      <c r="Q150" s="64" t="s">
        <v>33</v>
      </c>
      <c r="R150" s="64" t="s">
        <v>64</v>
      </c>
      <c r="S150" s="64">
        <v>13150</v>
      </c>
      <c r="T150" s="64" t="s">
        <v>33</v>
      </c>
      <c r="U150" s="64" t="s">
        <v>33</v>
      </c>
      <c r="V150" s="64" t="s">
        <v>28</v>
      </c>
      <c r="W150" s="64">
        <f t="shared" ref="W150:W152" si="281">+S150-M150</f>
        <v>2150</v>
      </c>
      <c r="X150" s="64" t="s">
        <v>29</v>
      </c>
      <c r="Y150" s="64" t="s">
        <v>63</v>
      </c>
      <c r="Z150" s="71">
        <f t="shared" ref="Z150:Z152" si="282">+W150*100/M150</f>
        <v>19.545454545454547</v>
      </c>
      <c r="AA150" s="64"/>
      <c r="AB150" s="64" t="s">
        <v>320</v>
      </c>
    </row>
    <row r="151" spans="1:29" hidden="1">
      <c r="A151" s="64">
        <f>SUBTOTAL(3,C$2:C151)</f>
        <v>55</v>
      </c>
      <c r="B151" s="64" t="s">
        <v>1086</v>
      </c>
      <c r="C151" s="64" t="s">
        <v>65</v>
      </c>
      <c r="D151" s="64" t="s">
        <v>32</v>
      </c>
      <c r="E151" s="64" t="s">
        <v>33</v>
      </c>
      <c r="F151" s="63" t="s">
        <v>556</v>
      </c>
      <c r="G151" s="69" t="s">
        <v>67</v>
      </c>
      <c r="H151" s="77" t="s">
        <v>2517</v>
      </c>
      <c r="I151" s="65">
        <v>46173</v>
      </c>
      <c r="J151" s="64">
        <f t="shared" ca="1" si="278"/>
        <v>11</v>
      </c>
      <c r="K151" s="64" t="str">
        <f t="shared" si="279"/>
        <v>Pending</v>
      </c>
      <c r="L151" s="63" t="s">
        <v>737</v>
      </c>
      <c r="M151" s="64">
        <v>27000</v>
      </c>
      <c r="N151" s="64">
        <v>20000</v>
      </c>
      <c r="O151" s="65">
        <v>46173</v>
      </c>
      <c r="P151" s="64">
        <f t="shared" si="280"/>
        <v>7000</v>
      </c>
      <c r="Q151" s="64" t="s">
        <v>33</v>
      </c>
      <c r="R151" s="64" t="s">
        <v>64</v>
      </c>
      <c r="S151" s="64">
        <v>33000</v>
      </c>
      <c r="T151" s="64" t="s">
        <v>33</v>
      </c>
      <c r="U151" s="64" t="s">
        <v>33</v>
      </c>
      <c r="V151" s="64" t="s">
        <v>28</v>
      </c>
      <c r="W151" s="64">
        <f t="shared" si="281"/>
        <v>6000</v>
      </c>
      <c r="X151" s="64" t="s">
        <v>29</v>
      </c>
      <c r="Y151" s="64" t="s">
        <v>63</v>
      </c>
      <c r="Z151" s="71">
        <f t="shared" si="282"/>
        <v>22.222222222222221</v>
      </c>
      <c r="AA151" s="64"/>
      <c r="AB151" s="64"/>
    </row>
    <row r="152" spans="1:29" hidden="1">
      <c r="A152" s="64">
        <f>SUBTOTAL(3,C$2:C152)</f>
        <v>55</v>
      </c>
      <c r="B152" s="64" t="s">
        <v>1086</v>
      </c>
      <c r="C152" s="64" t="s">
        <v>73</v>
      </c>
      <c r="D152" s="64" t="s">
        <v>32</v>
      </c>
      <c r="E152" s="64" t="s">
        <v>33</v>
      </c>
      <c r="F152" s="63" t="s">
        <v>2466</v>
      </c>
      <c r="G152" s="69" t="s">
        <v>67</v>
      </c>
      <c r="H152" s="77" t="s">
        <v>2467</v>
      </c>
      <c r="I152" s="65">
        <v>46173</v>
      </c>
      <c r="J152" s="64">
        <f t="shared" ca="1" si="278"/>
        <v>11</v>
      </c>
      <c r="K152" s="64" t="str">
        <f t="shared" si="279"/>
        <v>Pending</v>
      </c>
      <c r="L152" s="63" t="s">
        <v>737</v>
      </c>
      <c r="M152" s="64">
        <v>32000</v>
      </c>
      <c r="N152" s="64">
        <v>28000</v>
      </c>
      <c r="O152" s="65">
        <v>46173</v>
      </c>
      <c r="P152" s="64">
        <f t="shared" si="280"/>
        <v>4000</v>
      </c>
      <c r="Q152" s="64" t="s">
        <v>33</v>
      </c>
      <c r="R152" s="64" t="s">
        <v>64</v>
      </c>
      <c r="S152" s="64">
        <v>33000</v>
      </c>
      <c r="T152" s="64" t="s">
        <v>33</v>
      </c>
      <c r="U152" s="64" t="s">
        <v>33</v>
      </c>
      <c r="V152" s="64" t="s">
        <v>28</v>
      </c>
      <c r="W152" s="64">
        <f t="shared" si="281"/>
        <v>1000</v>
      </c>
      <c r="X152" s="64" t="s">
        <v>29</v>
      </c>
      <c r="Y152" s="64" t="s">
        <v>63</v>
      </c>
      <c r="Z152" s="71">
        <f t="shared" si="282"/>
        <v>3.125</v>
      </c>
      <c r="AA152" s="64"/>
      <c r="AB152" s="64" t="s">
        <v>320</v>
      </c>
      <c r="AC152" s="63" t="s">
        <v>2468</v>
      </c>
    </row>
    <row r="153" spans="1:29" hidden="1">
      <c r="A153" s="64">
        <f>SUBTOTAL(3,C$2:C153)</f>
        <v>55</v>
      </c>
      <c r="B153" s="64" t="s">
        <v>2469</v>
      </c>
      <c r="C153" s="64" t="s">
        <v>73</v>
      </c>
      <c r="D153" s="64" t="s">
        <v>32</v>
      </c>
      <c r="E153" s="64" t="s">
        <v>33</v>
      </c>
      <c r="F153" s="63" t="s">
        <v>2062</v>
      </c>
      <c r="G153" s="69" t="s">
        <v>67</v>
      </c>
      <c r="H153" s="77" t="s">
        <v>2519</v>
      </c>
      <c r="I153" s="65">
        <v>46174</v>
      </c>
      <c r="J153" s="64">
        <f t="shared" ref="J153:J154" ca="1" si="283">+TODAY()-I153</f>
        <v>10</v>
      </c>
      <c r="K153" s="64" t="str">
        <f t="shared" ref="K153:K154" si="284">+U153</f>
        <v>Pending</v>
      </c>
      <c r="L153" s="63" t="s">
        <v>737</v>
      </c>
      <c r="M153" s="64">
        <v>15500</v>
      </c>
      <c r="N153" s="64">
        <v>13500</v>
      </c>
      <c r="O153" s="65">
        <v>46174</v>
      </c>
      <c r="P153" s="64">
        <f t="shared" ref="P153:P154" si="285">+M153-N153</f>
        <v>2000</v>
      </c>
      <c r="Q153" s="64" t="s">
        <v>33</v>
      </c>
      <c r="R153" s="64" t="s">
        <v>64</v>
      </c>
      <c r="S153" s="64">
        <v>20000</v>
      </c>
      <c r="T153" s="64" t="s">
        <v>33</v>
      </c>
      <c r="U153" s="64" t="s">
        <v>33</v>
      </c>
      <c r="V153" s="64" t="s">
        <v>28</v>
      </c>
      <c r="W153" s="64">
        <f t="shared" ref="W153:W154" si="286">+S153-M153</f>
        <v>4500</v>
      </c>
      <c r="X153" s="64" t="s">
        <v>29</v>
      </c>
      <c r="Y153" s="64" t="s">
        <v>63</v>
      </c>
      <c r="Z153" s="71">
        <f t="shared" ref="Z153:Z154" si="287">+W153*100/M153</f>
        <v>29.032258064516128</v>
      </c>
      <c r="AA153" s="64"/>
      <c r="AB153" s="64" t="s">
        <v>320</v>
      </c>
      <c r="AC153" s="63" t="s">
        <v>2468</v>
      </c>
    </row>
    <row r="154" spans="1:29" hidden="1">
      <c r="A154" s="64">
        <f>SUBTOTAL(3,C$2:C154)</f>
        <v>55</v>
      </c>
      <c r="B154" s="64" t="s">
        <v>2469</v>
      </c>
      <c r="C154" s="64" t="s">
        <v>65</v>
      </c>
      <c r="D154" s="64" t="s">
        <v>32</v>
      </c>
      <c r="E154" s="64" t="s">
        <v>33</v>
      </c>
      <c r="F154" s="63" t="s">
        <v>260</v>
      </c>
      <c r="G154" s="69" t="s">
        <v>67</v>
      </c>
      <c r="H154" s="77" t="s">
        <v>2520</v>
      </c>
      <c r="I154" s="65">
        <v>46174</v>
      </c>
      <c r="J154" s="64">
        <f t="shared" ca="1" si="283"/>
        <v>10</v>
      </c>
      <c r="K154" s="64" t="str">
        <f t="shared" si="284"/>
        <v>Pending</v>
      </c>
      <c r="L154" s="63" t="s">
        <v>737</v>
      </c>
      <c r="M154" s="64">
        <v>27000</v>
      </c>
      <c r="N154" s="64">
        <v>20000</v>
      </c>
      <c r="O154" s="65">
        <v>46174</v>
      </c>
      <c r="P154" s="64">
        <f t="shared" si="285"/>
        <v>7000</v>
      </c>
      <c r="Q154" s="64" t="s">
        <v>33</v>
      </c>
      <c r="R154" s="64" t="s">
        <v>64</v>
      </c>
      <c r="S154" s="64">
        <v>33000</v>
      </c>
      <c r="T154" s="64" t="s">
        <v>33</v>
      </c>
      <c r="U154" s="64" t="s">
        <v>33</v>
      </c>
      <c r="V154" s="64" t="s">
        <v>28</v>
      </c>
      <c r="W154" s="64">
        <f t="shared" si="286"/>
        <v>6000</v>
      </c>
      <c r="X154" s="64" t="s">
        <v>29</v>
      </c>
      <c r="Y154" s="64" t="s">
        <v>63</v>
      </c>
      <c r="Z154" s="71">
        <f t="shared" si="287"/>
        <v>22.222222222222221</v>
      </c>
      <c r="AA154" s="64"/>
      <c r="AB154" s="64"/>
    </row>
    <row r="155" spans="1:29" hidden="1">
      <c r="A155" s="64">
        <f>SUBTOTAL(3,C$2:C155)</f>
        <v>55</v>
      </c>
      <c r="B155" s="64" t="s">
        <v>2469</v>
      </c>
      <c r="C155" s="64" t="s">
        <v>65</v>
      </c>
      <c r="D155" s="64" t="s">
        <v>32</v>
      </c>
      <c r="E155" s="64" t="s">
        <v>33</v>
      </c>
      <c r="F155" s="63" t="s">
        <v>1228</v>
      </c>
      <c r="G155" s="69" t="s">
        <v>67</v>
      </c>
      <c r="H155" s="77" t="s">
        <v>2562</v>
      </c>
      <c r="I155" s="65">
        <v>46175</v>
      </c>
      <c r="J155" s="64">
        <f t="shared" ref="J155:J156" ca="1" si="288">+TODAY()-I155</f>
        <v>9</v>
      </c>
      <c r="K155" s="64" t="str">
        <f t="shared" ref="K155:K156" si="289">+U155</f>
        <v>Pending</v>
      </c>
      <c r="L155" s="63" t="s">
        <v>737</v>
      </c>
      <c r="M155" s="64">
        <v>27000</v>
      </c>
      <c r="N155" s="64">
        <v>20000</v>
      </c>
      <c r="O155" s="65">
        <v>46175</v>
      </c>
      <c r="P155" s="64">
        <f t="shared" ref="P155:P156" si="290">+M155-N155</f>
        <v>7000</v>
      </c>
      <c r="Q155" s="64" t="s">
        <v>33</v>
      </c>
      <c r="R155" s="64" t="s">
        <v>64</v>
      </c>
      <c r="S155" s="64">
        <v>33000</v>
      </c>
      <c r="T155" s="64" t="s">
        <v>33</v>
      </c>
      <c r="U155" s="64" t="s">
        <v>33</v>
      </c>
      <c r="V155" s="64" t="s">
        <v>28</v>
      </c>
      <c r="W155" s="64">
        <f t="shared" ref="W155:W156" si="291">+S155-M155</f>
        <v>6000</v>
      </c>
      <c r="X155" s="64" t="s">
        <v>29</v>
      </c>
      <c r="Y155" s="64" t="s">
        <v>63</v>
      </c>
      <c r="Z155" s="71">
        <f t="shared" ref="Z155:Z156" si="292">+W155*100/M155</f>
        <v>22.222222222222221</v>
      </c>
      <c r="AA155" s="64"/>
      <c r="AB155" s="64"/>
    </row>
    <row r="156" spans="1:29" hidden="1">
      <c r="A156" s="64">
        <f>SUBTOTAL(3,C$2:C156)</f>
        <v>55</v>
      </c>
      <c r="B156" s="64" t="s">
        <v>2469</v>
      </c>
      <c r="C156" s="64" t="s">
        <v>1168</v>
      </c>
      <c r="D156" s="64" t="s">
        <v>32</v>
      </c>
      <c r="E156" s="64" t="s">
        <v>33</v>
      </c>
      <c r="F156" s="63" t="s">
        <v>2395</v>
      </c>
      <c r="G156" s="69" t="s">
        <v>1840</v>
      </c>
      <c r="H156" s="77" t="s">
        <v>2563</v>
      </c>
      <c r="I156" s="65">
        <v>46175</v>
      </c>
      <c r="J156" s="64">
        <f t="shared" ca="1" si="288"/>
        <v>9</v>
      </c>
      <c r="K156" s="64" t="str">
        <f t="shared" si="289"/>
        <v>Pending</v>
      </c>
      <c r="L156" s="63" t="s">
        <v>737</v>
      </c>
      <c r="M156" s="64">
        <v>15500</v>
      </c>
      <c r="N156" s="64">
        <v>13500</v>
      </c>
      <c r="O156" s="65">
        <v>46175</v>
      </c>
      <c r="P156" s="64">
        <f t="shared" si="290"/>
        <v>2000</v>
      </c>
      <c r="Q156" s="64" t="s">
        <v>33</v>
      </c>
      <c r="R156" s="64" t="s">
        <v>64</v>
      </c>
      <c r="S156" s="64">
        <v>20000</v>
      </c>
      <c r="T156" s="64" t="s">
        <v>33</v>
      </c>
      <c r="U156" s="64" t="s">
        <v>33</v>
      </c>
      <c r="V156" s="64" t="s">
        <v>28</v>
      </c>
      <c r="W156" s="64">
        <f t="shared" si="291"/>
        <v>4500</v>
      </c>
      <c r="X156" s="64" t="s">
        <v>29</v>
      </c>
      <c r="Y156" s="64" t="s">
        <v>63</v>
      </c>
      <c r="Z156" s="71">
        <f t="shared" si="292"/>
        <v>29.032258064516128</v>
      </c>
      <c r="AA156" s="64"/>
      <c r="AB156" s="64" t="s">
        <v>320</v>
      </c>
    </row>
    <row r="157" spans="1:29" hidden="1">
      <c r="A157" s="64">
        <f>SUBTOTAL(3,C$2:C157)</f>
        <v>55</v>
      </c>
      <c r="B157" s="64" t="s">
        <v>2469</v>
      </c>
      <c r="C157" s="64" t="s">
        <v>1168</v>
      </c>
      <c r="D157" s="64" t="s">
        <v>32</v>
      </c>
      <c r="E157" s="64" t="s">
        <v>33</v>
      </c>
      <c r="F157" s="63" t="s">
        <v>1891</v>
      </c>
      <c r="G157" s="69" t="s">
        <v>1840</v>
      </c>
      <c r="H157" s="77" t="s">
        <v>2564</v>
      </c>
      <c r="I157" s="65">
        <v>46175</v>
      </c>
      <c r="J157" s="64">
        <f t="shared" ref="J157:J159" ca="1" si="293">+TODAY()-I157</f>
        <v>9</v>
      </c>
      <c r="K157" s="64" t="str">
        <f t="shared" ref="K157:K159" si="294">+U157</f>
        <v>Pending</v>
      </c>
      <c r="L157" s="63" t="s">
        <v>737</v>
      </c>
      <c r="M157" s="64">
        <v>15500</v>
      </c>
      <c r="N157" s="64">
        <v>13500</v>
      </c>
      <c r="O157" s="65">
        <v>46175</v>
      </c>
      <c r="P157" s="64">
        <f t="shared" ref="P157:P159" si="295">+M157-N157</f>
        <v>2000</v>
      </c>
      <c r="Q157" s="64" t="s">
        <v>33</v>
      </c>
      <c r="R157" s="64" t="s">
        <v>64</v>
      </c>
      <c r="S157" s="64">
        <v>20000</v>
      </c>
      <c r="T157" s="64" t="s">
        <v>33</v>
      </c>
      <c r="U157" s="64" t="s">
        <v>33</v>
      </c>
      <c r="V157" s="64" t="s">
        <v>28</v>
      </c>
      <c r="W157" s="64">
        <f t="shared" ref="W157:W159" si="296">+S157-M157</f>
        <v>4500</v>
      </c>
      <c r="X157" s="64" t="s">
        <v>29</v>
      </c>
      <c r="Y157" s="64" t="s">
        <v>63</v>
      </c>
      <c r="Z157" s="71">
        <f t="shared" ref="Z157:Z159" si="297">+W157*100/M157</f>
        <v>29.032258064516128</v>
      </c>
      <c r="AA157" s="64"/>
      <c r="AB157" s="64" t="s">
        <v>320</v>
      </c>
    </row>
    <row r="158" spans="1:29" s="67" customFormat="1" hidden="1">
      <c r="A158" s="66">
        <f>SUBTOTAL(3,C$2:C158)</f>
        <v>55</v>
      </c>
      <c r="B158" s="66" t="s">
        <v>2469</v>
      </c>
      <c r="C158" s="66" t="s">
        <v>73</v>
      </c>
      <c r="D158" s="66" t="s">
        <v>32</v>
      </c>
      <c r="E158" s="66" t="s">
        <v>33</v>
      </c>
      <c r="F158" s="67" t="s">
        <v>2565</v>
      </c>
      <c r="G158" s="73" t="s">
        <v>59</v>
      </c>
      <c r="H158" s="84" t="s">
        <v>2566</v>
      </c>
      <c r="I158" s="68">
        <v>46175</v>
      </c>
      <c r="J158" s="66">
        <f t="shared" ca="1" si="293"/>
        <v>9</v>
      </c>
      <c r="K158" s="66" t="str">
        <f t="shared" si="294"/>
        <v>Pending</v>
      </c>
      <c r="L158" s="67" t="s">
        <v>71</v>
      </c>
      <c r="M158" s="66">
        <v>19000</v>
      </c>
      <c r="N158" s="66">
        <v>15000</v>
      </c>
      <c r="O158" s="68">
        <v>46175</v>
      </c>
      <c r="P158" s="66">
        <f t="shared" si="295"/>
        <v>4000</v>
      </c>
      <c r="Q158" s="66" t="s">
        <v>33</v>
      </c>
      <c r="R158" s="66" t="s">
        <v>64</v>
      </c>
      <c r="S158" s="66">
        <v>20500</v>
      </c>
      <c r="T158" s="66" t="s">
        <v>33</v>
      </c>
      <c r="U158" s="66" t="s">
        <v>33</v>
      </c>
      <c r="V158" s="66" t="s">
        <v>28</v>
      </c>
      <c r="W158" s="66">
        <f t="shared" si="296"/>
        <v>1500</v>
      </c>
      <c r="X158" s="66" t="s">
        <v>29</v>
      </c>
      <c r="Y158" s="66" t="s">
        <v>63</v>
      </c>
      <c r="Z158" s="75">
        <f t="shared" si="297"/>
        <v>7.8947368421052628</v>
      </c>
      <c r="AA158" s="66"/>
      <c r="AB158" s="66" t="s">
        <v>320</v>
      </c>
      <c r="AC158" s="67" t="s">
        <v>2468</v>
      </c>
    </row>
    <row r="159" spans="1:29" hidden="1">
      <c r="A159" s="64">
        <f>SUBTOTAL(3,C$2:C159)</f>
        <v>55</v>
      </c>
      <c r="B159" s="64" t="s">
        <v>2469</v>
      </c>
      <c r="C159" s="64" t="s">
        <v>1168</v>
      </c>
      <c r="D159" s="64" t="s">
        <v>32</v>
      </c>
      <c r="E159" s="64" t="s">
        <v>33</v>
      </c>
      <c r="F159" s="63" t="s">
        <v>2298</v>
      </c>
      <c r="G159" s="69" t="s">
        <v>1840</v>
      </c>
      <c r="H159" s="77" t="s">
        <v>2568</v>
      </c>
      <c r="I159" s="65">
        <v>46176</v>
      </c>
      <c r="J159" s="64">
        <f t="shared" ca="1" si="293"/>
        <v>8</v>
      </c>
      <c r="K159" s="64" t="str">
        <f t="shared" si="294"/>
        <v>Pending</v>
      </c>
      <c r="L159" s="63" t="s">
        <v>737</v>
      </c>
      <c r="M159" s="64">
        <v>15500</v>
      </c>
      <c r="N159" s="64">
        <v>13500</v>
      </c>
      <c r="O159" s="65">
        <v>46176</v>
      </c>
      <c r="P159" s="64">
        <f t="shared" si="295"/>
        <v>2000</v>
      </c>
      <c r="Q159" s="64" t="s">
        <v>33</v>
      </c>
      <c r="R159" s="64" t="s">
        <v>64</v>
      </c>
      <c r="S159" s="64">
        <v>20000</v>
      </c>
      <c r="T159" s="64" t="s">
        <v>33</v>
      </c>
      <c r="U159" s="64" t="s">
        <v>33</v>
      </c>
      <c r="V159" s="64" t="s">
        <v>28</v>
      </c>
      <c r="W159" s="64">
        <f t="shared" si="296"/>
        <v>4500</v>
      </c>
      <c r="X159" s="64" t="s">
        <v>29</v>
      </c>
      <c r="Y159" s="64" t="s">
        <v>63</v>
      </c>
      <c r="Z159" s="71">
        <f t="shared" si="297"/>
        <v>29.032258064516128</v>
      </c>
      <c r="AA159" s="64"/>
      <c r="AB159" s="64" t="s">
        <v>320</v>
      </c>
    </row>
    <row r="160" spans="1:29" hidden="1">
      <c r="A160" s="64">
        <f>SUBTOTAL(3,C$2:C160)</f>
        <v>55</v>
      </c>
      <c r="B160" s="64" t="s">
        <v>2469</v>
      </c>
      <c r="C160" s="64" t="s">
        <v>65</v>
      </c>
      <c r="D160" s="64" t="s">
        <v>32</v>
      </c>
      <c r="E160" s="64" t="s">
        <v>33</v>
      </c>
      <c r="F160" s="63" t="s">
        <v>66</v>
      </c>
      <c r="G160" s="69" t="s">
        <v>67</v>
      </c>
      <c r="H160" s="77" t="s">
        <v>2567</v>
      </c>
      <c r="I160" s="65">
        <v>46176</v>
      </c>
      <c r="J160" s="64">
        <f t="shared" ref="J160:J163" ca="1" si="298">+TODAY()-I160</f>
        <v>8</v>
      </c>
      <c r="K160" s="64" t="str">
        <f t="shared" ref="K160:K163" si="299">+U160</f>
        <v>Pending</v>
      </c>
      <c r="L160" s="63" t="s">
        <v>737</v>
      </c>
      <c r="M160" s="64">
        <v>27000</v>
      </c>
      <c r="N160" s="64">
        <v>20000</v>
      </c>
      <c r="O160" s="65">
        <v>46176</v>
      </c>
      <c r="P160" s="64">
        <f t="shared" ref="P160:P163" si="300">+M160-N160</f>
        <v>7000</v>
      </c>
      <c r="Q160" s="64" t="s">
        <v>33</v>
      </c>
      <c r="R160" s="64" t="s">
        <v>64</v>
      </c>
      <c r="S160" s="64">
        <v>33000</v>
      </c>
      <c r="T160" s="64" t="s">
        <v>33</v>
      </c>
      <c r="U160" s="64" t="s">
        <v>33</v>
      </c>
      <c r="V160" s="64" t="s">
        <v>28</v>
      </c>
      <c r="W160" s="64">
        <f t="shared" ref="W160:W163" si="301">+S160-M160</f>
        <v>6000</v>
      </c>
      <c r="X160" s="64" t="s">
        <v>29</v>
      </c>
      <c r="Y160" s="64" t="s">
        <v>63</v>
      </c>
      <c r="Z160" s="71">
        <f t="shared" ref="Z160:Z163" si="302">+W160*100/M160</f>
        <v>22.222222222222221</v>
      </c>
      <c r="AA160" s="64"/>
      <c r="AB160" s="64"/>
    </row>
    <row r="161" spans="1:29" hidden="1">
      <c r="A161" s="64">
        <f>SUBTOTAL(3,C$2:C161)</f>
        <v>55</v>
      </c>
      <c r="B161" s="64" t="s">
        <v>1086</v>
      </c>
      <c r="C161" s="64" t="s">
        <v>991</v>
      </c>
      <c r="D161" s="64" t="s">
        <v>32</v>
      </c>
      <c r="E161" s="64" t="s">
        <v>33</v>
      </c>
      <c r="F161" s="63" t="s">
        <v>2579</v>
      </c>
      <c r="G161" s="69" t="s">
        <v>1645</v>
      </c>
      <c r="H161" s="77" t="s">
        <v>2580</v>
      </c>
      <c r="I161" s="65">
        <v>46176</v>
      </c>
      <c r="J161" s="64">
        <f t="shared" ca="1" si="298"/>
        <v>8</v>
      </c>
      <c r="K161" s="64" t="str">
        <f t="shared" si="299"/>
        <v>Pending</v>
      </c>
      <c r="L161" s="63" t="s">
        <v>737</v>
      </c>
      <c r="M161" s="64">
        <v>15500</v>
      </c>
      <c r="N161" s="64">
        <v>13500</v>
      </c>
      <c r="O161" s="65">
        <v>46176</v>
      </c>
      <c r="P161" s="64">
        <f t="shared" si="300"/>
        <v>2000</v>
      </c>
      <c r="Q161" s="64" t="s">
        <v>33</v>
      </c>
      <c r="R161" s="64" t="s">
        <v>64</v>
      </c>
      <c r="S161" s="64">
        <v>20000</v>
      </c>
      <c r="T161" s="64" t="s">
        <v>33</v>
      </c>
      <c r="U161" s="64" t="s">
        <v>33</v>
      </c>
      <c r="V161" s="64" t="s">
        <v>28</v>
      </c>
      <c r="W161" s="64">
        <f t="shared" si="301"/>
        <v>4500</v>
      </c>
      <c r="X161" s="64" t="s">
        <v>29</v>
      </c>
      <c r="Y161" s="64" t="s">
        <v>63</v>
      </c>
      <c r="Z161" s="71">
        <f t="shared" si="302"/>
        <v>29.032258064516128</v>
      </c>
      <c r="AA161" s="64"/>
      <c r="AB161" s="64"/>
    </row>
    <row r="162" spans="1:29" hidden="1">
      <c r="A162" s="64">
        <f>SUBTOTAL(3,C$2:C162)</f>
        <v>55</v>
      </c>
      <c r="B162" s="64" t="s">
        <v>2469</v>
      </c>
      <c r="C162" s="64" t="s">
        <v>1168</v>
      </c>
      <c r="D162" s="64" t="s">
        <v>32</v>
      </c>
      <c r="E162" s="64" t="s">
        <v>33</v>
      </c>
      <c r="F162" s="63" t="s">
        <v>2582</v>
      </c>
      <c r="G162" s="69" t="s">
        <v>1840</v>
      </c>
      <c r="H162" s="77" t="s">
        <v>2581</v>
      </c>
      <c r="I162" s="65">
        <v>46176</v>
      </c>
      <c r="J162" s="64">
        <f t="shared" ca="1" si="298"/>
        <v>8</v>
      </c>
      <c r="K162" s="64" t="str">
        <f t="shared" si="299"/>
        <v>Pending</v>
      </c>
      <c r="L162" s="85" t="s">
        <v>737</v>
      </c>
      <c r="M162" s="64">
        <v>15500</v>
      </c>
      <c r="N162" s="64">
        <v>13500</v>
      </c>
      <c r="O162" s="65">
        <v>46176</v>
      </c>
      <c r="P162" s="64">
        <f t="shared" si="300"/>
        <v>2000</v>
      </c>
      <c r="Q162" s="64" t="s">
        <v>33</v>
      </c>
      <c r="R162" s="64" t="s">
        <v>64</v>
      </c>
      <c r="S162" s="64">
        <v>20000</v>
      </c>
      <c r="T162" s="64" t="s">
        <v>33</v>
      </c>
      <c r="U162" s="64" t="s">
        <v>33</v>
      </c>
      <c r="V162" s="64" t="s">
        <v>28</v>
      </c>
      <c r="W162" s="64">
        <f t="shared" si="301"/>
        <v>4500</v>
      </c>
      <c r="X162" s="64" t="s">
        <v>29</v>
      </c>
      <c r="Y162" s="64" t="s">
        <v>63</v>
      </c>
      <c r="Z162" s="71">
        <f t="shared" si="302"/>
        <v>29.032258064516128</v>
      </c>
      <c r="AA162" s="64"/>
      <c r="AB162" s="64" t="s">
        <v>320</v>
      </c>
    </row>
    <row r="163" spans="1:29" hidden="1">
      <c r="A163" s="64">
        <f>SUBTOTAL(3,C$2:C163)</f>
        <v>55</v>
      </c>
      <c r="B163" s="64" t="s">
        <v>2469</v>
      </c>
      <c r="C163" s="64" t="s">
        <v>73</v>
      </c>
      <c r="D163" s="64" t="s">
        <v>32</v>
      </c>
      <c r="E163" s="64" t="s">
        <v>33</v>
      </c>
      <c r="F163" s="63" t="s">
        <v>2565</v>
      </c>
      <c r="G163" s="69" t="s">
        <v>59</v>
      </c>
      <c r="H163" s="77" t="s">
        <v>2608</v>
      </c>
      <c r="I163" s="65">
        <v>46176</v>
      </c>
      <c r="J163" s="64">
        <f t="shared" ca="1" si="298"/>
        <v>8</v>
      </c>
      <c r="K163" s="64" t="str">
        <f t="shared" si="299"/>
        <v>Pending</v>
      </c>
      <c r="L163" s="63" t="s">
        <v>737</v>
      </c>
      <c r="M163" s="64">
        <v>27000</v>
      </c>
      <c r="N163" s="64">
        <v>23000</v>
      </c>
      <c r="O163" s="65">
        <v>46177</v>
      </c>
      <c r="P163" s="64">
        <f t="shared" si="300"/>
        <v>4000</v>
      </c>
      <c r="Q163" s="64" t="s">
        <v>33</v>
      </c>
      <c r="R163" s="64" t="s">
        <v>64</v>
      </c>
      <c r="S163" s="64">
        <v>33000</v>
      </c>
      <c r="T163" s="64" t="s">
        <v>33</v>
      </c>
      <c r="U163" s="64" t="s">
        <v>33</v>
      </c>
      <c r="V163" s="64" t="s">
        <v>28</v>
      </c>
      <c r="W163" s="64">
        <f t="shared" si="301"/>
        <v>6000</v>
      </c>
      <c r="X163" s="64" t="s">
        <v>29</v>
      </c>
      <c r="Y163" s="64" t="s">
        <v>63</v>
      </c>
      <c r="Z163" s="71">
        <f t="shared" si="302"/>
        <v>22.222222222222221</v>
      </c>
      <c r="AA163" s="64"/>
      <c r="AB163" s="64" t="s">
        <v>320</v>
      </c>
      <c r="AC163" s="63" t="s">
        <v>2468</v>
      </c>
    </row>
    <row r="164" spans="1:29" hidden="1">
      <c r="A164" s="64">
        <f>SUBTOTAL(3,C$2:C164)</f>
        <v>55</v>
      </c>
      <c r="B164" s="64" t="s">
        <v>2469</v>
      </c>
      <c r="C164" s="64" t="s">
        <v>1168</v>
      </c>
      <c r="D164" s="64" t="s">
        <v>32</v>
      </c>
      <c r="E164" s="64" t="s">
        <v>33</v>
      </c>
      <c r="F164" s="63" t="s">
        <v>2137</v>
      </c>
      <c r="G164" s="69" t="s">
        <v>1840</v>
      </c>
      <c r="H164" s="77" t="s">
        <v>2612</v>
      </c>
      <c r="I164" s="65">
        <v>46176</v>
      </c>
      <c r="J164" s="64">
        <f t="shared" ref="J164" ca="1" si="303">+TODAY()-I164</f>
        <v>8</v>
      </c>
      <c r="K164" s="64" t="str">
        <f t="shared" ref="K164" si="304">+U164</f>
        <v>Pending</v>
      </c>
      <c r="L164" s="63" t="s">
        <v>737</v>
      </c>
      <c r="M164" s="64">
        <v>15500</v>
      </c>
      <c r="N164" s="64">
        <v>13500</v>
      </c>
      <c r="O164" s="65">
        <v>46177</v>
      </c>
      <c r="P164" s="64">
        <f t="shared" ref="P164" si="305">+M164-N164</f>
        <v>2000</v>
      </c>
      <c r="Q164" s="64" t="s">
        <v>33</v>
      </c>
      <c r="R164" s="64" t="s">
        <v>64</v>
      </c>
      <c r="S164" s="64">
        <v>20000</v>
      </c>
      <c r="T164" s="64" t="s">
        <v>33</v>
      </c>
      <c r="U164" s="64" t="s">
        <v>33</v>
      </c>
      <c r="V164" s="64" t="s">
        <v>28</v>
      </c>
      <c r="W164" s="64">
        <f t="shared" ref="W164" si="306">+S164-M164</f>
        <v>4500</v>
      </c>
      <c r="X164" s="64" t="s">
        <v>29</v>
      </c>
      <c r="Y164" s="64" t="s">
        <v>63</v>
      </c>
      <c r="Z164" s="71">
        <f t="shared" ref="Z164" si="307">+W164*100/M164</f>
        <v>29.032258064516128</v>
      </c>
      <c r="AA164" s="64"/>
      <c r="AB164" s="64" t="s">
        <v>320</v>
      </c>
    </row>
    <row r="165" spans="1:29" hidden="1">
      <c r="A165" s="64">
        <f>SUBTOTAL(3,C$2:C165)</f>
        <v>55</v>
      </c>
      <c r="B165" s="64" t="s">
        <v>2469</v>
      </c>
      <c r="C165" s="64" t="s">
        <v>1168</v>
      </c>
      <c r="D165" s="64" t="s">
        <v>32</v>
      </c>
      <c r="E165" s="64" t="s">
        <v>33</v>
      </c>
      <c r="F165" s="63" t="s">
        <v>2617</v>
      </c>
      <c r="G165" s="69" t="s">
        <v>1840</v>
      </c>
      <c r="H165" s="77" t="s">
        <v>2618</v>
      </c>
      <c r="I165" s="65">
        <v>46176</v>
      </c>
      <c r="J165" s="64">
        <f t="shared" ref="J165:J166" ca="1" si="308">+TODAY()-I165</f>
        <v>8</v>
      </c>
      <c r="K165" s="64" t="str">
        <f t="shared" ref="K165:K166" si="309">+U165</f>
        <v>Pending</v>
      </c>
      <c r="L165" s="63" t="s">
        <v>737</v>
      </c>
      <c r="M165" s="64">
        <v>15500</v>
      </c>
      <c r="N165" s="64">
        <v>13500</v>
      </c>
      <c r="O165" s="65">
        <v>46177</v>
      </c>
      <c r="P165" s="64">
        <f t="shared" ref="P165:P166" si="310">+M165-N165</f>
        <v>2000</v>
      </c>
      <c r="Q165" s="64" t="s">
        <v>33</v>
      </c>
      <c r="R165" s="64" t="s">
        <v>64</v>
      </c>
      <c r="S165" s="64">
        <v>20000</v>
      </c>
      <c r="T165" s="64" t="s">
        <v>33</v>
      </c>
      <c r="U165" s="64" t="s">
        <v>33</v>
      </c>
      <c r="V165" s="64" t="s">
        <v>28</v>
      </c>
      <c r="W165" s="64">
        <f t="shared" ref="W165:W166" si="311">+S165-M165</f>
        <v>4500</v>
      </c>
      <c r="X165" s="64" t="s">
        <v>29</v>
      </c>
      <c r="Y165" s="64" t="s">
        <v>63</v>
      </c>
      <c r="Z165" s="71">
        <f t="shared" ref="Z165:Z166" si="312">+W165*100/M165</f>
        <v>29.032258064516128</v>
      </c>
      <c r="AA165" s="64"/>
      <c r="AB165" s="64" t="s">
        <v>320</v>
      </c>
    </row>
    <row r="166" spans="1:29" hidden="1">
      <c r="A166" s="64">
        <f>SUBTOTAL(3,C$2:C166)</f>
        <v>55</v>
      </c>
      <c r="B166" s="64" t="s">
        <v>1086</v>
      </c>
      <c r="C166" s="64" t="s">
        <v>948</v>
      </c>
      <c r="D166" s="64" t="s">
        <v>32</v>
      </c>
      <c r="E166" s="64" t="s">
        <v>33</v>
      </c>
      <c r="F166" s="63" t="s">
        <v>2626</v>
      </c>
      <c r="G166" s="69" t="s">
        <v>1645</v>
      </c>
      <c r="H166" s="77" t="s">
        <v>2627</v>
      </c>
      <c r="I166" s="65">
        <v>46176</v>
      </c>
      <c r="J166" s="64">
        <f t="shared" ca="1" si="308"/>
        <v>8</v>
      </c>
      <c r="K166" s="64" t="str">
        <f t="shared" si="309"/>
        <v>Pending</v>
      </c>
      <c r="L166" s="63" t="s">
        <v>737</v>
      </c>
      <c r="M166" s="64">
        <v>15500</v>
      </c>
      <c r="N166" s="64">
        <v>13500</v>
      </c>
      <c r="O166" s="65">
        <v>46177</v>
      </c>
      <c r="P166" s="64">
        <f t="shared" si="310"/>
        <v>2000</v>
      </c>
      <c r="Q166" s="64" t="s">
        <v>33</v>
      </c>
      <c r="R166" s="64" t="s">
        <v>64</v>
      </c>
      <c r="S166" s="64">
        <v>20000</v>
      </c>
      <c r="T166" s="64" t="s">
        <v>33</v>
      </c>
      <c r="U166" s="64" t="s">
        <v>33</v>
      </c>
      <c r="V166" s="64" t="s">
        <v>28</v>
      </c>
      <c r="W166" s="64">
        <f t="shared" si="311"/>
        <v>4500</v>
      </c>
      <c r="X166" s="64" t="s">
        <v>29</v>
      </c>
      <c r="Y166" s="64" t="s">
        <v>63</v>
      </c>
      <c r="Z166" s="71">
        <f t="shared" si="312"/>
        <v>29.032258064516128</v>
      </c>
      <c r="AA166" s="64"/>
      <c r="AB166" s="64"/>
    </row>
    <row r="167" spans="1:29" hidden="1">
      <c r="A167" s="64">
        <f>SUBTOTAL(3,C$2:C167)</f>
        <v>55</v>
      </c>
      <c r="B167" s="64" t="s">
        <v>2469</v>
      </c>
      <c r="C167" s="64" t="s">
        <v>1168</v>
      </c>
      <c r="D167" s="64" t="s">
        <v>32</v>
      </c>
      <c r="E167" s="64" t="s">
        <v>33</v>
      </c>
      <c r="F167" s="63" t="s">
        <v>2633</v>
      </c>
      <c r="G167" s="69" t="s">
        <v>1840</v>
      </c>
      <c r="H167" s="77" t="s">
        <v>2634</v>
      </c>
      <c r="I167" s="65">
        <v>46177</v>
      </c>
      <c r="J167" s="64">
        <f t="shared" ref="J167:J168" ca="1" si="313">+TODAY()-I167</f>
        <v>7</v>
      </c>
      <c r="K167" s="64" t="str">
        <f t="shared" ref="K167:K168" si="314">+U167</f>
        <v>Pending</v>
      </c>
      <c r="L167" s="63" t="s">
        <v>737</v>
      </c>
      <c r="M167" s="64">
        <v>15500</v>
      </c>
      <c r="N167" s="64">
        <v>13500</v>
      </c>
      <c r="O167" s="65">
        <v>46177</v>
      </c>
      <c r="P167" s="64">
        <f t="shared" ref="P167:P168" si="315">+M167-N167</f>
        <v>2000</v>
      </c>
      <c r="Q167" s="64" t="s">
        <v>33</v>
      </c>
      <c r="R167" s="64" t="s">
        <v>64</v>
      </c>
      <c r="S167" s="64">
        <v>20000</v>
      </c>
      <c r="T167" s="64" t="s">
        <v>33</v>
      </c>
      <c r="U167" s="64" t="s">
        <v>33</v>
      </c>
      <c r="V167" s="64" t="s">
        <v>28</v>
      </c>
      <c r="W167" s="64">
        <f t="shared" ref="W167:W168" si="316">+S167-M167</f>
        <v>4500</v>
      </c>
      <c r="X167" s="64" t="s">
        <v>29</v>
      </c>
      <c r="Y167" s="64" t="s">
        <v>63</v>
      </c>
      <c r="Z167" s="71">
        <f t="shared" ref="Z167:Z168" si="317">+W167*100/M167</f>
        <v>29.032258064516128</v>
      </c>
      <c r="AA167" s="64"/>
      <c r="AB167" s="64" t="s">
        <v>320</v>
      </c>
    </row>
    <row r="168" spans="1:29" hidden="1">
      <c r="A168" s="64">
        <f>SUBTOTAL(3,C$2:C168)</f>
        <v>55</v>
      </c>
      <c r="B168" s="64" t="s">
        <v>2469</v>
      </c>
      <c r="C168" s="64" t="s">
        <v>73</v>
      </c>
      <c r="D168" s="64" t="s">
        <v>32</v>
      </c>
      <c r="E168" s="64" t="s">
        <v>33</v>
      </c>
      <c r="F168" s="63" t="s">
        <v>366</v>
      </c>
      <c r="G168" s="69" t="s">
        <v>67</v>
      </c>
      <c r="H168" s="77" t="s">
        <v>2636</v>
      </c>
      <c r="I168" s="65">
        <v>46177</v>
      </c>
      <c r="J168" s="64">
        <f t="shared" ca="1" si="313"/>
        <v>7</v>
      </c>
      <c r="K168" s="64" t="str">
        <f t="shared" si="314"/>
        <v>Pending</v>
      </c>
      <c r="L168" s="63" t="s">
        <v>737</v>
      </c>
      <c r="M168" s="64">
        <v>27000</v>
      </c>
      <c r="N168" s="64">
        <v>23000</v>
      </c>
      <c r="O168" s="65">
        <v>46177</v>
      </c>
      <c r="P168" s="64">
        <f t="shared" si="315"/>
        <v>4000</v>
      </c>
      <c r="Q168" s="64" t="s">
        <v>33</v>
      </c>
      <c r="R168" s="64" t="s">
        <v>64</v>
      </c>
      <c r="S168" s="64">
        <v>33000</v>
      </c>
      <c r="T168" s="64" t="s">
        <v>33</v>
      </c>
      <c r="U168" s="64" t="s">
        <v>33</v>
      </c>
      <c r="V168" s="64" t="s">
        <v>28</v>
      </c>
      <c r="W168" s="64">
        <f t="shared" si="316"/>
        <v>6000</v>
      </c>
      <c r="X168" s="64" t="s">
        <v>29</v>
      </c>
      <c r="Y168" s="64" t="s">
        <v>63</v>
      </c>
      <c r="Z168" s="71">
        <f t="shared" si="317"/>
        <v>22.222222222222221</v>
      </c>
      <c r="AA168" s="64"/>
      <c r="AB168" s="64" t="s">
        <v>320</v>
      </c>
      <c r="AC168" s="63" t="s">
        <v>2468</v>
      </c>
    </row>
    <row r="169" spans="1:29" hidden="1">
      <c r="A169" s="64">
        <f>SUBTOTAL(3,C$2:C169)</f>
        <v>55</v>
      </c>
      <c r="B169" s="64" t="s">
        <v>2469</v>
      </c>
      <c r="C169" s="64" t="s">
        <v>1168</v>
      </c>
      <c r="D169" s="64" t="s">
        <v>32</v>
      </c>
      <c r="E169" s="64" t="s">
        <v>33</v>
      </c>
      <c r="F169" s="63" t="s">
        <v>1891</v>
      </c>
      <c r="G169" s="69" t="s">
        <v>1840</v>
      </c>
      <c r="H169" s="77" t="s">
        <v>2637</v>
      </c>
      <c r="I169" s="65">
        <v>46177</v>
      </c>
      <c r="J169" s="64">
        <f t="shared" ref="J169:J170" ca="1" si="318">+TODAY()-I169</f>
        <v>7</v>
      </c>
      <c r="K169" s="64" t="str">
        <f t="shared" ref="K169:K170" si="319">+U169</f>
        <v>Pending</v>
      </c>
      <c r="L169" s="63" t="s">
        <v>737</v>
      </c>
      <c r="M169" s="64">
        <v>15500</v>
      </c>
      <c r="N169" s="64">
        <v>13500</v>
      </c>
      <c r="O169" s="65">
        <v>46177</v>
      </c>
      <c r="P169" s="64">
        <f t="shared" ref="P169:P170" si="320">+M169-N169</f>
        <v>2000</v>
      </c>
      <c r="Q169" s="64" t="s">
        <v>33</v>
      </c>
      <c r="R169" s="64" t="s">
        <v>64</v>
      </c>
      <c r="S169" s="64">
        <v>20000</v>
      </c>
      <c r="T169" s="64" t="s">
        <v>33</v>
      </c>
      <c r="U169" s="64" t="s">
        <v>33</v>
      </c>
      <c r="V169" s="64" t="s">
        <v>28</v>
      </c>
      <c r="W169" s="64">
        <f t="shared" ref="W169:W170" si="321">+S169-M169</f>
        <v>4500</v>
      </c>
      <c r="X169" s="64" t="s">
        <v>29</v>
      </c>
      <c r="Y169" s="64" t="s">
        <v>63</v>
      </c>
      <c r="Z169" s="71">
        <f t="shared" ref="Z169:Z170" si="322">+W169*100/M169</f>
        <v>29.032258064516128</v>
      </c>
      <c r="AA169" s="64"/>
      <c r="AB169" s="64" t="s">
        <v>320</v>
      </c>
    </row>
    <row r="170" spans="1:29" hidden="1">
      <c r="A170" s="64">
        <f>SUBTOTAL(3,C$2:C170)</f>
        <v>55</v>
      </c>
      <c r="B170" s="64" t="s">
        <v>2469</v>
      </c>
      <c r="C170" s="64" t="s">
        <v>65</v>
      </c>
      <c r="D170" s="64" t="s">
        <v>32</v>
      </c>
      <c r="E170" s="64" t="s">
        <v>33</v>
      </c>
      <c r="F170" s="63" t="s">
        <v>66</v>
      </c>
      <c r="G170" s="69" t="s">
        <v>67</v>
      </c>
      <c r="H170" s="77" t="s">
        <v>2652</v>
      </c>
      <c r="I170" s="65">
        <v>46177</v>
      </c>
      <c r="J170" s="64">
        <f t="shared" ca="1" si="318"/>
        <v>7</v>
      </c>
      <c r="K170" s="64" t="str">
        <f t="shared" si="319"/>
        <v>Pending</v>
      </c>
      <c r="L170" s="63" t="s">
        <v>737</v>
      </c>
      <c r="M170" s="64">
        <v>19000</v>
      </c>
      <c r="N170" s="64">
        <v>15000</v>
      </c>
      <c r="O170" s="65">
        <v>46177</v>
      </c>
      <c r="P170" s="64">
        <f t="shared" si="320"/>
        <v>4000</v>
      </c>
      <c r="Q170" s="64" t="s">
        <v>33</v>
      </c>
      <c r="R170" s="64" t="s">
        <v>64</v>
      </c>
      <c r="S170" s="64">
        <v>20500</v>
      </c>
      <c r="T170" s="64" t="s">
        <v>33</v>
      </c>
      <c r="U170" s="64" t="s">
        <v>33</v>
      </c>
      <c r="V170" s="64" t="s">
        <v>28</v>
      </c>
      <c r="W170" s="64">
        <f t="shared" si="321"/>
        <v>1500</v>
      </c>
      <c r="X170" s="64" t="s">
        <v>29</v>
      </c>
      <c r="Y170" s="64" t="s">
        <v>63</v>
      </c>
      <c r="Z170" s="71">
        <f t="shared" si="322"/>
        <v>7.8947368421052628</v>
      </c>
      <c r="AA170" s="64"/>
      <c r="AB170" s="64"/>
    </row>
    <row r="171" spans="1:29" hidden="1">
      <c r="A171" s="64">
        <f>SUBTOTAL(3,C$2:C171)</f>
        <v>55</v>
      </c>
      <c r="B171" s="64" t="s">
        <v>2469</v>
      </c>
      <c r="C171" s="64" t="s">
        <v>1168</v>
      </c>
      <c r="D171" s="64" t="s">
        <v>32</v>
      </c>
      <c r="E171" s="64" t="s">
        <v>33</v>
      </c>
      <c r="F171" s="63" t="s">
        <v>2395</v>
      </c>
      <c r="G171" s="69" t="s">
        <v>1840</v>
      </c>
      <c r="H171" s="77" t="s">
        <v>2654</v>
      </c>
      <c r="I171" s="65">
        <v>46177</v>
      </c>
      <c r="J171" s="64">
        <f t="shared" ref="J171" ca="1" si="323">+TODAY()-I171</f>
        <v>7</v>
      </c>
      <c r="K171" s="64" t="str">
        <f t="shared" ref="K171" si="324">+U171</f>
        <v>Pending</v>
      </c>
      <c r="L171" s="63" t="s">
        <v>71</v>
      </c>
      <c r="M171" s="64">
        <v>15500</v>
      </c>
      <c r="N171" s="64">
        <v>13500</v>
      </c>
      <c r="O171" s="65">
        <v>46177</v>
      </c>
      <c r="P171" s="64">
        <f t="shared" ref="P171" si="325">+M171-N171</f>
        <v>2000</v>
      </c>
      <c r="Q171" s="64" t="s">
        <v>33</v>
      </c>
      <c r="R171" s="64" t="s">
        <v>64</v>
      </c>
      <c r="S171" s="64">
        <v>20000</v>
      </c>
      <c r="T171" s="64" t="s">
        <v>33</v>
      </c>
      <c r="U171" s="64" t="s">
        <v>33</v>
      </c>
      <c r="V171" s="64" t="s">
        <v>28</v>
      </c>
      <c r="W171" s="64">
        <f t="shared" ref="W171" si="326">+S171-M171</f>
        <v>4500</v>
      </c>
      <c r="X171" s="64" t="s">
        <v>29</v>
      </c>
      <c r="Y171" s="64" t="s">
        <v>63</v>
      </c>
      <c r="Z171" s="71">
        <f t="shared" ref="Z171" si="327">+W171*100/M171</f>
        <v>29.032258064516128</v>
      </c>
      <c r="AA171" s="64"/>
      <c r="AB171" s="64" t="s">
        <v>320</v>
      </c>
    </row>
    <row r="172" spans="1:29" hidden="1">
      <c r="A172" s="64">
        <f>SUBTOTAL(3,C$2:C172)</f>
        <v>55</v>
      </c>
      <c r="B172" s="64" t="s">
        <v>2469</v>
      </c>
      <c r="C172" s="64" t="s">
        <v>65</v>
      </c>
      <c r="D172" s="64" t="s">
        <v>32</v>
      </c>
      <c r="E172" s="64" t="s">
        <v>33</v>
      </c>
      <c r="F172" s="63" t="s">
        <v>556</v>
      </c>
      <c r="G172" s="69" t="s">
        <v>67</v>
      </c>
      <c r="H172" s="77" t="s">
        <v>2705</v>
      </c>
      <c r="I172" s="65">
        <v>46178</v>
      </c>
      <c r="J172" s="64">
        <f t="shared" ref="J172" ca="1" si="328">+TODAY()-I172</f>
        <v>6</v>
      </c>
      <c r="K172" s="64" t="str">
        <f t="shared" ref="K172" si="329">+U172</f>
        <v>Pending</v>
      </c>
      <c r="L172" s="63" t="s">
        <v>737</v>
      </c>
      <c r="M172" s="64">
        <v>27000</v>
      </c>
      <c r="N172" s="64">
        <v>20000</v>
      </c>
      <c r="O172" s="65">
        <v>46178</v>
      </c>
      <c r="P172" s="64">
        <f t="shared" ref="P172" si="330">+M172-N172</f>
        <v>7000</v>
      </c>
      <c r="Q172" s="64" t="s">
        <v>33</v>
      </c>
      <c r="R172" s="64" t="s">
        <v>64</v>
      </c>
      <c r="S172" s="64">
        <v>33000</v>
      </c>
      <c r="T172" s="64" t="s">
        <v>33</v>
      </c>
      <c r="U172" s="64" t="s">
        <v>33</v>
      </c>
      <c r="V172" s="64" t="s">
        <v>28</v>
      </c>
      <c r="W172" s="64">
        <f t="shared" ref="W172" si="331">+S172-M172</f>
        <v>6000</v>
      </c>
      <c r="X172" s="64" t="s">
        <v>29</v>
      </c>
      <c r="Y172" s="64" t="s">
        <v>63</v>
      </c>
      <c r="Z172" s="71">
        <f t="shared" ref="Z172" si="332">+W172*100/M172</f>
        <v>22.222222222222221</v>
      </c>
      <c r="AA172" s="64"/>
      <c r="AB172" s="64"/>
    </row>
    <row r="173" spans="1:29" hidden="1">
      <c r="A173" s="64">
        <f>SUBTOTAL(3,C$2:C173)</f>
        <v>55</v>
      </c>
      <c r="B173" s="64" t="s">
        <v>2469</v>
      </c>
      <c r="C173" s="64" t="s">
        <v>1168</v>
      </c>
      <c r="D173" s="64" t="s">
        <v>32</v>
      </c>
      <c r="E173" s="64" t="s">
        <v>33</v>
      </c>
      <c r="F173" s="63" t="s">
        <v>1852</v>
      </c>
      <c r="G173" s="69" t="s">
        <v>1840</v>
      </c>
      <c r="H173" s="77" t="s">
        <v>2704</v>
      </c>
      <c r="I173" s="65">
        <v>46178</v>
      </c>
      <c r="J173" s="64">
        <f t="shared" ref="J173" ca="1" si="333">+TODAY()-I173</f>
        <v>6</v>
      </c>
      <c r="K173" s="64" t="str">
        <f t="shared" ref="K173" si="334">+U173</f>
        <v>Pending</v>
      </c>
      <c r="L173" s="63" t="s">
        <v>737</v>
      </c>
      <c r="M173" s="64">
        <v>15500</v>
      </c>
      <c r="N173" s="64">
        <v>13500</v>
      </c>
      <c r="O173" s="65">
        <v>46178</v>
      </c>
      <c r="P173" s="64">
        <f t="shared" ref="P173" si="335">+M173-N173</f>
        <v>2000</v>
      </c>
      <c r="Q173" s="64" t="s">
        <v>33</v>
      </c>
      <c r="R173" s="64" t="s">
        <v>64</v>
      </c>
      <c r="S173" s="64">
        <v>20000</v>
      </c>
      <c r="T173" s="64" t="s">
        <v>33</v>
      </c>
      <c r="U173" s="64" t="s">
        <v>33</v>
      </c>
      <c r="V173" s="64" t="s">
        <v>28</v>
      </c>
      <c r="W173" s="64">
        <f t="shared" ref="W173" si="336">+S173-M173</f>
        <v>4500</v>
      </c>
      <c r="X173" s="64" t="s">
        <v>29</v>
      </c>
      <c r="Y173" s="64" t="s">
        <v>63</v>
      </c>
      <c r="Z173" s="71">
        <f t="shared" ref="Z173" si="337">+W173*100/M173</f>
        <v>29.032258064516128</v>
      </c>
      <c r="AA173" s="64"/>
      <c r="AB173" s="64" t="s">
        <v>320</v>
      </c>
    </row>
    <row r="174" spans="1:29" hidden="1">
      <c r="A174" s="64">
        <f>SUBTOTAL(3,C$2:C174)</f>
        <v>55</v>
      </c>
      <c r="B174" s="64" t="s">
        <v>2469</v>
      </c>
      <c r="C174" s="64" t="s">
        <v>1168</v>
      </c>
      <c r="D174" s="64" t="s">
        <v>32</v>
      </c>
      <c r="E174" s="64" t="s">
        <v>33</v>
      </c>
      <c r="F174" s="63" t="s">
        <v>2740</v>
      </c>
      <c r="G174" s="69" t="s">
        <v>1840</v>
      </c>
      <c r="H174" s="77" t="s">
        <v>2741</v>
      </c>
      <c r="I174" s="65">
        <v>46178</v>
      </c>
      <c r="J174" s="64">
        <f t="shared" ref="J174:J177" ca="1" si="338">+TODAY()-I174</f>
        <v>6</v>
      </c>
      <c r="K174" s="64" t="str">
        <f t="shared" ref="K174:K177" si="339">+U174</f>
        <v>Pending</v>
      </c>
      <c r="L174" s="63" t="s">
        <v>737</v>
      </c>
      <c r="M174" s="64">
        <v>15500</v>
      </c>
      <c r="N174" s="64">
        <v>13500</v>
      </c>
      <c r="O174" s="65">
        <v>46178</v>
      </c>
      <c r="P174" s="64">
        <f t="shared" ref="P174:P177" si="340">+M174-N174</f>
        <v>2000</v>
      </c>
      <c r="Q174" s="64" t="s">
        <v>33</v>
      </c>
      <c r="R174" s="64" t="s">
        <v>64</v>
      </c>
      <c r="S174" s="64">
        <v>20000</v>
      </c>
      <c r="T174" s="64" t="s">
        <v>33</v>
      </c>
      <c r="U174" s="64" t="s">
        <v>33</v>
      </c>
      <c r="V174" s="64" t="s">
        <v>28</v>
      </c>
      <c r="W174" s="64">
        <f t="shared" ref="W174:W177" si="341">+S174-M174</f>
        <v>4500</v>
      </c>
      <c r="X174" s="64" t="s">
        <v>29</v>
      </c>
      <c r="Y174" s="64" t="s">
        <v>63</v>
      </c>
      <c r="Z174" s="71">
        <f t="shared" ref="Z174:Z177" si="342">+W174*100/M174</f>
        <v>29.032258064516128</v>
      </c>
      <c r="AA174" s="64"/>
      <c r="AB174" s="64" t="s">
        <v>320</v>
      </c>
    </row>
    <row r="175" spans="1:29" hidden="1">
      <c r="A175" s="64">
        <f>SUBTOTAL(3,C$2:C175)</f>
        <v>55</v>
      </c>
      <c r="B175" s="64" t="s">
        <v>2469</v>
      </c>
      <c r="C175" s="64" t="s">
        <v>1168</v>
      </c>
      <c r="D175" s="64" t="s">
        <v>32</v>
      </c>
      <c r="E175" s="64" t="s">
        <v>33</v>
      </c>
      <c r="F175" s="63" t="s">
        <v>2743</v>
      </c>
      <c r="G175" s="69" t="s">
        <v>1840</v>
      </c>
      <c r="H175" s="77" t="s">
        <v>2742</v>
      </c>
      <c r="I175" s="65">
        <v>46178</v>
      </c>
      <c r="J175" s="64">
        <f t="shared" ca="1" si="338"/>
        <v>6</v>
      </c>
      <c r="K175" s="64" t="str">
        <f t="shared" si="339"/>
        <v>Pending</v>
      </c>
      <c r="L175" s="63" t="s">
        <v>737</v>
      </c>
      <c r="M175" s="64">
        <v>15500</v>
      </c>
      <c r="N175" s="64">
        <v>13500</v>
      </c>
      <c r="O175" s="65">
        <v>46178</v>
      </c>
      <c r="P175" s="64">
        <f t="shared" si="340"/>
        <v>2000</v>
      </c>
      <c r="Q175" s="64" t="s">
        <v>33</v>
      </c>
      <c r="R175" s="64" t="s">
        <v>64</v>
      </c>
      <c r="S175" s="64">
        <v>20000</v>
      </c>
      <c r="T175" s="64" t="s">
        <v>33</v>
      </c>
      <c r="U175" s="64" t="s">
        <v>33</v>
      </c>
      <c r="V175" s="64" t="s">
        <v>28</v>
      </c>
      <c r="W175" s="64">
        <f t="shared" si="341"/>
        <v>4500</v>
      </c>
      <c r="X175" s="64" t="s">
        <v>29</v>
      </c>
      <c r="Y175" s="64" t="s">
        <v>63</v>
      </c>
      <c r="Z175" s="71">
        <f t="shared" si="342"/>
        <v>29.032258064516128</v>
      </c>
      <c r="AA175" s="64"/>
      <c r="AB175" s="64" t="s">
        <v>320</v>
      </c>
    </row>
    <row r="176" spans="1:29" hidden="1">
      <c r="A176" s="64">
        <f>SUBTOTAL(3,C$2:C176)</f>
        <v>55</v>
      </c>
      <c r="B176" s="64" t="s">
        <v>2469</v>
      </c>
      <c r="C176" s="64" t="s">
        <v>73</v>
      </c>
      <c r="D176" s="64" t="s">
        <v>32</v>
      </c>
      <c r="E176" s="64" t="s">
        <v>33</v>
      </c>
      <c r="F176" s="63" t="s">
        <v>2565</v>
      </c>
      <c r="G176" s="69" t="s">
        <v>59</v>
      </c>
      <c r="H176" s="77" t="s">
        <v>2744</v>
      </c>
      <c r="I176" s="65">
        <v>46178</v>
      </c>
      <c r="J176" s="64">
        <f t="shared" ca="1" si="338"/>
        <v>6</v>
      </c>
      <c r="K176" s="64" t="str">
        <f t="shared" si="339"/>
        <v>Pending</v>
      </c>
      <c r="L176" s="63" t="s">
        <v>737</v>
      </c>
      <c r="M176" s="64">
        <v>19000</v>
      </c>
      <c r="N176" s="64">
        <v>15000</v>
      </c>
      <c r="O176" s="65">
        <v>46178</v>
      </c>
      <c r="P176" s="64">
        <f t="shared" si="340"/>
        <v>4000</v>
      </c>
      <c r="Q176" s="64" t="s">
        <v>33</v>
      </c>
      <c r="R176" s="64" t="s">
        <v>64</v>
      </c>
      <c r="S176" s="64">
        <v>20500</v>
      </c>
      <c r="T176" s="64" t="s">
        <v>33</v>
      </c>
      <c r="U176" s="64" t="s">
        <v>33</v>
      </c>
      <c r="V176" s="64" t="s">
        <v>28</v>
      </c>
      <c r="W176" s="64">
        <f t="shared" si="341"/>
        <v>1500</v>
      </c>
      <c r="X176" s="64" t="s">
        <v>29</v>
      </c>
      <c r="Y176" s="64" t="s">
        <v>63</v>
      </c>
      <c r="Z176" s="71">
        <f t="shared" si="342"/>
        <v>7.8947368421052628</v>
      </c>
      <c r="AA176" s="64"/>
      <c r="AB176" s="64" t="s">
        <v>320</v>
      </c>
      <c r="AC176" s="63" t="s">
        <v>2468</v>
      </c>
    </row>
    <row r="177" spans="1:28" hidden="1">
      <c r="A177" s="64">
        <f>SUBTOTAL(3,C$2:C177)</f>
        <v>55</v>
      </c>
      <c r="B177" s="64" t="s">
        <v>2469</v>
      </c>
      <c r="C177" s="64" t="s">
        <v>65</v>
      </c>
      <c r="D177" s="64" t="s">
        <v>32</v>
      </c>
      <c r="E177" s="64" t="s">
        <v>33</v>
      </c>
      <c r="F177" s="63" t="s">
        <v>260</v>
      </c>
      <c r="G177" s="69" t="s">
        <v>67</v>
      </c>
      <c r="H177" s="77" t="s">
        <v>2747</v>
      </c>
      <c r="I177" s="65">
        <v>46178</v>
      </c>
      <c r="J177" s="64">
        <f t="shared" ca="1" si="338"/>
        <v>6</v>
      </c>
      <c r="K177" s="64" t="str">
        <f t="shared" si="339"/>
        <v>Pending</v>
      </c>
      <c r="L177" s="63" t="s">
        <v>737</v>
      </c>
      <c r="M177" s="64">
        <v>27000</v>
      </c>
      <c r="N177" s="64">
        <v>20000</v>
      </c>
      <c r="O177" s="65">
        <v>46178</v>
      </c>
      <c r="P177" s="64">
        <f t="shared" si="340"/>
        <v>7000</v>
      </c>
      <c r="Q177" s="64" t="s">
        <v>33</v>
      </c>
      <c r="R177" s="64" t="s">
        <v>64</v>
      </c>
      <c r="S177" s="64">
        <v>33000</v>
      </c>
      <c r="T177" s="64" t="s">
        <v>33</v>
      </c>
      <c r="U177" s="64" t="s">
        <v>33</v>
      </c>
      <c r="V177" s="64" t="s">
        <v>28</v>
      </c>
      <c r="W177" s="64">
        <f t="shared" si="341"/>
        <v>6000</v>
      </c>
      <c r="X177" s="64" t="s">
        <v>29</v>
      </c>
      <c r="Y177" s="64" t="s">
        <v>63</v>
      </c>
      <c r="Z177" s="71">
        <f t="shared" si="342"/>
        <v>22.222222222222221</v>
      </c>
      <c r="AA177" s="64"/>
      <c r="AB177" s="64"/>
    </row>
    <row r="178" spans="1:28" s="85" customFormat="1">
      <c r="A178" s="86">
        <f>SUBTOTAL(3,C$2:C178)</f>
        <v>56</v>
      </c>
      <c r="B178" s="86" t="s">
        <v>2469</v>
      </c>
      <c r="C178" s="86" t="s">
        <v>65</v>
      </c>
      <c r="D178" s="86" t="s">
        <v>32</v>
      </c>
      <c r="E178" s="86" t="s">
        <v>33</v>
      </c>
      <c r="F178" s="87" t="s">
        <v>66</v>
      </c>
      <c r="G178" s="88" t="s">
        <v>67</v>
      </c>
      <c r="H178" s="89" t="s">
        <v>2781</v>
      </c>
      <c r="I178" s="76">
        <v>46179</v>
      </c>
      <c r="J178" s="86">
        <f t="shared" ref="J178" ca="1" si="343">+TODAY()-I178</f>
        <v>5</v>
      </c>
      <c r="K178" s="86" t="str">
        <f t="shared" ref="K178" si="344">+U178</f>
        <v>Pending</v>
      </c>
      <c r="L178" s="85" t="s">
        <v>737</v>
      </c>
      <c r="M178" s="86">
        <v>27000</v>
      </c>
      <c r="N178" s="86">
        <v>20000</v>
      </c>
      <c r="O178" s="76">
        <v>46179</v>
      </c>
      <c r="P178" s="86">
        <f t="shared" ref="P178" si="345">+M178-N178</f>
        <v>7000</v>
      </c>
      <c r="Q178" s="86" t="s">
        <v>33</v>
      </c>
      <c r="R178" s="86" t="s">
        <v>64</v>
      </c>
      <c r="S178" s="86">
        <v>33000</v>
      </c>
      <c r="T178" s="86" t="s">
        <v>33</v>
      </c>
      <c r="U178" s="86" t="s">
        <v>33</v>
      </c>
      <c r="V178" s="86" t="s">
        <v>28</v>
      </c>
      <c r="W178" s="86">
        <f t="shared" ref="W178" si="346">+S178-M178</f>
        <v>6000</v>
      </c>
      <c r="X178" s="86" t="s">
        <v>29</v>
      </c>
      <c r="Y178" s="86" t="s">
        <v>63</v>
      </c>
      <c r="Z178" s="90">
        <f t="shared" ref="Z178" si="347">+W178*100/M178</f>
        <v>22.222222222222221</v>
      </c>
      <c r="AA178" s="86"/>
      <c r="AB178" s="86"/>
    </row>
  </sheetData>
  <autoFilter ref="A1:AC177" xr:uid="{00000000-0009-0000-0000-000002000000}">
    <filterColumn colId="1">
      <filters>
        <filter val="1) Apr-26"/>
      </filters>
    </filterColumn>
  </autoFilter>
  <conditionalFormatting sqref="E2:E51">
    <cfRule type="containsText" dxfId="375" priority="1459" operator="containsText" text="Received">
      <formula>NOT(ISERROR(SEARCH("Received",E2)))</formula>
    </cfRule>
    <cfRule type="containsText" dxfId="374" priority="1457" operator="containsText" text="Received ">
      <formula>NOT(ISERROR(SEARCH("Received ",E2)))</formula>
    </cfRule>
    <cfRule type="containsText" dxfId="373" priority="1475" operator="containsText" text="Pending">
      <formula>NOT(ISERROR(SEARCH("Pending",E2)))</formula>
    </cfRule>
    <cfRule type="containsText" dxfId="372" priority="1474" operator="containsText" text="Received ">
      <formula>NOT(ISERROR(SEARCH("Received ",E2)))</formula>
    </cfRule>
    <cfRule type="containsText" dxfId="371" priority="1473" operator="containsText" text="Received">
      <formula>NOT(ISERROR(SEARCH("Received",E2)))</formula>
    </cfRule>
    <cfRule type="containsText" dxfId="370" priority="1472" operator="containsText" text="Pending">
      <formula>NOT(ISERROR(SEARCH("Pending",E2)))</formula>
    </cfRule>
    <cfRule type="containsText" dxfId="369" priority="1471" operator="containsText" text="Received ">
      <formula>NOT(ISERROR(SEARCH("Received ",E2)))</formula>
    </cfRule>
    <cfRule type="containsText" dxfId="368" priority="1470" operator="containsText" text="Received">
      <formula>NOT(ISERROR(SEARCH("Received",E2)))</formula>
    </cfRule>
    <cfRule type="containsText" dxfId="367" priority="1469" operator="containsText" text="Pending">
      <formula>NOT(ISERROR(SEARCH("Pending",E2)))</formula>
    </cfRule>
    <cfRule type="containsText" dxfId="366" priority="1468" operator="containsText" text="Received ">
      <formula>NOT(ISERROR(SEARCH("Received ",E2)))</formula>
    </cfRule>
    <cfRule type="containsText" dxfId="365" priority="1467" operator="containsText" text="Received">
      <formula>NOT(ISERROR(SEARCH("Received",E2)))</formula>
    </cfRule>
    <cfRule type="containsText" dxfId="364" priority="1464" operator="containsText" text="Pending">
      <formula>NOT(ISERROR(SEARCH("Pending",E2)))</formula>
    </cfRule>
    <cfRule type="containsText" dxfId="363" priority="1463" operator="containsText" text="Received ">
      <formula>NOT(ISERROR(SEARCH("Received ",E2)))</formula>
    </cfRule>
    <cfRule type="containsText" dxfId="362" priority="1462" operator="containsText" text="Received">
      <formula>NOT(ISERROR(SEARCH("Received",E2)))</formula>
    </cfRule>
    <cfRule type="containsText" dxfId="361" priority="1461" operator="containsText" text="Pending">
      <formula>NOT(ISERROR(SEARCH("Pending",E2)))</formula>
    </cfRule>
    <cfRule type="containsText" dxfId="360" priority="1460" operator="containsText" text="Received ">
      <formula>NOT(ISERROR(SEARCH("Received ",E2)))</formula>
    </cfRule>
    <cfRule type="containsText" dxfId="359" priority="1456" operator="containsText" text="Received">
      <formula>NOT(ISERROR(SEARCH("Received",E2)))</formula>
    </cfRule>
    <cfRule type="containsText" dxfId="358" priority="1458" operator="containsText" text="Pending">
      <formula>NOT(ISERROR(SEARCH("Pending",E2)))</formula>
    </cfRule>
  </conditionalFormatting>
  <conditionalFormatting sqref="E2:E158 T2:U64 U65">
    <cfRule type="containsText" dxfId="357" priority="1396" operator="containsText" text="Pending">
      <formula>NOT(ISERROR(SEARCH("Pending",E2)))</formula>
    </cfRule>
  </conditionalFormatting>
  <conditionalFormatting sqref="E2:E178">
    <cfRule type="containsText" dxfId="356" priority="1" operator="containsText" text="Pending">
      <formula>NOT(ISERROR(SEARCH("Pending",E2)))</formula>
    </cfRule>
  </conditionalFormatting>
  <conditionalFormatting sqref="E52 E76:E158">
    <cfRule type="containsText" dxfId="355" priority="1381" operator="containsText" text="Received">
      <formula>NOT(ISERROR(SEARCH("Received",E52)))</formula>
    </cfRule>
    <cfRule type="containsText" dxfId="354" priority="1395" operator="containsText" text="Received ">
      <formula>NOT(ISERROR(SEARCH("Received ",E52)))</formula>
    </cfRule>
    <cfRule type="containsText" dxfId="353" priority="1394" operator="containsText" text="Received">
      <formula>NOT(ISERROR(SEARCH("Received",E52)))</formula>
    </cfRule>
    <cfRule type="containsText" dxfId="352" priority="1393" operator="containsText" text="Pending">
      <formula>NOT(ISERROR(SEARCH("Pending",E52)))</formula>
    </cfRule>
    <cfRule type="containsText" dxfId="351" priority="1392" operator="containsText" text="Received ">
      <formula>NOT(ISERROR(SEARCH("Received ",E52)))</formula>
    </cfRule>
    <cfRule type="containsText" dxfId="350" priority="1391" operator="containsText" text="Received">
      <formula>NOT(ISERROR(SEARCH("Received",E52)))</formula>
    </cfRule>
    <cfRule type="containsText" dxfId="349" priority="1390" operator="containsText" text="Pending">
      <formula>NOT(ISERROR(SEARCH("Pending",E52)))</formula>
    </cfRule>
    <cfRule type="containsText" dxfId="348" priority="1389" operator="containsText" text="Received ">
      <formula>NOT(ISERROR(SEARCH("Received ",E52)))</formula>
    </cfRule>
    <cfRule type="containsText" dxfId="347" priority="1388" operator="containsText" text="Received">
      <formula>NOT(ISERROR(SEARCH("Received",E52)))</formula>
    </cfRule>
    <cfRule type="containsText" dxfId="346" priority="1386" operator="containsText" text="Pending">
      <formula>NOT(ISERROR(SEARCH("Pending",E52)))</formula>
    </cfRule>
    <cfRule type="containsText" dxfId="345" priority="1385" operator="containsText" text="Received ">
      <formula>NOT(ISERROR(SEARCH("Received ",E52)))</formula>
    </cfRule>
    <cfRule type="containsText" dxfId="344" priority="1384" operator="containsText" text="Received">
      <formula>NOT(ISERROR(SEARCH("Received",E52)))</formula>
    </cfRule>
    <cfRule type="containsText" dxfId="343" priority="1382" operator="containsText" text="Received ">
      <formula>NOT(ISERROR(SEARCH("Received ",E52)))</formula>
    </cfRule>
    <cfRule type="containsText" dxfId="342" priority="1383" operator="containsText" text="Pending">
      <formula>NOT(ISERROR(SEARCH("Pending",E52)))</formula>
    </cfRule>
    <cfRule type="containsText" dxfId="341" priority="1380" operator="containsText" text="Pending">
      <formula>NOT(ISERROR(SEARCH("Pending",E52)))</formula>
    </cfRule>
  </conditionalFormatting>
  <conditionalFormatting sqref="E52:E60">
    <cfRule type="containsText" dxfId="340" priority="1374" operator="containsText" text="Pending">
      <formula>NOT(ISERROR(SEARCH("Pending",E52)))</formula>
    </cfRule>
  </conditionalFormatting>
  <conditionalFormatting sqref="E52:E158">
    <cfRule type="containsText" dxfId="339" priority="1379" operator="containsText" text="Received ">
      <formula>NOT(ISERROR(SEARCH("Received ",E52)))</formula>
    </cfRule>
    <cfRule type="containsText" dxfId="338" priority="1378" operator="containsText" text="Received">
      <formula>NOT(ISERROR(SEARCH("Received",E52)))</formula>
    </cfRule>
  </conditionalFormatting>
  <conditionalFormatting sqref="E53:E60">
    <cfRule type="containsText" dxfId="337" priority="1373" operator="containsText" text="Received ">
      <formula>NOT(ISERROR(SEARCH("Received ",E53)))</formula>
    </cfRule>
    <cfRule type="containsText" dxfId="336" priority="1372" operator="containsText" text="Received">
      <formula>NOT(ISERROR(SEARCH("Received",E53)))</formula>
    </cfRule>
    <cfRule type="containsText" dxfId="335" priority="1371" operator="containsText" text="Pending">
      <formula>NOT(ISERROR(SEARCH("Pending",E53)))</formula>
    </cfRule>
    <cfRule type="containsText" dxfId="334" priority="1370" operator="containsText" text="Received ">
      <formula>NOT(ISERROR(SEARCH("Received ",E53)))</formula>
    </cfRule>
    <cfRule type="containsText" dxfId="333" priority="1369" operator="containsText" text="Received">
      <formula>NOT(ISERROR(SEARCH("Received",E53)))</formula>
    </cfRule>
    <cfRule type="containsText" dxfId="332" priority="1368" operator="containsText" text="Pending">
      <formula>NOT(ISERROR(SEARCH("Pending",E53)))</formula>
    </cfRule>
    <cfRule type="containsText" dxfId="331" priority="1367" operator="containsText" text="Received ">
      <formula>NOT(ISERROR(SEARCH("Received ",E53)))</formula>
    </cfRule>
    <cfRule type="containsText" dxfId="330" priority="1364" operator="containsText" text="Received ">
      <formula>NOT(ISERROR(SEARCH("Received ",E53)))</formula>
    </cfRule>
    <cfRule type="containsText" dxfId="329" priority="1360" operator="containsText" text="Received">
      <formula>NOT(ISERROR(SEARCH("Received",E53)))</formula>
    </cfRule>
    <cfRule type="containsText" dxfId="328" priority="1361" operator="containsText" text="Received ">
      <formula>NOT(ISERROR(SEARCH("Received ",E53)))</formula>
    </cfRule>
    <cfRule type="containsText" dxfId="327" priority="1362" operator="containsText" text="Pending">
      <formula>NOT(ISERROR(SEARCH("Pending",E53)))</formula>
    </cfRule>
    <cfRule type="containsText" dxfId="326" priority="1363" operator="containsText" text="Received">
      <formula>NOT(ISERROR(SEARCH("Received",E53)))</formula>
    </cfRule>
    <cfRule type="containsText" dxfId="325" priority="1366" operator="containsText" text="Received">
      <formula>NOT(ISERROR(SEARCH("Received",E53)))</formula>
    </cfRule>
    <cfRule type="containsText" dxfId="324" priority="1365" operator="containsText" text="Pending">
      <formula>NOT(ISERROR(SEARCH("Pending",E53)))</formula>
    </cfRule>
  </conditionalFormatting>
  <conditionalFormatting sqref="E53:E75">
    <cfRule type="containsText" dxfId="323" priority="1254" operator="containsText" text="Pending">
      <formula>NOT(ISERROR(SEARCH("Pending",E53)))</formula>
    </cfRule>
  </conditionalFormatting>
  <conditionalFormatting sqref="E61:E75">
    <cfRule type="containsText" dxfId="322" priority="1248" operator="containsText" text="Pending">
      <formula>NOT(ISERROR(SEARCH("Pending",E61)))</formula>
    </cfRule>
    <cfRule type="containsText" dxfId="321" priority="1249" operator="containsText" text="Received">
      <formula>NOT(ISERROR(SEARCH("Received",E61)))</formula>
    </cfRule>
    <cfRule type="containsText" dxfId="320" priority="1250" operator="containsText" text="Received ">
      <formula>NOT(ISERROR(SEARCH("Received ",E61)))</formula>
    </cfRule>
    <cfRule type="containsText" dxfId="319" priority="1251" operator="containsText" text="Pending">
      <formula>NOT(ISERROR(SEARCH("Pending",E61)))</formula>
    </cfRule>
    <cfRule type="containsText" dxfId="318" priority="1252" operator="containsText" text="Received">
      <formula>NOT(ISERROR(SEARCH("Received",E61)))</formula>
    </cfRule>
    <cfRule type="containsText" dxfId="317" priority="1253" operator="containsText" text="Received ">
      <formula>NOT(ISERROR(SEARCH("Received ",E61)))</formula>
    </cfRule>
    <cfRule type="containsText" dxfId="316" priority="1246" operator="containsText" text="Received">
      <formula>NOT(ISERROR(SEARCH("Received",E61)))</formula>
    </cfRule>
    <cfRule type="containsText" dxfId="315" priority="1244" operator="containsText" text="Received ">
      <formula>NOT(ISERROR(SEARCH("Received ",E61)))</formula>
    </cfRule>
    <cfRule type="containsText" dxfId="314" priority="1243" operator="containsText" text="Received">
      <formula>NOT(ISERROR(SEARCH("Received",E61)))</formula>
    </cfRule>
    <cfRule type="containsText" dxfId="313" priority="1245" operator="containsText" text="Pending">
      <formula>NOT(ISERROR(SEARCH("Pending",E61)))</formula>
    </cfRule>
    <cfRule type="containsText" dxfId="312" priority="1242" operator="containsText" text="Pending">
      <formula>NOT(ISERROR(SEARCH("Pending",E61)))</formula>
    </cfRule>
    <cfRule type="containsText" dxfId="311" priority="1247" operator="containsText" text="Received ">
      <formula>NOT(ISERROR(SEARCH("Received ",E61)))</formula>
    </cfRule>
    <cfRule type="containsText" dxfId="310" priority="1241" operator="containsText" text="Received ">
      <formula>NOT(ISERROR(SEARCH("Received ",E61)))</formula>
    </cfRule>
    <cfRule type="containsText" dxfId="309" priority="1240" operator="containsText" text="Received">
      <formula>NOT(ISERROR(SEARCH("Received",E61)))</formula>
    </cfRule>
  </conditionalFormatting>
  <conditionalFormatting sqref="E159">
    <cfRule type="containsText" dxfId="308" priority="585" operator="containsText" text="Received">
      <formula>NOT(ISERROR(SEARCH("Received",E159)))</formula>
    </cfRule>
    <cfRule type="containsText" dxfId="307" priority="576" operator="containsText" text="Received">
      <formula>NOT(ISERROR(SEARCH("Received",E159)))</formula>
    </cfRule>
    <cfRule type="containsText" dxfId="306" priority="577" operator="containsText" text="Received ">
      <formula>NOT(ISERROR(SEARCH("Received ",E159)))</formula>
    </cfRule>
    <cfRule type="containsText" dxfId="305" priority="578" operator="containsText" text="Pending">
      <formula>NOT(ISERROR(SEARCH("Pending",E159)))</formula>
    </cfRule>
    <cfRule type="containsText" dxfId="304" priority="579" operator="containsText" text="Received">
      <formula>NOT(ISERROR(SEARCH("Received",E159)))</formula>
    </cfRule>
    <cfRule type="containsText" dxfId="303" priority="580" operator="containsText" text="Received ">
      <formula>NOT(ISERROR(SEARCH("Received ",E159)))</formula>
    </cfRule>
    <cfRule type="containsText" dxfId="302" priority="581" operator="containsText" text="Pending">
      <formula>NOT(ISERROR(SEARCH("Pending",E159)))</formula>
    </cfRule>
    <cfRule type="containsText" dxfId="301" priority="582" operator="containsText" text="Received">
      <formula>NOT(ISERROR(SEARCH("Received",E159)))</formula>
    </cfRule>
    <cfRule type="containsText" dxfId="300" priority="583" operator="containsText" text="Received ">
      <formula>NOT(ISERROR(SEARCH("Received ",E159)))</formula>
    </cfRule>
    <cfRule type="containsText" dxfId="299" priority="584" operator="containsText" text="Pending">
      <formula>NOT(ISERROR(SEARCH("Pending",E159)))</formula>
    </cfRule>
    <cfRule type="containsText" dxfId="298" priority="586" operator="containsText" text="Received ">
      <formula>NOT(ISERROR(SEARCH("Received ",E159)))</formula>
    </cfRule>
    <cfRule type="containsText" dxfId="297" priority="587" operator="containsText" text="Pending">
      <formula>NOT(ISERROR(SEARCH("Pending",E159)))</formula>
    </cfRule>
    <cfRule type="containsText" dxfId="296" priority="588" operator="containsText" text="Received">
      <formula>NOT(ISERROR(SEARCH("Received",E159)))</formula>
    </cfRule>
    <cfRule type="containsText" dxfId="295" priority="589" operator="containsText" text="Received ">
      <formula>NOT(ISERROR(SEARCH("Received ",E159)))</formula>
    </cfRule>
    <cfRule type="containsText" dxfId="294" priority="590" operator="containsText" text="Pending">
      <formula>NOT(ISERROR(SEARCH("Pending",E159)))</formula>
    </cfRule>
  </conditionalFormatting>
  <conditionalFormatting sqref="E159:E160">
    <cfRule type="containsText" dxfId="293" priority="593" operator="containsText" text="Pending">
      <formula>NOT(ISERROR(SEARCH("Pending",E159)))</formula>
    </cfRule>
    <cfRule type="containsText" dxfId="292" priority="592" operator="containsText" text="Received ">
      <formula>NOT(ISERROR(SEARCH("Received ",E159)))</formula>
    </cfRule>
    <cfRule type="containsText" dxfId="291" priority="591" operator="containsText" text="Received">
      <formula>NOT(ISERROR(SEARCH("Received",E159)))</formula>
    </cfRule>
  </conditionalFormatting>
  <conditionalFormatting sqref="E160">
    <cfRule type="containsText" dxfId="290" priority="624" operator="containsText" text="Pending">
      <formula>NOT(ISERROR(SEARCH("Pending",E160)))</formula>
    </cfRule>
    <cfRule type="containsText" dxfId="289" priority="623" operator="containsText" text="Received ">
      <formula>NOT(ISERROR(SEARCH("Received ",E160)))</formula>
    </cfRule>
    <cfRule type="containsText" dxfId="288" priority="622" operator="containsText" text="Received">
      <formula>NOT(ISERROR(SEARCH("Received",E160)))</formula>
    </cfRule>
    <cfRule type="containsText" dxfId="287" priority="621" operator="containsText" text="Pending">
      <formula>NOT(ISERROR(SEARCH("Pending",E160)))</formula>
    </cfRule>
    <cfRule type="containsText" dxfId="286" priority="613" operator="containsText" text="Received">
      <formula>NOT(ISERROR(SEARCH("Received",E160)))</formula>
    </cfRule>
    <cfRule type="containsText" dxfId="285" priority="619" operator="containsText" text="Received">
      <formula>NOT(ISERROR(SEARCH("Received",E160)))</formula>
    </cfRule>
    <cfRule type="containsText" dxfId="284" priority="616" operator="containsText" text="Received">
      <formula>NOT(ISERROR(SEARCH("Received",E160)))</formula>
    </cfRule>
    <cfRule type="containsText" dxfId="283" priority="617" operator="containsText" text="Received ">
      <formula>NOT(ISERROR(SEARCH("Received ",E160)))</formula>
    </cfRule>
    <cfRule type="containsText" dxfId="282" priority="618" operator="containsText" text="Pending">
      <formula>NOT(ISERROR(SEARCH("Pending",E160)))</formula>
    </cfRule>
    <cfRule type="containsText" dxfId="281" priority="620" operator="containsText" text="Received ">
      <formula>NOT(ISERROR(SEARCH("Received ",E160)))</formula>
    </cfRule>
    <cfRule type="containsText" dxfId="280" priority="610" operator="containsText" text="Received">
      <formula>NOT(ISERROR(SEARCH("Received",E160)))</formula>
    </cfRule>
    <cfRule type="containsText" dxfId="279" priority="611" operator="containsText" text="Received ">
      <formula>NOT(ISERROR(SEARCH("Received ",E160)))</formula>
    </cfRule>
    <cfRule type="containsText" dxfId="278" priority="612" operator="containsText" text="Pending">
      <formula>NOT(ISERROR(SEARCH("Pending",E160)))</formula>
    </cfRule>
    <cfRule type="containsText" dxfId="277" priority="615" operator="containsText" text="Pending">
      <formula>NOT(ISERROR(SEARCH("Pending",E160)))</formula>
    </cfRule>
    <cfRule type="containsText" dxfId="276" priority="614" operator="containsText" text="Received ">
      <formula>NOT(ISERROR(SEARCH("Received ",E160)))</formula>
    </cfRule>
  </conditionalFormatting>
  <conditionalFormatting sqref="E161">
    <cfRule type="containsText" dxfId="275" priority="555" operator="containsText" text="Pending">
      <formula>NOT(ISERROR(SEARCH("Pending",E161)))</formula>
    </cfRule>
    <cfRule type="containsText" dxfId="274" priority="556" operator="containsText" text="Received">
      <formula>NOT(ISERROR(SEARCH("Received",E161)))</formula>
    </cfRule>
    <cfRule type="containsText" dxfId="273" priority="557" operator="containsText" text="Received ">
      <formula>NOT(ISERROR(SEARCH("Received ",E161)))</formula>
    </cfRule>
    <cfRule type="containsText" dxfId="272" priority="558" operator="containsText" text="Pending">
      <formula>NOT(ISERROR(SEARCH("Pending",E161)))</formula>
    </cfRule>
    <cfRule type="containsText" dxfId="271" priority="560" operator="containsText" text="Received ">
      <formula>NOT(ISERROR(SEARCH("Received ",E161)))</formula>
    </cfRule>
    <cfRule type="containsText" dxfId="270" priority="561" operator="containsText" text="Pending">
      <formula>NOT(ISERROR(SEARCH("Pending",E161)))</formula>
    </cfRule>
    <cfRule type="containsText" dxfId="269" priority="559" operator="containsText" text="Received">
      <formula>NOT(ISERROR(SEARCH("Received",E161)))</formula>
    </cfRule>
    <cfRule type="containsText" dxfId="268" priority="552" operator="containsText" text="Pending">
      <formula>NOT(ISERROR(SEARCH("Pending",E161)))</formula>
    </cfRule>
    <cfRule type="containsText" dxfId="267" priority="548" operator="containsText" text="Received ">
      <formula>NOT(ISERROR(SEARCH("Received ",E161)))</formula>
    </cfRule>
    <cfRule type="containsText" dxfId="266" priority="549" operator="containsText" text="Pending">
      <formula>NOT(ISERROR(SEARCH("Pending",E161)))</formula>
    </cfRule>
    <cfRule type="containsText" dxfId="265" priority="550" operator="containsText" text="Received">
      <formula>NOT(ISERROR(SEARCH("Received",E161)))</formula>
    </cfRule>
    <cfRule type="containsText" dxfId="264" priority="547" operator="containsText" text="Received">
      <formula>NOT(ISERROR(SEARCH("Received",E161)))</formula>
    </cfRule>
    <cfRule type="containsText" dxfId="263" priority="553" operator="containsText" text="Received">
      <formula>NOT(ISERROR(SEARCH("Received",E161)))</formula>
    </cfRule>
    <cfRule type="containsText" dxfId="262" priority="554" operator="containsText" text="Received ">
      <formula>NOT(ISERROR(SEARCH("Received ",E161)))</formula>
    </cfRule>
    <cfRule type="containsText" dxfId="261" priority="551" operator="containsText" text="Received ">
      <formula>NOT(ISERROR(SEARCH("Received ",E161)))</formula>
    </cfRule>
  </conditionalFormatting>
  <conditionalFormatting sqref="E161:E177">
    <cfRule type="containsText" dxfId="260" priority="527" operator="containsText" text="Received">
      <formula>NOT(ISERROR(SEARCH("Received",E161)))</formula>
    </cfRule>
    <cfRule type="containsText" dxfId="259" priority="528" operator="containsText" text="Received ">
      <formula>NOT(ISERROR(SEARCH("Received ",E161)))</formula>
    </cfRule>
    <cfRule type="containsText" dxfId="258" priority="529" operator="containsText" text="Pending">
      <formula>NOT(ISERROR(SEARCH("Pending",E161)))</formula>
    </cfRule>
  </conditionalFormatting>
  <conditionalFormatting sqref="E162:E177">
    <cfRule type="containsText" dxfId="257" priority="522" operator="containsText" text="Received ">
      <formula>NOT(ISERROR(SEARCH("Received ",E162)))</formula>
    </cfRule>
    <cfRule type="containsText" dxfId="256" priority="521" operator="containsText" text="Received">
      <formula>NOT(ISERROR(SEARCH("Received",E162)))</formula>
    </cfRule>
    <cfRule type="containsText" dxfId="255" priority="526" operator="containsText" text="Pending">
      <formula>NOT(ISERROR(SEARCH("Pending",E162)))</formula>
    </cfRule>
    <cfRule type="containsText" dxfId="254" priority="516" operator="containsText" text="Received ">
      <formula>NOT(ISERROR(SEARCH("Received ",E162)))</formula>
    </cfRule>
    <cfRule type="containsText" dxfId="253" priority="515" operator="containsText" text="Received">
      <formula>NOT(ISERROR(SEARCH("Received",E162)))</formula>
    </cfRule>
    <cfRule type="containsText" dxfId="252" priority="520" operator="containsText" text="Pending">
      <formula>NOT(ISERROR(SEARCH("Pending",E162)))</formula>
    </cfRule>
    <cfRule type="containsText" dxfId="251" priority="517" operator="containsText" text="Pending">
      <formula>NOT(ISERROR(SEARCH("Pending",E162)))</formula>
    </cfRule>
    <cfRule type="containsText" dxfId="250" priority="518" operator="containsText" text="Received">
      <formula>NOT(ISERROR(SEARCH("Received",E162)))</formula>
    </cfRule>
    <cfRule type="containsText" dxfId="249" priority="519" operator="containsText" text="Received ">
      <formula>NOT(ISERROR(SEARCH("Received ",E162)))</formula>
    </cfRule>
    <cfRule type="containsText" dxfId="248" priority="525" operator="containsText" text="Received ">
      <formula>NOT(ISERROR(SEARCH("Received ",E162)))</formula>
    </cfRule>
    <cfRule type="containsText" dxfId="247" priority="524" operator="containsText" text="Received">
      <formula>NOT(ISERROR(SEARCH("Received",E162)))</formula>
    </cfRule>
    <cfRule type="containsText" dxfId="246" priority="523" operator="containsText" text="Pending">
      <formula>NOT(ISERROR(SEARCH("Pending",E162)))</formula>
    </cfRule>
  </conditionalFormatting>
  <conditionalFormatting sqref="E162:E178">
    <cfRule type="containsText" dxfId="245" priority="34" operator="containsText" text="Pending">
      <formula>NOT(ISERROR(SEARCH("Pending",E162)))</formula>
    </cfRule>
    <cfRule type="containsText" dxfId="244" priority="32" operator="containsText" text="Received">
      <formula>NOT(ISERROR(SEARCH("Received",E162)))</formula>
    </cfRule>
    <cfRule type="containsText" dxfId="243" priority="33" operator="containsText" text="Received ">
      <formula>NOT(ISERROR(SEARCH("Received ",E162)))</formula>
    </cfRule>
  </conditionalFormatting>
  <conditionalFormatting sqref="E178">
    <cfRule type="containsText" dxfId="242" priority="29" operator="containsText" text="Received">
      <formula>NOT(ISERROR(SEARCH("Received",E178)))</formula>
    </cfRule>
    <cfRule type="containsText" dxfId="241" priority="28" operator="containsText" text="Pending">
      <formula>NOT(ISERROR(SEARCH("Pending",E178)))</formula>
    </cfRule>
    <cfRule type="containsText" dxfId="240" priority="22" operator="containsText" text="Pending">
      <formula>NOT(ISERROR(SEARCH("Pending",E178)))</formula>
    </cfRule>
    <cfRule type="containsText" dxfId="239" priority="23" operator="containsText" text="Received">
      <formula>NOT(ISERROR(SEARCH("Received",E178)))</formula>
    </cfRule>
    <cfRule type="containsText" dxfId="238" priority="24" operator="containsText" text="Received ">
      <formula>NOT(ISERROR(SEARCH("Received ",E178)))</formula>
    </cfRule>
    <cfRule type="containsText" dxfId="237" priority="25" operator="containsText" text="Pending">
      <formula>NOT(ISERROR(SEARCH("Pending",E178)))</formula>
    </cfRule>
    <cfRule type="containsText" dxfId="236" priority="26" operator="containsText" text="Received">
      <formula>NOT(ISERROR(SEARCH("Received",E178)))</formula>
    </cfRule>
    <cfRule type="containsText" dxfId="235" priority="4" operator="containsText" text="Received ">
      <formula>NOT(ISERROR(SEARCH("Received ",E178)))</formula>
    </cfRule>
    <cfRule type="containsText" dxfId="234" priority="5" operator="containsText" text="Pending">
      <formula>NOT(ISERROR(SEARCH("Pending",E178)))</formula>
    </cfRule>
    <cfRule type="containsText" dxfId="233" priority="3" operator="containsText" text="Received">
      <formula>NOT(ISERROR(SEARCH("Received",E178)))</formula>
    </cfRule>
    <cfRule type="containsText" dxfId="232" priority="27" operator="containsText" text="Received ">
      <formula>NOT(ISERROR(SEARCH("Received ",E178)))</formula>
    </cfRule>
    <cfRule type="containsText" dxfId="231" priority="20" operator="containsText" text="Received">
      <formula>NOT(ISERROR(SEARCH("Received",E178)))</formula>
    </cfRule>
    <cfRule type="containsText" dxfId="230" priority="21" operator="containsText" text="Received ">
      <formula>NOT(ISERROR(SEARCH("Received ",E178)))</formula>
    </cfRule>
    <cfRule type="containsText" dxfId="229" priority="31" operator="containsText" text="Pending">
      <formula>NOT(ISERROR(SEARCH("Pending",E178)))</formula>
    </cfRule>
    <cfRule type="containsText" dxfId="228" priority="30" operator="containsText" text="Received ">
      <formula>NOT(ISERROR(SEARCH("Received ",E178)))</formula>
    </cfRule>
  </conditionalFormatting>
  <conditionalFormatting sqref="H1">
    <cfRule type="duplicateValues" dxfId="227" priority="1524"/>
    <cfRule type="duplicateValues" dxfId="226" priority="1520"/>
    <cfRule type="duplicateValues" dxfId="225" priority="1519"/>
    <cfRule type="duplicateValues" dxfId="224" priority="1533"/>
    <cfRule type="duplicateValues" dxfId="223" priority="1525"/>
    <cfRule type="duplicateValues" dxfId="222" priority="1526"/>
    <cfRule type="duplicateValues" dxfId="221" priority="1527"/>
    <cfRule type="duplicateValues" dxfId="220" priority="1528"/>
    <cfRule type="duplicateValues" dxfId="219" priority="1534"/>
    <cfRule type="duplicateValues" dxfId="218" priority="1529"/>
    <cfRule type="duplicateValues" dxfId="217" priority="1530"/>
    <cfRule type="duplicateValues" dxfId="216" priority="1531"/>
    <cfRule type="duplicateValues" dxfId="215" priority="1532"/>
    <cfRule type="duplicateValues" dxfId="214" priority="1523"/>
    <cfRule type="duplicateValues" dxfId="213" priority="1522"/>
    <cfRule type="duplicateValues" dxfId="212" priority="1521"/>
  </conditionalFormatting>
  <conditionalFormatting sqref="H1:H177 H179:H1048576">
    <cfRule type="duplicateValues" dxfId="211" priority="205"/>
  </conditionalFormatting>
  <conditionalFormatting sqref="H53:H59">
    <cfRule type="duplicateValues" dxfId="210" priority="1352"/>
    <cfRule type="duplicateValues" dxfId="209" priority="1356"/>
    <cfRule type="duplicateValues" dxfId="208" priority="1347"/>
    <cfRule type="duplicateValues" dxfId="207" priority="1348"/>
    <cfRule type="duplicateValues" dxfId="206" priority="1349"/>
    <cfRule type="duplicateValues" dxfId="205" priority="1350"/>
    <cfRule type="duplicateValues" dxfId="204" priority="1351"/>
    <cfRule type="duplicateValues" dxfId="203" priority="1353"/>
    <cfRule type="duplicateValues" dxfId="202" priority="1354"/>
    <cfRule type="duplicateValues" dxfId="201" priority="1355"/>
  </conditionalFormatting>
  <conditionalFormatting sqref="H159">
    <cfRule type="duplicateValues" dxfId="200" priority="575"/>
    <cfRule type="duplicateValues" dxfId="199" priority="566"/>
    <cfRule type="duplicateValues" dxfId="198" priority="565"/>
    <cfRule type="duplicateValues" dxfId="197" priority="564"/>
    <cfRule type="duplicateValues" dxfId="196" priority="563"/>
    <cfRule type="duplicateValues" dxfId="195" priority="567"/>
    <cfRule type="duplicateValues" dxfId="194" priority="571"/>
    <cfRule type="duplicateValues" dxfId="193" priority="573"/>
    <cfRule type="duplicateValues" dxfId="192" priority="574"/>
    <cfRule type="duplicateValues" dxfId="191" priority="570"/>
    <cfRule type="duplicateValues" dxfId="190" priority="569"/>
    <cfRule type="duplicateValues" dxfId="189" priority="568"/>
  </conditionalFormatting>
  <conditionalFormatting sqref="H160">
    <cfRule type="duplicateValues" dxfId="188" priority="604"/>
    <cfRule type="duplicateValues" dxfId="187" priority="602"/>
    <cfRule type="duplicateValues" dxfId="186" priority="601"/>
    <cfRule type="duplicateValues" dxfId="185" priority="600"/>
    <cfRule type="duplicateValues" dxfId="184" priority="599"/>
    <cfRule type="duplicateValues" dxfId="183" priority="598"/>
    <cfRule type="duplicateValues" dxfId="182" priority="596"/>
    <cfRule type="duplicateValues" dxfId="181" priority="595"/>
    <cfRule type="duplicateValues" dxfId="180" priority="594"/>
    <cfRule type="duplicateValues" dxfId="179" priority="597"/>
    <cfRule type="duplicateValues" dxfId="178" priority="606"/>
    <cfRule type="duplicateValues" dxfId="177" priority="605"/>
  </conditionalFormatting>
  <conditionalFormatting sqref="H161">
    <cfRule type="duplicateValues" dxfId="176" priority="533"/>
    <cfRule type="duplicateValues" dxfId="175" priority="532"/>
    <cfRule type="duplicateValues" dxfId="174" priority="531"/>
    <cfRule type="duplicateValues" dxfId="173" priority="530"/>
    <cfRule type="duplicateValues" dxfId="172" priority="543"/>
    <cfRule type="duplicateValues" dxfId="171" priority="542"/>
    <cfRule type="duplicateValues" dxfId="170" priority="541"/>
    <cfRule type="duplicateValues" dxfId="169" priority="539"/>
    <cfRule type="duplicateValues" dxfId="168" priority="538"/>
    <cfRule type="duplicateValues" dxfId="167" priority="537"/>
    <cfRule type="duplicateValues" dxfId="166" priority="536"/>
    <cfRule type="duplicateValues" dxfId="165" priority="535"/>
    <cfRule type="duplicateValues" dxfId="164" priority="534"/>
  </conditionalFormatting>
  <conditionalFormatting sqref="H162:H177">
    <cfRule type="duplicateValues" dxfId="163" priority="501"/>
    <cfRule type="duplicateValues" dxfId="162" priority="500"/>
    <cfRule type="duplicateValues" dxfId="161" priority="499"/>
    <cfRule type="duplicateValues" dxfId="160" priority="498"/>
    <cfRule type="duplicateValues" dxfId="159" priority="503"/>
    <cfRule type="duplicateValues" dxfId="158" priority="504"/>
    <cfRule type="duplicateValues" dxfId="157" priority="505"/>
    <cfRule type="duplicateValues" dxfId="156" priority="506"/>
    <cfRule type="duplicateValues" dxfId="155" priority="509"/>
    <cfRule type="duplicateValues" dxfId="154" priority="510"/>
    <cfRule type="duplicateValues" dxfId="153" priority="511"/>
    <cfRule type="duplicateValues" dxfId="152" priority="507"/>
    <cfRule type="duplicateValues" dxfId="151" priority="502"/>
  </conditionalFormatting>
  <conditionalFormatting sqref="H178">
    <cfRule type="duplicateValues" dxfId="150" priority="19"/>
    <cfRule type="duplicateValues" dxfId="149" priority="12"/>
    <cfRule type="duplicateValues" dxfId="148" priority="7"/>
    <cfRule type="duplicateValues" dxfId="147" priority="11"/>
    <cfRule type="duplicateValues" dxfId="146" priority="10"/>
    <cfRule type="duplicateValues" dxfId="145" priority="9"/>
    <cfRule type="duplicateValues" dxfId="144" priority="8"/>
    <cfRule type="duplicateValues" dxfId="143" priority="6"/>
    <cfRule type="duplicateValues" dxfId="142" priority="13"/>
    <cfRule type="duplicateValues" dxfId="141" priority="18"/>
    <cfRule type="duplicateValues" dxfId="140" priority="17"/>
    <cfRule type="duplicateValues" dxfId="139" priority="16"/>
    <cfRule type="duplicateValues" dxfId="138" priority="15"/>
    <cfRule type="duplicateValues" dxfId="137" priority="14"/>
  </conditionalFormatting>
  <conditionalFormatting sqref="H179:H1048576 H1:H8">
    <cfRule type="duplicateValues" dxfId="136" priority="1449"/>
  </conditionalFormatting>
  <conditionalFormatting sqref="H179:H1048576 H1:H15">
    <cfRule type="duplicateValues" dxfId="135" priority="1444"/>
  </conditionalFormatting>
  <conditionalFormatting sqref="H179:H1048576 H1:H27">
    <cfRule type="duplicateValues" dxfId="134" priority="1437"/>
  </conditionalFormatting>
  <conditionalFormatting sqref="H179:H1048576 H1:H70">
    <cfRule type="duplicateValues" dxfId="133" priority="1167"/>
  </conditionalFormatting>
  <conditionalFormatting sqref="H179:H1048576 H1:H158">
    <cfRule type="duplicateValues" dxfId="132" priority="960"/>
    <cfRule type="duplicateValues" dxfId="131" priority="951"/>
    <cfRule type="duplicateValues" dxfId="130" priority="752"/>
    <cfRule type="duplicateValues" dxfId="129" priority="711"/>
    <cfRule type="duplicateValues" dxfId="128" priority="712"/>
    <cfRule type="duplicateValues" dxfId="127" priority="690"/>
    <cfRule type="duplicateValues" dxfId="126" priority="688"/>
    <cfRule type="duplicateValues" dxfId="125" priority="687"/>
    <cfRule type="duplicateValues" dxfId="124" priority="998"/>
    <cfRule type="duplicateValues" dxfId="123" priority="709"/>
    <cfRule type="duplicateValues" dxfId="122" priority="710"/>
    <cfRule type="duplicateValues" dxfId="121" priority="689"/>
  </conditionalFormatting>
  <conditionalFormatting sqref="H179:H1048576 H1:H160">
    <cfRule type="duplicateValues" dxfId="120" priority="562"/>
  </conditionalFormatting>
  <conditionalFormatting sqref="Q2:Q178 T66:U178">
    <cfRule type="containsText" dxfId="119" priority="2" operator="containsText" text="Pending">
      <formula>NOT(ISERROR(SEARCH("Pending",Q2)))</formula>
    </cfRule>
  </conditionalFormatting>
  <conditionalFormatting sqref="T65">
    <cfRule type="duplicateValues" dxfId="118" priority="695"/>
    <cfRule type="duplicateValues" dxfId="117" priority="694"/>
    <cfRule type="duplicateValues" dxfId="116" priority="693"/>
    <cfRule type="duplicateValues" dxfId="115" priority="692"/>
    <cfRule type="duplicateValues" dxfId="114" priority="691"/>
    <cfRule type="duplicateValues" dxfId="113" priority="696"/>
    <cfRule type="duplicateValues" dxfId="112" priority="697"/>
    <cfRule type="duplicateValues" dxfId="111" priority="698"/>
    <cfRule type="duplicateValues" dxfId="110" priority="69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"/>
  <sheetViews>
    <sheetView topLeftCell="B1" zoomScale="90" zoomScaleNormal="90" workbookViewId="0">
      <selection activeCell="L21" sqref="L21"/>
    </sheetView>
  </sheetViews>
  <sheetFormatPr defaultColWidth="17.84375" defaultRowHeight="24"/>
  <cols>
    <col min="1" max="1" width="3.3828125" bestFit="1" customWidth="1"/>
    <col min="2" max="2" width="9.53515625" bestFit="1" customWidth="1"/>
    <col min="3" max="3" width="18.53515625" bestFit="1" customWidth="1"/>
    <col min="4" max="4" width="4.3046875" bestFit="1" customWidth="1"/>
    <col min="5" max="5" width="9.53515625" bestFit="1" customWidth="1"/>
    <col min="6" max="6" width="12.84375" bestFit="1" customWidth="1"/>
    <col min="7" max="7" width="16.3046875" bestFit="1" customWidth="1"/>
    <col min="8" max="8" width="15.15234375" bestFit="1" customWidth="1"/>
    <col min="9" max="9" width="11.3046875" bestFit="1" customWidth="1"/>
    <col min="10" max="10" width="7.3828125" bestFit="1" customWidth="1"/>
    <col min="11" max="11" width="17.69140625" bestFit="1" customWidth="1"/>
    <col min="12" max="12" width="19.84375" bestFit="1" customWidth="1"/>
    <col min="13" max="13" width="11.15234375" bestFit="1" customWidth="1"/>
    <col min="14" max="14" width="15.84375" bestFit="1" customWidth="1"/>
    <col min="15" max="15" width="16.3828125" bestFit="1" customWidth="1"/>
    <col min="16" max="16" width="15.69140625" bestFit="1" customWidth="1"/>
    <col min="17" max="17" width="15.84375" bestFit="1" customWidth="1"/>
    <col min="18" max="18" width="18.3046875" customWidth="1"/>
    <col min="19" max="19" width="15.3828125" customWidth="1"/>
    <col min="20" max="20" width="17.69140625" bestFit="1" customWidth="1"/>
    <col min="21" max="21" width="12.84375" bestFit="1" customWidth="1"/>
    <col min="22" max="22" width="11.3828125" bestFit="1" customWidth="1"/>
    <col min="23" max="23" width="8.3828125" bestFit="1" customWidth="1"/>
    <col min="24" max="24" width="7.3046875" bestFit="1" customWidth="1"/>
    <col min="25" max="25" width="14.3828125" bestFit="1" customWidth="1"/>
    <col min="26" max="26" width="15.84375" bestFit="1" customWidth="1"/>
    <col min="27" max="27" width="7.3828125" bestFit="1" customWidth="1"/>
    <col min="28" max="28" width="6.3828125" bestFit="1" customWidth="1"/>
  </cols>
  <sheetData>
    <row r="1" spans="1:28" ht="39.5" thickBo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1" t="s">
        <v>11</v>
      </c>
      <c r="M1" s="13" t="s">
        <v>264</v>
      </c>
      <c r="N1" s="11" t="s">
        <v>265</v>
      </c>
      <c r="O1" s="3" t="s">
        <v>14</v>
      </c>
      <c r="P1" s="13" t="s">
        <v>266</v>
      </c>
      <c r="Q1" s="3" t="s">
        <v>16</v>
      </c>
      <c r="R1" s="1" t="s">
        <v>17</v>
      </c>
      <c r="S1" s="3" t="s">
        <v>18</v>
      </c>
      <c r="T1" s="6" t="s">
        <v>19</v>
      </c>
      <c r="U1" s="1" t="s">
        <v>20</v>
      </c>
      <c r="V1" s="5" t="s">
        <v>21</v>
      </c>
      <c r="W1" s="3" t="s">
        <v>22</v>
      </c>
      <c r="X1" s="5" t="s">
        <v>23</v>
      </c>
      <c r="Y1" s="3" t="s">
        <v>24</v>
      </c>
      <c r="Z1" s="3" t="s">
        <v>25</v>
      </c>
      <c r="AA1" s="7" t="s">
        <v>26</v>
      </c>
      <c r="AB1" s="7" t="s">
        <v>27</v>
      </c>
    </row>
    <row r="2" spans="1:28">
      <c r="A2" s="16">
        <f>SUBTOTAL(3,C$2:C2)</f>
        <v>1</v>
      </c>
      <c r="B2" s="16" t="s">
        <v>1086</v>
      </c>
      <c r="C2" s="16" t="s">
        <v>1409</v>
      </c>
      <c r="D2" s="16" t="s">
        <v>32</v>
      </c>
      <c r="E2" s="16" t="s">
        <v>33</v>
      </c>
      <c r="F2" t="s">
        <v>1404</v>
      </c>
      <c r="G2" s="19" t="s">
        <v>1405</v>
      </c>
      <c r="H2">
        <v>18701</v>
      </c>
      <c r="I2" s="17">
        <v>46151</v>
      </c>
      <c r="J2" s="16">
        <f t="shared" ref="J2" ca="1" si="0">+TODAY()-I2</f>
        <v>33</v>
      </c>
      <c r="K2" s="16">
        <f t="shared" ref="K2" si="1">+U2</f>
        <v>46153</v>
      </c>
      <c r="L2" s="38" t="s">
        <v>1406</v>
      </c>
      <c r="M2" s="16">
        <v>19000</v>
      </c>
      <c r="N2" s="16">
        <v>19000</v>
      </c>
      <c r="O2" s="17">
        <v>46150</v>
      </c>
      <c r="P2" s="16">
        <f t="shared" ref="P2" si="2">+M2-N2</f>
        <v>0</v>
      </c>
      <c r="Q2" s="17">
        <v>46151</v>
      </c>
      <c r="R2" s="16" t="s">
        <v>1406</v>
      </c>
      <c r="S2" s="16" t="s">
        <v>1407</v>
      </c>
      <c r="T2" s="16" t="s">
        <v>1800</v>
      </c>
      <c r="U2" s="17">
        <v>46153</v>
      </c>
      <c r="V2" s="16">
        <v>21500</v>
      </c>
      <c r="W2" s="16"/>
      <c r="X2" s="16" t="s">
        <v>29</v>
      </c>
      <c r="Y2" s="16" t="s">
        <v>1408</v>
      </c>
      <c r="Z2" s="18">
        <f t="shared" ref="Z2" si="3">+W2*100/M2</f>
        <v>0</v>
      </c>
      <c r="AA2" s="16"/>
      <c r="AB2" s="16" t="s">
        <v>320</v>
      </c>
    </row>
    <row r="3" spans="1:28">
      <c r="A3" s="16">
        <f>SUBTOTAL(3,C$2:C3)</f>
        <v>2</v>
      </c>
      <c r="B3" s="16" t="s">
        <v>1086</v>
      </c>
      <c r="C3" s="16" t="s">
        <v>1409</v>
      </c>
      <c r="D3" s="16" t="s">
        <v>32</v>
      </c>
      <c r="E3" s="16" t="s">
        <v>33</v>
      </c>
      <c r="F3" t="s">
        <v>1606</v>
      </c>
      <c r="G3" s="19" t="s">
        <v>1607</v>
      </c>
      <c r="H3">
        <v>18702</v>
      </c>
      <c r="I3" s="17">
        <v>46157</v>
      </c>
      <c r="J3" s="16">
        <f t="shared" ref="J3" ca="1" si="4">+TODAY()-I3</f>
        <v>27</v>
      </c>
      <c r="K3" s="16">
        <f t="shared" ref="K3" si="5">+U3</f>
        <v>46161</v>
      </c>
      <c r="L3" s="38" t="s">
        <v>1406</v>
      </c>
      <c r="M3" s="16">
        <v>23500</v>
      </c>
      <c r="N3" s="16">
        <v>18500</v>
      </c>
      <c r="O3" s="17">
        <v>46157</v>
      </c>
      <c r="P3" s="16">
        <f t="shared" ref="P3" si="6">+M3-N3</f>
        <v>5000</v>
      </c>
      <c r="Q3" s="17">
        <v>46161</v>
      </c>
      <c r="R3" s="16" t="s">
        <v>1406</v>
      </c>
      <c r="S3" s="16" t="s">
        <v>1407</v>
      </c>
      <c r="T3" s="16" t="s">
        <v>2014</v>
      </c>
      <c r="U3" s="17">
        <v>46161</v>
      </c>
      <c r="V3" s="16">
        <v>27400</v>
      </c>
      <c r="W3" s="16"/>
      <c r="X3" s="16" t="s">
        <v>29</v>
      </c>
      <c r="Y3" s="16" t="s">
        <v>1408</v>
      </c>
      <c r="Z3" s="18">
        <f t="shared" ref="Z3" si="7">+W3*100/M3</f>
        <v>0</v>
      </c>
      <c r="AA3" s="16"/>
      <c r="AB3" s="16" t="s">
        <v>320</v>
      </c>
    </row>
    <row r="4" spans="1:28">
      <c r="A4" s="16">
        <f>SUBTOTAL(3,C$2:C4)</f>
        <v>3</v>
      </c>
      <c r="B4" s="16" t="s">
        <v>1086</v>
      </c>
      <c r="C4" s="16" t="s">
        <v>1409</v>
      </c>
      <c r="D4" s="16" t="s">
        <v>32</v>
      </c>
      <c r="E4" s="16" t="s">
        <v>33</v>
      </c>
      <c r="F4" t="s">
        <v>1404</v>
      </c>
      <c r="G4" s="19" t="s">
        <v>1845</v>
      </c>
      <c r="H4">
        <v>18703</v>
      </c>
      <c r="I4" s="17">
        <v>46162</v>
      </c>
      <c r="J4" s="16">
        <f t="shared" ref="J4" ca="1" si="8">+TODAY()-I4</f>
        <v>22</v>
      </c>
      <c r="K4" s="16">
        <f t="shared" ref="K4" si="9">+U4</f>
        <v>46165</v>
      </c>
      <c r="L4" s="38" t="s">
        <v>1406</v>
      </c>
      <c r="M4" s="16">
        <v>20000</v>
      </c>
      <c r="N4" s="16">
        <v>17000</v>
      </c>
      <c r="O4" s="17">
        <v>46162</v>
      </c>
      <c r="P4" s="16">
        <f t="shared" ref="P4" si="10">+M4-N4</f>
        <v>3000</v>
      </c>
      <c r="Q4" s="17">
        <v>46164</v>
      </c>
      <c r="R4" s="16" t="s">
        <v>1406</v>
      </c>
      <c r="S4" s="16" t="s">
        <v>1407</v>
      </c>
      <c r="T4" s="16" t="s">
        <v>2015</v>
      </c>
      <c r="U4" s="17">
        <v>46165</v>
      </c>
      <c r="V4" s="16">
        <v>22500</v>
      </c>
      <c r="W4" s="16"/>
      <c r="X4" s="16" t="s">
        <v>29</v>
      </c>
      <c r="Y4" s="16" t="s">
        <v>1408</v>
      </c>
      <c r="Z4" s="18">
        <f t="shared" ref="Z4" si="11">+W4*100/M4</f>
        <v>0</v>
      </c>
      <c r="AA4" s="16"/>
      <c r="AB4" s="16" t="s">
        <v>320</v>
      </c>
    </row>
    <row r="5" spans="1:28">
      <c r="A5" s="16">
        <f>SUBTOTAL(3,C$2:C5)</f>
        <v>4</v>
      </c>
      <c r="B5" s="16" t="s">
        <v>1086</v>
      </c>
      <c r="C5" s="16" t="s">
        <v>1409</v>
      </c>
      <c r="D5" s="16" t="s">
        <v>32</v>
      </c>
      <c r="E5" s="16" t="s">
        <v>33</v>
      </c>
      <c r="F5" t="s">
        <v>1846</v>
      </c>
      <c r="G5" s="19" t="s">
        <v>1845</v>
      </c>
      <c r="H5">
        <v>18704</v>
      </c>
      <c r="I5" s="17">
        <v>46162</v>
      </c>
      <c r="J5" s="16">
        <f t="shared" ref="J5" ca="1" si="12">+TODAY()-I5</f>
        <v>22</v>
      </c>
      <c r="K5" s="16">
        <f t="shared" ref="K5" si="13">+U5</f>
        <v>46165</v>
      </c>
      <c r="L5" s="38" t="s">
        <v>1406</v>
      </c>
      <c r="M5" s="16">
        <v>30200</v>
      </c>
      <c r="N5" s="16">
        <v>26000</v>
      </c>
      <c r="O5" s="17">
        <v>46162</v>
      </c>
      <c r="P5" s="16">
        <f t="shared" ref="P5" si="14">+M5-N5</f>
        <v>4200</v>
      </c>
      <c r="Q5" s="17">
        <v>46164</v>
      </c>
      <c r="R5" s="16" t="s">
        <v>1406</v>
      </c>
      <c r="S5" s="16" t="s">
        <v>1407</v>
      </c>
      <c r="T5" s="16" t="s">
        <v>2016</v>
      </c>
      <c r="U5" s="17">
        <v>46165</v>
      </c>
      <c r="V5" s="16">
        <v>33500</v>
      </c>
      <c r="W5" s="16"/>
      <c r="X5" s="16" t="s">
        <v>29</v>
      </c>
      <c r="Y5" s="16" t="s">
        <v>1408</v>
      </c>
      <c r="Z5" s="18">
        <f t="shared" ref="Z5" si="15">+W5*100/M5</f>
        <v>0</v>
      </c>
      <c r="AA5" s="16"/>
      <c r="AB5" s="16" t="s">
        <v>320</v>
      </c>
    </row>
    <row r="6" spans="1:28">
      <c r="A6" s="16">
        <f>SUBTOTAL(3,C$2:C6)</f>
        <v>5</v>
      </c>
      <c r="B6" s="16" t="s">
        <v>1086</v>
      </c>
      <c r="C6" s="16" t="s">
        <v>1409</v>
      </c>
      <c r="D6" s="16" t="s">
        <v>32</v>
      </c>
      <c r="E6" s="16" t="s">
        <v>33</v>
      </c>
      <c r="F6" t="s">
        <v>1847</v>
      </c>
      <c r="G6" s="19" t="s">
        <v>1607</v>
      </c>
      <c r="H6">
        <v>18705</v>
      </c>
      <c r="I6" s="17">
        <v>46162</v>
      </c>
      <c r="J6" s="16">
        <f t="shared" ref="J6" ca="1" si="16">+TODAY()-I6</f>
        <v>22</v>
      </c>
      <c r="K6" s="16">
        <f t="shared" ref="K6" si="17">+U6</f>
        <v>46165</v>
      </c>
      <c r="L6" s="38" t="s">
        <v>1406</v>
      </c>
      <c r="M6" s="16">
        <v>13500</v>
      </c>
      <c r="N6" s="16">
        <v>10500</v>
      </c>
      <c r="O6" s="17">
        <v>46162</v>
      </c>
      <c r="P6" s="16">
        <f t="shared" ref="P6" si="18">+M6-N6</f>
        <v>3000</v>
      </c>
      <c r="Q6" s="17">
        <v>46164</v>
      </c>
      <c r="R6" s="16" t="s">
        <v>1406</v>
      </c>
      <c r="S6" s="16" t="s">
        <v>1407</v>
      </c>
      <c r="T6" s="16" t="s">
        <v>2017</v>
      </c>
      <c r="U6" s="17">
        <v>46165</v>
      </c>
      <c r="V6" s="16">
        <v>15500</v>
      </c>
      <c r="W6" s="16"/>
      <c r="X6" s="16" t="s">
        <v>29</v>
      </c>
      <c r="Y6" s="16" t="s">
        <v>1408</v>
      </c>
      <c r="Z6" s="18">
        <f t="shared" ref="Z6" si="19">+W6*100/M6</f>
        <v>0</v>
      </c>
      <c r="AA6" s="16"/>
      <c r="AB6" s="16" t="s">
        <v>320</v>
      </c>
    </row>
    <row r="7" spans="1:28">
      <c r="A7" s="16">
        <f>SUBTOTAL(3,C$2:C7)</f>
        <v>6</v>
      </c>
      <c r="B7" s="16" t="s">
        <v>1086</v>
      </c>
      <c r="C7" s="16" t="s">
        <v>1409</v>
      </c>
      <c r="D7" s="16" t="s">
        <v>32</v>
      </c>
      <c r="E7" s="16" t="s">
        <v>33</v>
      </c>
      <c r="F7" t="s">
        <v>2140</v>
      </c>
      <c r="G7" s="19" t="s">
        <v>1607</v>
      </c>
      <c r="H7">
        <v>18706</v>
      </c>
      <c r="I7" s="17">
        <v>46168</v>
      </c>
      <c r="J7" s="16">
        <f t="shared" ref="J7" ca="1" si="20">+TODAY()-I7</f>
        <v>16</v>
      </c>
      <c r="K7" s="16">
        <f t="shared" ref="K7" si="21">+U7</f>
        <v>46174</v>
      </c>
      <c r="L7" s="38" t="s">
        <v>1406</v>
      </c>
      <c r="M7" s="16">
        <v>21000</v>
      </c>
      <c r="N7" s="16">
        <v>16000</v>
      </c>
      <c r="O7" s="17">
        <v>46168</v>
      </c>
      <c r="P7" s="16">
        <f t="shared" ref="P7" si="22">+M7-N7</f>
        <v>5000</v>
      </c>
      <c r="Q7" s="17">
        <v>46170</v>
      </c>
      <c r="R7" s="16" t="s">
        <v>1406</v>
      </c>
      <c r="S7" s="16" t="s">
        <v>1407</v>
      </c>
      <c r="T7" s="16" t="s">
        <v>2703</v>
      </c>
      <c r="U7" s="17">
        <v>46174</v>
      </c>
      <c r="V7" s="16">
        <v>25000</v>
      </c>
      <c r="W7" s="16"/>
      <c r="X7" s="16" t="s">
        <v>29</v>
      </c>
      <c r="Y7" s="16" t="s">
        <v>1408</v>
      </c>
      <c r="Z7" s="18">
        <f t="shared" ref="Z7" si="23">+W7*100/M7</f>
        <v>0</v>
      </c>
      <c r="AA7" s="16"/>
      <c r="AB7" s="16" t="s">
        <v>320</v>
      </c>
    </row>
    <row r="8" spans="1:28">
      <c r="A8" s="16">
        <f>SUBTOTAL(3,C$2:C8)</f>
        <v>7</v>
      </c>
      <c r="B8" s="16" t="s">
        <v>1086</v>
      </c>
      <c r="C8" s="16" t="s">
        <v>1409</v>
      </c>
      <c r="D8" s="16" t="s">
        <v>32</v>
      </c>
      <c r="E8" s="16" t="s">
        <v>33</v>
      </c>
      <c r="F8" t="s">
        <v>2306</v>
      </c>
      <c r="G8" s="19" t="s">
        <v>1845</v>
      </c>
      <c r="H8">
        <v>18707</v>
      </c>
      <c r="I8" s="17">
        <v>46169</v>
      </c>
      <c r="J8" s="16">
        <f t="shared" ref="J8" ca="1" si="24">+TODAY()-I8</f>
        <v>15</v>
      </c>
      <c r="K8" s="16">
        <f t="shared" ref="K8" si="25">+U8</f>
        <v>46174</v>
      </c>
      <c r="L8" s="38" t="s">
        <v>1406</v>
      </c>
      <c r="M8" s="16">
        <v>20000</v>
      </c>
      <c r="N8" s="16">
        <v>17000</v>
      </c>
      <c r="O8" s="17">
        <v>46169</v>
      </c>
      <c r="P8" s="16">
        <f t="shared" ref="P8" si="26">+M8-N8</f>
        <v>3000</v>
      </c>
      <c r="Q8" s="17">
        <v>46171</v>
      </c>
      <c r="R8" s="16" t="s">
        <v>1406</v>
      </c>
      <c r="S8" s="16" t="s">
        <v>1407</v>
      </c>
      <c r="T8" s="16" t="s">
        <v>2703</v>
      </c>
      <c r="U8" s="17">
        <v>46174</v>
      </c>
      <c r="V8" s="16">
        <f>22500+4500</f>
        <v>27000</v>
      </c>
      <c r="W8" s="16"/>
      <c r="X8" s="16" t="s">
        <v>29</v>
      </c>
      <c r="Y8" s="16" t="s">
        <v>1408</v>
      </c>
      <c r="Z8" s="18">
        <f t="shared" ref="Z8" si="27">+W8*100/M8</f>
        <v>0</v>
      </c>
      <c r="AA8" s="16"/>
      <c r="AB8" s="16" t="s">
        <v>320</v>
      </c>
    </row>
    <row r="9" spans="1:28">
      <c r="A9" s="16">
        <f>SUBTOTAL(3,C$2:C9)</f>
        <v>8</v>
      </c>
      <c r="B9" s="16" t="s">
        <v>1086</v>
      </c>
      <c r="C9" s="16" t="s">
        <v>1409</v>
      </c>
      <c r="D9" s="16" t="s">
        <v>32</v>
      </c>
      <c r="E9" s="16" t="s">
        <v>33</v>
      </c>
      <c r="F9" t="s">
        <v>2348</v>
      </c>
      <c r="G9" s="19" t="s">
        <v>2349</v>
      </c>
      <c r="H9">
        <v>18708</v>
      </c>
      <c r="I9" s="17">
        <v>46171</v>
      </c>
      <c r="J9" s="16">
        <f t="shared" ref="J9" ca="1" si="28">+TODAY()-I9</f>
        <v>13</v>
      </c>
      <c r="K9" s="16">
        <f t="shared" ref="K9" si="29">+U9</f>
        <v>46174</v>
      </c>
      <c r="L9" s="38" t="s">
        <v>1406</v>
      </c>
      <c r="M9" s="16">
        <v>4500</v>
      </c>
      <c r="N9" s="16">
        <v>2500</v>
      </c>
      <c r="O9" s="17">
        <v>46171</v>
      </c>
      <c r="P9" s="16">
        <f t="shared" ref="P9" si="30">+M9-N9</f>
        <v>2000</v>
      </c>
      <c r="Q9" s="17">
        <v>46176</v>
      </c>
      <c r="R9" s="16" t="s">
        <v>1406</v>
      </c>
      <c r="S9" s="16" t="s">
        <v>1407</v>
      </c>
      <c r="T9" s="16" t="s">
        <v>2703</v>
      </c>
      <c r="U9" s="17">
        <v>46174</v>
      </c>
      <c r="V9" s="16">
        <v>6500</v>
      </c>
      <c r="W9" s="16"/>
      <c r="X9" s="16" t="s">
        <v>29</v>
      </c>
      <c r="Y9" s="16" t="s">
        <v>1408</v>
      </c>
      <c r="Z9" s="18">
        <f t="shared" ref="Z9" si="31">+W9*100/M9</f>
        <v>0</v>
      </c>
      <c r="AA9" s="16"/>
      <c r="AB9" s="16" t="s">
        <v>320</v>
      </c>
    </row>
  </sheetData>
  <conditionalFormatting sqref="E2:E9">
    <cfRule type="containsText" dxfId="109" priority="84" operator="containsText" text="Received">
      <formula>NOT(ISERROR(SEARCH("Received",E2)))</formula>
    </cfRule>
    <cfRule type="containsText" dxfId="108" priority="89" operator="containsText" text="Pending">
      <formula>NOT(ISERROR(SEARCH("Pending",E2)))</formula>
    </cfRule>
    <cfRule type="containsText" dxfId="107" priority="86" operator="containsText" text="Pending">
      <formula>NOT(ISERROR(SEARCH("Pending",E2)))</formula>
    </cfRule>
    <cfRule type="containsText" dxfId="106" priority="85" operator="containsText" text="Received ">
      <formula>NOT(ISERROR(SEARCH("Received ",E2)))</formula>
    </cfRule>
    <cfRule type="containsText" dxfId="105" priority="69" operator="containsText" text="Received">
      <formula>NOT(ISERROR(SEARCH("Received",E2)))</formula>
    </cfRule>
    <cfRule type="containsText" dxfId="104" priority="70" operator="containsText" text="Received ">
      <formula>NOT(ISERROR(SEARCH("Received ",E2)))</formula>
    </cfRule>
    <cfRule type="containsText" dxfId="103" priority="71" operator="containsText" text="Pending">
      <formula>NOT(ISERROR(SEARCH("Pending",E2)))</formula>
    </cfRule>
    <cfRule type="containsText" dxfId="102" priority="72" operator="containsText" text="Received">
      <formula>NOT(ISERROR(SEARCH("Received",E2)))</formula>
    </cfRule>
    <cfRule type="containsText" dxfId="101" priority="73" operator="containsText" text="Received ">
      <formula>NOT(ISERROR(SEARCH("Received ",E2)))</formula>
    </cfRule>
    <cfRule type="containsText" dxfId="100" priority="74" operator="containsText" text="Pending">
      <formula>NOT(ISERROR(SEARCH("Pending",E2)))</formula>
    </cfRule>
    <cfRule type="containsText" dxfId="99" priority="75" operator="containsText" text="Received">
      <formula>NOT(ISERROR(SEARCH("Received",E2)))</formula>
    </cfRule>
    <cfRule type="containsText" dxfId="98" priority="76" operator="containsText" text="Received ">
      <formula>NOT(ISERROR(SEARCH("Received ",E2)))</formula>
    </cfRule>
    <cfRule type="containsText" dxfId="97" priority="77" operator="containsText" text="Pending">
      <formula>NOT(ISERROR(SEARCH("Pending",E2)))</formula>
    </cfRule>
    <cfRule type="containsText" dxfId="96" priority="78" operator="containsText" text="Received">
      <formula>NOT(ISERROR(SEARCH("Received",E2)))</formula>
    </cfRule>
    <cfRule type="containsText" dxfId="95" priority="79" operator="containsText" text="Received ">
      <formula>NOT(ISERROR(SEARCH("Received ",E2)))</formula>
    </cfRule>
    <cfRule type="containsText" dxfId="94" priority="80" operator="containsText" text="Pending">
      <formula>NOT(ISERROR(SEARCH("Pending",E2)))</formula>
    </cfRule>
    <cfRule type="containsText" dxfId="93" priority="81" operator="containsText" text="Received">
      <formula>NOT(ISERROR(SEARCH("Received",E2)))</formula>
    </cfRule>
    <cfRule type="containsText" dxfId="92" priority="82" operator="containsText" text="Received ">
      <formula>NOT(ISERROR(SEARCH("Received ",E2)))</formula>
    </cfRule>
    <cfRule type="containsText" dxfId="91" priority="83" operator="containsText" text="Pending">
      <formula>NOT(ISERROR(SEARCH("Pending",E2)))</formula>
    </cfRule>
  </conditionalFormatting>
  <conditionalFormatting sqref="H1">
    <cfRule type="duplicateValues" dxfId="90" priority="128"/>
    <cfRule type="duplicateValues" dxfId="89" priority="113"/>
    <cfRule type="duplicateValues" dxfId="88" priority="114"/>
    <cfRule type="duplicateValues" dxfId="87" priority="115"/>
    <cfRule type="duplicateValues" dxfId="86" priority="116"/>
    <cfRule type="duplicateValues" dxfId="85" priority="117"/>
    <cfRule type="duplicateValues" dxfId="84" priority="118"/>
    <cfRule type="duplicateValues" dxfId="83" priority="119"/>
    <cfRule type="duplicateValues" dxfId="82" priority="120"/>
    <cfRule type="duplicateValues" dxfId="81" priority="121"/>
    <cfRule type="duplicateValues" dxfId="80" priority="122"/>
    <cfRule type="duplicateValues" dxfId="79" priority="123"/>
    <cfRule type="duplicateValues" dxfId="78" priority="124"/>
    <cfRule type="duplicateValues" dxfId="77" priority="125"/>
    <cfRule type="duplicateValues" dxfId="76" priority="126"/>
    <cfRule type="duplicateValues" dxfId="75" priority="127"/>
  </conditionalFormatting>
  <conditionalFormatting sqref="H1:H1048576">
    <cfRule type="duplicateValues" dxfId="74" priority="63"/>
    <cfRule type="duplicateValues" dxfId="73" priority="1"/>
  </conditionalFormatting>
  <conditionalFormatting sqref="Q2:Q9">
    <cfRule type="containsText" dxfId="72" priority="64" operator="containsText" text="Pending">
      <formula>NOT(ISERROR(SEARCH("Pending",Q2)))</formula>
    </cfRule>
  </conditionalFormatting>
  <conditionalFormatting sqref="T2:U9">
    <cfRule type="containsText" dxfId="71" priority="2" operator="containsText" text="Pending">
      <formula>NOT(ISERROR(SEARCH("Pending",T2)))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64"/>
  <sheetViews>
    <sheetView topLeftCell="A250" workbookViewId="0">
      <selection activeCell="K269" sqref="K269"/>
    </sheetView>
  </sheetViews>
  <sheetFormatPr defaultRowHeight="24"/>
  <cols>
    <col min="3" max="3" width="26.53515625" bestFit="1" customWidth="1"/>
    <col min="6" max="6" width="14.15234375" bestFit="1" customWidth="1"/>
    <col min="7" max="7" width="10.3828125" bestFit="1" customWidth="1"/>
    <col min="8" max="8" width="21.3046875" bestFit="1" customWidth="1"/>
    <col min="9" max="9" width="11.53515625" bestFit="1" customWidth="1"/>
    <col min="12" max="12" width="45" bestFit="1" customWidth="1"/>
    <col min="15" max="15" width="11.53515625" bestFit="1" customWidth="1"/>
    <col min="16" max="16" width="20" bestFit="1" customWidth="1"/>
    <col min="17" max="17" width="11.15234375" bestFit="1" customWidth="1"/>
    <col min="18" max="18" width="20" bestFit="1" customWidth="1"/>
  </cols>
  <sheetData>
    <row r="1" spans="1:28" ht="65">
      <c r="A1" s="20" t="s">
        <v>0</v>
      </c>
      <c r="B1" s="20" t="s">
        <v>1</v>
      </c>
      <c r="C1" s="21" t="s">
        <v>2</v>
      </c>
      <c r="D1" s="20" t="s">
        <v>3</v>
      </c>
      <c r="E1" s="22" t="s">
        <v>4</v>
      </c>
      <c r="F1" s="22" t="s">
        <v>7</v>
      </c>
      <c r="G1" s="20" t="s">
        <v>8</v>
      </c>
      <c r="H1" s="23" t="s">
        <v>9</v>
      </c>
      <c r="I1" s="22" t="s">
        <v>10</v>
      </c>
      <c r="J1" s="24" t="s">
        <v>12</v>
      </c>
      <c r="K1" s="22" t="s">
        <v>13</v>
      </c>
      <c r="L1" s="22" t="s">
        <v>14</v>
      </c>
      <c r="M1" s="24" t="s">
        <v>15</v>
      </c>
      <c r="N1" s="22" t="s">
        <v>16</v>
      </c>
      <c r="O1" s="20" t="s">
        <v>17</v>
      </c>
      <c r="P1" s="22" t="s">
        <v>18</v>
      </c>
      <c r="Q1" s="25" t="s">
        <v>19</v>
      </c>
      <c r="R1" s="20" t="s">
        <v>20</v>
      </c>
      <c r="S1" s="24" t="s">
        <v>21</v>
      </c>
      <c r="T1" s="22" t="s">
        <v>22</v>
      </c>
      <c r="U1" s="24" t="s">
        <v>23</v>
      </c>
      <c r="V1" s="22" t="s">
        <v>24</v>
      </c>
      <c r="W1" s="22" t="s">
        <v>25</v>
      </c>
      <c r="X1" s="26" t="s">
        <v>26</v>
      </c>
      <c r="Y1" s="26" t="s">
        <v>27</v>
      </c>
    </row>
    <row r="2" spans="1:28">
      <c r="A2" s="16">
        <v>1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92</v>
      </c>
      <c r="G2" s="16" t="s">
        <v>34</v>
      </c>
      <c r="H2" s="16">
        <v>17063</v>
      </c>
      <c r="I2" s="17">
        <v>46114</v>
      </c>
      <c r="J2" s="16">
        <v>25</v>
      </c>
      <c r="K2" s="16" t="s">
        <v>33</v>
      </c>
      <c r="L2" s="16" t="s">
        <v>38</v>
      </c>
      <c r="M2" s="16">
        <v>19000</v>
      </c>
      <c r="N2" s="16">
        <v>17000</v>
      </c>
      <c r="O2" s="17">
        <v>46114</v>
      </c>
      <c r="P2" s="16">
        <v>2000</v>
      </c>
      <c r="Q2" s="16" t="s">
        <v>33</v>
      </c>
      <c r="R2" s="16" t="s">
        <v>39</v>
      </c>
      <c r="S2" s="16">
        <v>22800</v>
      </c>
      <c r="T2" s="16" t="s">
        <v>33</v>
      </c>
      <c r="U2" s="16" t="s">
        <v>33</v>
      </c>
      <c r="V2" s="16" t="s">
        <v>28</v>
      </c>
      <c r="W2" s="16">
        <v>3800</v>
      </c>
      <c r="X2" s="16" t="s">
        <v>36</v>
      </c>
      <c r="Y2" s="16" t="s">
        <v>29</v>
      </c>
      <c r="Z2" s="18">
        <v>20</v>
      </c>
      <c r="AA2" s="16"/>
      <c r="AB2" s="16" t="s">
        <v>320</v>
      </c>
    </row>
    <row r="3" spans="1:28" s="44" customFormat="1">
      <c r="A3" s="43">
        <v>2</v>
      </c>
      <c r="B3" s="43" t="s">
        <v>30</v>
      </c>
      <c r="C3" s="43" t="s">
        <v>80</v>
      </c>
      <c r="D3" s="43" t="s">
        <v>32</v>
      </c>
      <c r="E3" s="43" t="s">
        <v>33</v>
      </c>
      <c r="F3" s="43" t="s">
        <v>81</v>
      </c>
      <c r="G3" s="43" t="s">
        <v>59</v>
      </c>
      <c r="H3" s="43">
        <v>17065</v>
      </c>
      <c r="I3" s="45">
        <v>46113</v>
      </c>
      <c r="J3" s="43">
        <v>26</v>
      </c>
      <c r="K3" s="43" t="s">
        <v>33</v>
      </c>
      <c r="L3" s="43" t="s">
        <v>82</v>
      </c>
      <c r="M3" s="43">
        <v>22500</v>
      </c>
      <c r="N3" s="43">
        <v>22500</v>
      </c>
      <c r="O3" s="45">
        <v>46114</v>
      </c>
      <c r="P3" s="43">
        <v>0</v>
      </c>
      <c r="Q3" s="45">
        <v>46114</v>
      </c>
      <c r="R3" s="43" t="s">
        <v>39</v>
      </c>
      <c r="S3" s="43">
        <v>25200</v>
      </c>
      <c r="T3" s="43" t="s">
        <v>33</v>
      </c>
      <c r="U3" s="43" t="s">
        <v>33</v>
      </c>
      <c r="V3" s="43" t="s">
        <v>28</v>
      </c>
      <c r="W3" s="43">
        <v>2700</v>
      </c>
      <c r="X3" s="43" t="s">
        <v>36</v>
      </c>
      <c r="Y3" s="43" t="s">
        <v>29</v>
      </c>
      <c r="Z3" s="46">
        <v>12</v>
      </c>
      <c r="AA3" s="43"/>
      <c r="AB3" s="43" t="s">
        <v>320</v>
      </c>
    </row>
    <row r="4" spans="1:28">
      <c r="A4" s="16">
        <v>3</v>
      </c>
      <c r="B4" s="16" t="s">
        <v>30</v>
      </c>
      <c r="C4" s="16" t="s">
        <v>44</v>
      </c>
      <c r="D4" s="16" t="s">
        <v>32</v>
      </c>
      <c r="E4" s="16" t="s">
        <v>33</v>
      </c>
      <c r="F4" s="16" t="s">
        <v>83</v>
      </c>
      <c r="G4" s="19">
        <v>407</v>
      </c>
      <c r="H4" s="16">
        <v>17066</v>
      </c>
      <c r="I4" s="17">
        <v>46114</v>
      </c>
      <c r="J4" s="16">
        <v>25</v>
      </c>
      <c r="K4" s="16" t="s">
        <v>33</v>
      </c>
      <c r="L4" s="16" t="s">
        <v>84</v>
      </c>
      <c r="M4" s="16">
        <v>27000</v>
      </c>
      <c r="N4" s="16">
        <v>25000</v>
      </c>
      <c r="O4" s="17">
        <v>46114</v>
      </c>
      <c r="P4" s="16">
        <v>2000</v>
      </c>
      <c r="Q4" s="16" t="s">
        <v>33</v>
      </c>
      <c r="R4" s="16" t="s">
        <v>56</v>
      </c>
      <c r="S4" s="16">
        <v>29800</v>
      </c>
      <c r="T4" s="16" t="s">
        <v>33</v>
      </c>
      <c r="U4" s="16" t="s">
        <v>33</v>
      </c>
      <c r="V4" s="16" t="s">
        <v>28</v>
      </c>
      <c r="W4" s="16">
        <v>2800</v>
      </c>
      <c r="X4" s="16" t="s">
        <v>36</v>
      </c>
      <c r="Y4" s="16" t="s">
        <v>29</v>
      </c>
      <c r="Z4" s="18">
        <v>10.37037037037037</v>
      </c>
      <c r="AA4" s="16"/>
      <c r="AB4" s="16" t="s">
        <v>320</v>
      </c>
    </row>
    <row r="5" spans="1:28">
      <c r="A5" s="16">
        <v>4</v>
      </c>
      <c r="B5" s="16" t="s">
        <v>30</v>
      </c>
      <c r="C5" s="16" t="s">
        <v>31</v>
      </c>
      <c r="D5" s="16" t="s">
        <v>32</v>
      </c>
      <c r="E5" s="16" t="s">
        <v>33</v>
      </c>
      <c r="F5" s="16" t="s">
        <v>85</v>
      </c>
      <c r="G5" s="16" t="s">
        <v>34</v>
      </c>
      <c r="H5" s="16">
        <v>17067</v>
      </c>
      <c r="I5" s="17">
        <v>46114</v>
      </c>
      <c r="J5" s="16">
        <v>25</v>
      </c>
      <c r="K5" s="16" t="s">
        <v>33</v>
      </c>
      <c r="L5" s="16" t="s">
        <v>86</v>
      </c>
      <c r="M5" s="16">
        <v>18500</v>
      </c>
      <c r="N5" s="16">
        <v>16500</v>
      </c>
      <c r="O5" s="17">
        <v>46114</v>
      </c>
      <c r="P5" s="16">
        <v>2000</v>
      </c>
      <c r="Q5" s="16" t="s">
        <v>33</v>
      </c>
      <c r="R5" s="16" t="s">
        <v>37</v>
      </c>
      <c r="S5" s="16">
        <v>22500</v>
      </c>
      <c r="T5" s="16" t="s">
        <v>33</v>
      </c>
      <c r="U5" s="16" t="s">
        <v>33</v>
      </c>
      <c r="V5" s="16" t="s">
        <v>28</v>
      </c>
      <c r="W5" s="16">
        <v>4000</v>
      </c>
      <c r="X5" s="16" t="s">
        <v>36</v>
      </c>
      <c r="Y5" s="16" t="s">
        <v>29</v>
      </c>
      <c r="Z5" s="18">
        <v>21.621621621621621</v>
      </c>
      <c r="AA5" s="16"/>
      <c r="AB5" s="16" t="s">
        <v>320</v>
      </c>
    </row>
    <row r="6" spans="1:28">
      <c r="A6" s="16">
        <v>5</v>
      </c>
      <c r="B6" s="16" t="s">
        <v>30</v>
      </c>
      <c r="C6" s="16" t="s">
        <v>31</v>
      </c>
      <c r="D6" s="16" t="s">
        <v>32</v>
      </c>
      <c r="E6" s="16" t="s">
        <v>33</v>
      </c>
      <c r="F6" s="16" t="s">
        <v>93</v>
      </c>
      <c r="G6" s="16" t="s">
        <v>34</v>
      </c>
      <c r="H6" s="16">
        <v>17070</v>
      </c>
      <c r="I6" s="17">
        <v>46114</v>
      </c>
      <c r="J6" s="16">
        <v>25</v>
      </c>
      <c r="K6" s="16" t="s">
        <v>33</v>
      </c>
      <c r="L6" s="16" t="s">
        <v>38</v>
      </c>
      <c r="M6" s="16">
        <v>19000</v>
      </c>
      <c r="N6" s="16">
        <v>17000</v>
      </c>
      <c r="O6" s="17">
        <v>46114</v>
      </c>
      <c r="P6" s="16">
        <v>2000</v>
      </c>
      <c r="Q6" s="16" t="s">
        <v>33</v>
      </c>
      <c r="R6" s="16" t="s">
        <v>39</v>
      </c>
      <c r="S6" s="16">
        <v>22800</v>
      </c>
      <c r="T6" s="16" t="s">
        <v>33</v>
      </c>
      <c r="U6" s="16" t="s">
        <v>33</v>
      </c>
      <c r="V6" s="16" t="s">
        <v>28</v>
      </c>
      <c r="W6" s="16">
        <v>3800</v>
      </c>
      <c r="X6" s="16" t="s">
        <v>36</v>
      </c>
      <c r="Y6" s="16" t="s">
        <v>29</v>
      </c>
      <c r="Z6" s="18">
        <v>20</v>
      </c>
      <c r="AA6" s="16"/>
      <c r="AB6" s="16" t="s">
        <v>320</v>
      </c>
    </row>
    <row r="7" spans="1:28">
      <c r="A7" s="16">
        <v>6</v>
      </c>
      <c r="B7" s="16" t="s">
        <v>30</v>
      </c>
      <c r="C7" s="16" t="s">
        <v>44</v>
      </c>
      <c r="D7" s="16" t="s">
        <v>32</v>
      </c>
      <c r="E7" s="16" t="s">
        <v>33</v>
      </c>
      <c r="F7" s="16" t="s">
        <v>108</v>
      </c>
      <c r="G7" s="19">
        <v>407</v>
      </c>
      <c r="H7" s="16">
        <v>17071</v>
      </c>
      <c r="I7" s="17">
        <v>46113</v>
      </c>
      <c r="J7" s="16">
        <v>26</v>
      </c>
      <c r="K7" s="16" t="s">
        <v>33</v>
      </c>
      <c r="L7" s="16" t="s">
        <v>84</v>
      </c>
      <c r="M7" s="16">
        <v>27000</v>
      </c>
      <c r="N7" s="16">
        <v>25000</v>
      </c>
      <c r="O7" s="17">
        <v>46115</v>
      </c>
      <c r="P7" s="16">
        <v>2000</v>
      </c>
      <c r="Q7" s="16" t="s">
        <v>33</v>
      </c>
      <c r="R7" s="16" t="s">
        <v>78</v>
      </c>
      <c r="S7" s="16">
        <v>29800</v>
      </c>
      <c r="T7" s="16" t="s">
        <v>33</v>
      </c>
      <c r="U7" s="16" t="s">
        <v>33</v>
      </c>
      <c r="V7" s="16" t="s">
        <v>28</v>
      </c>
      <c r="W7" s="16">
        <v>2800</v>
      </c>
      <c r="X7" s="16" t="s">
        <v>36</v>
      </c>
      <c r="Y7" s="16" t="s">
        <v>29</v>
      </c>
      <c r="Z7" s="18">
        <v>10.37037037037037</v>
      </c>
      <c r="AA7" s="16"/>
      <c r="AB7" s="16" t="s">
        <v>320</v>
      </c>
    </row>
    <row r="8" spans="1:28">
      <c r="A8" s="16">
        <v>7</v>
      </c>
      <c r="B8" s="16" t="s">
        <v>30</v>
      </c>
      <c r="C8" s="16" t="s">
        <v>44</v>
      </c>
      <c r="D8" s="16" t="s">
        <v>32</v>
      </c>
      <c r="E8" s="16" t="s">
        <v>33</v>
      </c>
      <c r="F8" s="16" t="s">
        <v>109</v>
      </c>
      <c r="G8" s="19">
        <v>407</v>
      </c>
      <c r="H8" s="16">
        <v>17072</v>
      </c>
      <c r="I8" s="17">
        <v>46113</v>
      </c>
      <c r="J8" s="16">
        <v>26</v>
      </c>
      <c r="K8" s="16" t="s">
        <v>33</v>
      </c>
      <c r="L8" s="16" t="s">
        <v>84</v>
      </c>
      <c r="M8" s="16">
        <v>27000</v>
      </c>
      <c r="N8" s="16">
        <v>25000</v>
      </c>
      <c r="O8" s="17">
        <v>46115</v>
      </c>
      <c r="P8" s="16">
        <v>2000</v>
      </c>
      <c r="Q8" s="16" t="s">
        <v>33</v>
      </c>
      <c r="R8" s="16" t="s">
        <v>78</v>
      </c>
      <c r="S8" s="16">
        <v>29800</v>
      </c>
      <c r="T8" s="16" t="s">
        <v>33</v>
      </c>
      <c r="U8" s="16" t="s">
        <v>33</v>
      </c>
      <c r="V8" s="16" t="s">
        <v>28</v>
      </c>
      <c r="W8" s="16">
        <v>2800</v>
      </c>
      <c r="X8" s="16" t="s">
        <v>36</v>
      </c>
      <c r="Y8" s="16" t="s">
        <v>29</v>
      </c>
      <c r="Z8" s="18">
        <v>10.37037037037037</v>
      </c>
      <c r="AA8" s="16"/>
      <c r="AB8" s="16" t="s">
        <v>320</v>
      </c>
    </row>
    <row r="9" spans="1:28" s="44" customFormat="1">
      <c r="A9" s="43">
        <v>8</v>
      </c>
      <c r="B9" s="43" t="s">
        <v>30</v>
      </c>
      <c r="C9" s="43" t="s">
        <v>119</v>
      </c>
      <c r="D9" s="43" t="s">
        <v>32</v>
      </c>
      <c r="E9" s="43" t="s">
        <v>33</v>
      </c>
      <c r="F9" s="43" t="s">
        <v>120</v>
      </c>
      <c r="G9" s="47" t="s">
        <v>59</v>
      </c>
      <c r="H9" s="43">
        <v>17077</v>
      </c>
      <c r="I9" s="45">
        <v>46114</v>
      </c>
      <c r="J9" s="43">
        <v>25</v>
      </c>
      <c r="K9" s="43" t="s">
        <v>33</v>
      </c>
      <c r="L9" s="43" t="s">
        <v>121</v>
      </c>
      <c r="M9" s="43">
        <v>24000</v>
      </c>
      <c r="N9" s="43">
        <v>24000</v>
      </c>
      <c r="O9" s="45">
        <v>46115</v>
      </c>
      <c r="P9" s="43">
        <v>0</v>
      </c>
      <c r="Q9" s="45">
        <v>46115</v>
      </c>
      <c r="R9" s="43" t="s">
        <v>39</v>
      </c>
      <c r="S9" s="43">
        <v>25200</v>
      </c>
      <c r="T9" s="43" t="s">
        <v>33</v>
      </c>
      <c r="U9" s="43" t="s">
        <v>33</v>
      </c>
      <c r="V9" s="43" t="s">
        <v>28</v>
      </c>
      <c r="W9" s="43">
        <v>1200</v>
      </c>
      <c r="X9" s="43" t="s">
        <v>36</v>
      </c>
      <c r="Y9" s="43" t="s">
        <v>29</v>
      </c>
      <c r="Z9" s="46">
        <v>5</v>
      </c>
      <c r="AA9" s="43"/>
      <c r="AB9" s="43" t="s">
        <v>320</v>
      </c>
    </row>
    <row r="10" spans="1:28">
      <c r="A10" s="16">
        <v>9</v>
      </c>
      <c r="B10" s="16" t="s">
        <v>30</v>
      </c>
      <c r="C10" s="16" t="s">
        <v>31</v>
      </c>
      <c r="D10" s="16" t="s">
        <v>32</v>
      </c>
      <c r="E10" s="16" t="s">
        <v>33</v>
      </c>
      <c r="F10" s="16" t="s">
        <v>128</v>
      </c>
      <c r="G10" s="19" t="s">
        <v>34</v>
      </c>
      <c r="H10" s="16">
        <v>17085</v>
      </c>
      <c r="I10" s="17">
        <v>46115</v>
      </c>
      <c r="J10" s="16">
        <v>24</v>
      </c>
      <c r="K10" s="16" t="s">
        <v>33</v>
      </c>
      <c r="L10" s="16" t="s">
        <v>129</v>
      </c>
      <c r="M10" s="16">
        <v>18000</v>
      </c>
      <c r="N10" s="16">
        <v>16000</v>
      </c>
      <c r="O10" s="17">
        <v>46115</v>
      </c>
      <c r="P10" s="16">
        <v>2000</v>
      </c>
      <c r="Q10" s="16" t="s">
        <v>33</v>
      </c>
      <c r="R10" s="16" t="s">
        <v>56</v>
      </c>
      <c r="S10" s="16">
        <v>20500</v>
      </c>
      <c r="T10" s="16" t="s">
        <v>33</v>
      </c>
      <c r="U10" s="16" t="s">
        <v>33</v>
      </c>
      <c r="V10" s="16" t="s">
        <v>28</v>
      </c>
      <c r="W10" s="16">
        <v>2500</v>
      </c>
      <c r="X10" s="16" t="s">
        <v>36</v>
      </c>
      <c r="Y10" s="16" t="s">
        <v>29</v>
      </c>
      <c r="Z10" s="18">
        <v>13.888888888888889</v>
      </c>
      <c r="AA10" s="16"/>
      <c r="AB10" s="16" t="s">
        <v>320</v>
      </c>
    </row>
    <row r="11" spans="1:28">
      <c r="A11" s="16">
        <v>10</v>
      </c>
      <c r="B11" s="16" t="s">
        <v>30</v>
      </c>
      <c r="C11" s="16" t="s">
        <v>44</v>
      </c>
      <c r="D11" s="16" t="s">
        <v>32</v>
      </c>
      <c r="E11" s="16" t="s">
        <v>33</v>
      </c>
      <c r="F11" s="16" t="s">
        <v>130</v>
      </c>
      <c r="G11" s="19">
        <v>407</v>
      </c>
      <c r="H11" s="16">
        <v>17086</v>
      </c>
      <c r="I11" s="17">
        <v>46115</v>
      </c>
      <c r="J11" s="16">
        <v>24</v>
      </c>
      <c r="K11" s="16" t="s">
        <v>33</v>
      </c>
      <c r="L11" s="16" t="s">
        <v>131</v>
      </c>
      <c r="M11" s="16">
        <v>27000</v>
      </c>
      <c r="N11" s="16">
        <v>25000</v>
      </c>
      <c r="O11" s="17">
        <v>46115</v>
      </c>
      <c r="P11" s="16">
        <v>2000</v>
      </c>
      <c r="Q11" s="16" t="s">
        <v>33</v>
      </c>
      <c r="R11" s="16" t="s">
        <v>56</v>
      </c>
      <c r="S11" s="16">
        <v>29800</v>
      </c>
      <c r="T11" s="16" t="s">
        <v>33</v>
      </c>
      <c r="U11" s="16" t="s">
        <v>33</v>
      </c>
      <c r="V11" s="16" t="s">
        <v>28</v>
      </c>
      <c r="W11" s="16">
        <v>2800</v>
      </c>
      <c r="X11" s="16" t="s">
        <v>36</v>
      </c>
      <c r="Y11" s="16" t="s">
        <v>29</v>
      </c>
      <c r="Z11" s="18">
        <v>10.37037037037037</v>
      </c>
      <c r="AA11" s="16"/>
      <c r="AB11" s="16" t="s">
        <v>320</v>
      </c>
    </row>
    <row r="12" spans="1:28">
      <c r="A12" s="16">
        <v>11</v>
      </c>
      <c r="B12" s="16" t="s">
        <v>30</v>
      </c>
      <c r="C12" s="16" t="s">
        <v>31</v>
      </c>
      <c r="D12" s="16" t="s">
        <v>32</v>
      </c>
      <c r="E12" s="16" t="s">
        <v>33</v>
      </c>
      <c r="F12" s="16" t="s">
        <v>134</v>
      </c>
      <c r="G12" s="16" t="s">
        <v>34</v>
      </c>
      <c r="H12" s="16">
        <v>17087</v>
      </c>
      <c r="I12" s="17">
        <v>46115</v>
      </c>
      <c r="J12" s="16">
        <v>24</v>
      </c>
      <c r="K12" s="16" t="s">
        <v>33</v>
      </c>
      <c r="L12" s="16" t="s">
        <v>35</v>
      </c>
      <c r="M12" s="16">
        <v>23500</v>
      </c>
      <c r="N12" s="16">
        <v>21500</v>
      </c>
      <c r="O12" s="17">
        <v>46115</v>
      </c>
      <c r="P12" s="16">
        <v>2000</v>
      </c>
      <c r="Q12" s="16" t="s">
        <v>33</v>
      </c>
      <c r="R12" s="16" t="s">
        <v>37</v>
      </c>
      <c r="S12" s="16">
        <v>27000</v>
      </c>
      <c r="T12" s="16" t="s">
        <v>33</v>
      </c>
      <c r="U12" s="16" t="s">
        <v>33</v>
      </c>
      <c r="V12" s="16" t="s">
        <v>28</v>
      </c>
      <c r="W12" s="16">
        <v>3500</v>
      </c>
      <c r="X12" s="16" t="s">
        <v>36</v>
      </c>
      <c r="Y12" s="16" t="s">
        <v>29</v>
      </c>
      <c r="Z12" s="18">
        <v>14.893617021276595</v>
      </c>
      <c r="AA12" s="16"/>
      <c r="AB12" s="16" t="s">
        <v>320</v>
      </c>
    </row>
    <row r="13" spans="1:28">
      <c r="A13" s="16">
        <v>12</v>
      </c>
      <c r="B13" s="16" t="s">
        <v>30</v>
      </c>
      <c r="C13" s="16" t="s">
        <v>31</v>
      </c>
      <c r="D13" s="16" t="s">
        <v>32</v>
      </c>
      <c r="E13" s="16" t="s">
        <v>33</v>
      </c>
      <c r="F13" s="16" t="s">
        <v>85</v>
      </c>
      <c r="G13" s="16" t="s">
        <v>34</v>
      </c>
      <c r="H13" s="16">
        <v>17152</v>
      </c>
      <c r="I13" s="17">
        <v>46115</v>
      </c>
      <c r="J13" s="16">
        <v>24</v>
      </c>
      <c r="K13" s="16" t="s">
        <v>33</v>
      </c>
      <c r="L13" s="16" t="s">
        <v>129</v>
      </c>
      <c r="M13" s="16">
        <v>18000</v>
      </c>
      <c r="N13" s="16">
        <v>16000</v>
      </c>
      <c r="O13" s="17">
        <v>46116</v>
      </c>
      <c r="P13" s="16">
        <v>2000</v>
      </c>
      <c r="Q13" s="16" t="s">
        <v>33</v>
      </c>
      <c r="R13" s="16" t="s">
        <v>56</v>
      </c>
      <c r="S13" s="16">
        <v>20500</v>
      </c>
      <c r="T13" s="16" t="s">
        <v>33</v>
      </c>
      <c r="U13" s="16" t="s">
        <v>33</v>
      </c>
      <c r="V13" s="16" t="s">
        <v>28</v>
      </c>
      <c r="W13" s="16">
        <v>2500</v>
      </c>
      <c r="X13" s="16" t="s">
        <v>36</v>
      </c>
      <c r="Y13" s="16" t="s">
        <v>29</v>
      </c>
      <c r="Z13" s="18">
        <v>13.888888888888889</v>
      </c>
      <c r="AA13" s="16"/>
      <c r="AB13" s="16" t="s">
        <v>320</v>
      </c>
    </row>
    <row r="14" spans="1:28">
      <c r="A14" s="16">
        <v>13</v>
      </c>
      <c r="B14" s="16" t="s">
        <v>30</v>
      </c>
      <c r="C14" s="16" t="s">
        <v>44</v>
      </c>
      <c r="D14" s="16" t="s">
        <v>32</v>
      </c>
      <c r="E14" s="16" t="s">
        <v>33</v>
      </c>
      <c r="F14" s="16" t="s">
        <v>150</v>
      </c>
      <c r="G14" s="19">
        <v>407</v>
      </c>
      <c r="H14" s="16">
        <v>17154</v>
      </c>
      <c r="I14" s="17">
        <v>46116</v>
      </c>
      <c r="J14" s="16">
        <v>23</v>
      </c>
      <c r="K14" s="16" t="s">
        <v>33</v>
      </c>
      <c r="L14" s="16" t="s">
        <v>84</v>
      </c>
      <c r="M14" s="16">
        <v>27000</v>
      </c>
      <c r="N14" s="16">
        <v>25000</v>
      </c>
      <c r="O14" s="17">
        <v>46116</v>
      </c>
      <c r="P14" s="16">
        <v>2000</v>
      </c>
      <c r="Q14" s="16" t="s">
        <v>33</v>
      </c>
      <c r="R14" s="16" t="s">
        <v>56</v>
      </c>
      <c r="S14" s="16">
        <v>29800</v>
      </c>
      <c r="T14" s="16" t="s">
        <v>33</v>
      </c>
      <c r="U14" s="16" t="s">
        <v>33</v>
      </c>
      <c r="V14" s="16" t="s">
        <v>28</v>
      </c>
      <c r="W14" s="16">
        <v>2800</v>
      </c>
      <c r="X14" s="16" t="s">
        <v>36</v>
      </c>
      <c r="Y14" s="16" t="s">
        <v>29</v>
      </c>
      <c r="Z14" s="18">
        <v>10.37037037037037</v>
      </c>
      <c r="AA14" s="16"/>
      <c r="AB14" s="16" t="s">
        <v>320</v>
      </c>
    </row>
    <row r="15" spans="1:28">
      <c r="A15" s="16">
        <v>14</v>
      </c>
      <c r="B15" s="16" t="s">
        <v>30</v>
      </c>
      <c r="C15" s="16" t="s">
        <v>44</v>
      </c>
      <c r="D15" s="16" t="s">
        <v>32</v>
      </c>
      <c r="E15" s="16" t="s">
        <v>33</v>
      </c>
      <c r="F15" s="16" t="s">
        <v>172</v>
      </c>
      <c r="G15" s="19">
        <v>407</v>
      </c>
      <c r="H15" s="16">
        <v>17156</v>
      </c>
      <c r="I15" s="17">
        <v>46116</v>
      </c>
      <c r="J15" s="16">
        <v>23</v>
      </c>
      <c r="K15" s="16" t="s">
        <v>33</v>
      </c>
      <c r="L15" s="16" t="s">
        <v>84</v>
      </c>
      <c r="M15" s="16">
        <v>27000</v>
      </c>
      <c r="N15" s="16">
        <v>25000</v>
      </c>
      <c r="O15" s="17">
        <v>46118</v>
      </c>
      <c r="P15" s="16">
        <v>2000</v>
      </c>
      <c r="Q15" s="16" t="s">
        <v>33</v>
      </c>
      <c r="R15" s="16" t="s">
        <v>78</v>
      </c>
      <c r="S15" s="16">
        <v>29800</v>
      </c>
      <c r="T15" s="16" t="s">
        <v>33</v>
      </c>
      <c r="U15" s="16" t="s">
        <v>33</v>
      </c>
      <c r="V15" s="16" t="s">
        <v>28</v>
      </c>
      <c r="W15" s="16">
        <v>2800</v>
      </c>
      <c r="X15" s="16" t="s">
        <v>36</v>
      </c>
      <c r="Y15" s="16" t="s">
        <v>29</v>
      </c>
      <c r="Z15" s="18">
        <v>10.37037037037037</v>
      </c>
      <c r="AA15" s="16"/>
      <c r="AB15" s="16" t="s">
        <v>320</v>
      </c>
    </row>
    <row r="16" spans="1:28">
      <c r="A16" s="16">
        <v>15</v>
      </c>
      <c r="B16" s="16" t="s">
        <v>30</v>
      </c>
      <c r="C16" s="16" t="s">
        <v>119</v>
      </c>
      <c r="D16" s="16" t="s">
        <v>32</v>
      </c>
      <c r="E16" s="16" t="s">
        <v>33</v>
      </c>
      <c r="F16" s="16" t="s">
        <v>175</v>
      </c>
      <c r="G16" s="19" t="s">
        <v>143</v>
      </c>
      <c r="H16" s="16">
        <v>17165</v>
      </c>
      <c r="I16" s="17">
        <v>46116</v>
      </c>
      <c r="J16" s="16">
        <v>23</v>
      </c>
      <c r="K16" s="16" t="s">
        <v>33</v>
      </c>
      <c r="L16" s="16" t="s">
        <v>176</v>
      </c>
      <c r="M16" s="16">
        <v>35000</v>
      </c>
      <c r="N16" s="16">
        <v>30000</v>
      </c>
      <c r="O16" s="17">
        <v>46118</v>
      </c>
      <c r="P16" s="16">
        <v>5000</v>
      </c>
      <c r="Q16" s="16" t="s">
        <v>33</v>
      </c>
      <c r="R16" s="16" t="s">
        <v>37</v>
      </c>
      <c r="S16" s="16">
        <v>38000</v>
      </c>
      <c r="T16" s="16" t="s">
        <v>33</v>
      </c>
      <c r="U16" s="16" t="s">
        <v>33</v>
      </c>
      <c r="V16" s="16" t="s">
        <v>28</v>
      </c>
      <c r="W16" s="16">
        <v>3000</v>
      </c>
      <c r="X16" s="16" t="s">
        <v>36</v>
      </c>
      <c r="Y16" s="16" t="s">
        <v>29</v>
      </c>
      <c r="Z16" s="18">
        <v>8.5714285714285712</v>
      </c>
      <c r="AA16" s="16"/>
      <c r="AB16" s="16" t="s">
        <v>320</v>
      </c>
    </row>
    <row r="17" spans="1:28">
      <c r="A17" s="16">
        <v>16</v>
      </c>
      <c r="B17" s="16" t="s">
        <v>30</v>
      </c>
      <c r="C17" s="16" t="s">
        <v>31</v>
      </c>
      <c r="D17" s="16" t="s">
        <v>32</v>
      </c>
      <c r="E17" s="16" t="s">
        <v>33</v>
      </c>
      <c r="F17" s="16" t="s">
        <v>195</v>
      </c>
      <c r="G17" s="16" t="s">
        <v>34</v>
      </c>
      <c r="H17" s="16">
        <v>17168</v>
      </c>
      <c r="I17" s="17">
        <v>46116</v>
      </c>
      <c r="J17" s="16">
        <v>23</v>
      </c>
      <c r="K17" s="16" t="s">
        <v>33</v>
      </c>
      <c r="L17" s="16" t="s">
        <v>38</v>
      </c>
      <c r="M17" s="16">
        <v>19000</v>
      </c>
      <c r="N17" s="16">
        <v>17000</v>
      </c>
      <c r="O17" s="17">
        <v>46118</v>
      </c>
      <c r="P17" s="16">
        <v>2000</v>
      </c>
      <c r="Q17" s="16" t="s">
        <v>33</v>
      </c>
      <c r="R17" s="16" t="s">
        <v>196</v>
      </c>
      <c r="S17" s="16">
        <v>21800</v>
      </c>
      <c r="T17" s="16" t="s">
        <v>33</v>
      </c>
      <c r="U17" s="16" t="s">
        <v>33</v>
      </c>
      <c r="V17" s="16" t="s">
        <v>28</v>
      </c>
      <c r="W17" s="16">
        <v>2800</v>
      </c>
      <c r="X17" s="16" t="s">
        <v>36</v>
      </c>
      <c r="Y17" s="16" t="s">
        <v>29</v>
      </c>
      <c r="Z17" s="18">
        <v>14.736842105263158</v>
      </c>
      <c r="AA17" s="16"/>
      <c r="AB17" s="16" t="s">
        <v>320</v>
      </c>
    </row>
    <row r="18" spans="1:28">
      <c r="A18" s="16">
        <v>17</v>
      </c>
      <c r="B18" s="16" t="s">
        <v>30</v>
      </c>
      <c r="C18" s="16" t="s">
        <v>31</v>
      </c>
      <c r="D18" s="16" t="s">
        <v>32</v>
      </c>
      <c r="E18" s="16" t="s">
        <v>33</v>
      </c>
      <c r="F18" s="16" t="s">
        <v>197</v>
      </c>
      <c r="G18" s="16" t="s">
        <v>34</v>
      </c>
      <c r="H18" s="16">
        <v>17169</v>
      </c>
      <c r="I18" s="17">
        <v>46117</v>
      </c>
      <c r="J18" s="16">
        <v>22</v>
      </c>
      <c r="K18" s="16" t="s">
        <v>33</v>
      </c>
      <c r="L18" s="16" t="s">
        <v>38</v>
      </c>
      <c r="M18" s="16">
        <v>19000</v>
      </c>
      <c r="N18" s="16">
        <v>17000</v>
      </c>
      <c r="O18" s="17">
        <v>46118</v>
      </c>
      <c r="P18" s="16">
        <v>2000</v>
      </c>
      <c r="Q18" s="16" t="s">
        <v>33</v>
      </c>
      <c r="R18" s="16" t="s">
        <v>39</v>
      </c>
      <c r="S18" s="16">
        <v>21800</v>
      </c>
      <c r="T18" s="16" t="s">
        <v>33</v>
      </c>
      <c r="U18" s="16" t="s">
        <v>33</v>
      </c>
      <c r="V18" s="16" t="s">
        <v>28</v>
      </c>
      <c r="W18" s="16">
        <v>2800</v>
      </c>
      <c r="X18" s="16" t="s">
        <v>36</v>
      </c>
      <c r="Y18" s="16" t="s">
        <v>29</v>
      </c>
      <c r="Z18" s="18">
        <v>14.736842105263158</v>
      </c>
      <c r="AA18" s="16"/>
      <c r="AB18" s="16" t="s">
        <v>320</v>
      </c>
    </row>
    <row r="19" spans="1:28">
      <c r="A19" s="16">
        <v>18</v>
      </c>
      <c r="B19" s="16" t="s">
        <v>30</v>
      </c>
      <c r="C19" s="16" t="s">
        <v>31</v>
      </c>
      <c r="D19" s="16" t="s">
        <v>32</v>
      </c>
      <c r="E19" s="16" t="s">
        <v>33</v>
      </c>
      <c r="F19" s="16" t="s">
        <v>203</v>
      </c>
      <c r="G19" s="16" t="s">
        <v>34</v>
      </c>
      <c r="H19" s="16">
        <v>17171</v>
      </c>
      <c r="I19" s="17">
        <v>46117</v>
      </c>
      <c r="J19" s="16">
        <v>22</v>
      </c>
      <c r="K19" s="16" t="s">
        <v>33</v>
      </c>
      <c r="L19" s="16" t="s">
        <v>55</v>
      </c>
      <c r="M19" s="16">
        <v>18000</v>
      </c>
      <c r="N19" s="16">
        <v>16000</v>
      </c>
      <c r="O19" s="17">
        <v>46118</v>
      </c>
      <c r="P19" s="16">
        <v>2000</v>
      </c>
      <c r="Q19" s="16" t="s">
        <v>33</v>
      </c>
      <c r="R19" s="16" t="s">
        <v>56</v>
      </c>
      <c r="S19" s="16">
        <v>20500</v>
      </c>
      <c r="T19" s="16" t="s">
        <v>33</v>
      </c>
      <c r="U19" s="16" t="s">
        <v>33</v>
      </c>
      <c r="V19" s="16" t="s">
        <v>28</v>
      </c>
      <c r="W19" s="16">
        <v>2500</v>
      </c>
      <c r="X19" s="16" t="s">
        <v>36</v>
      </c>
      <c r="Y19" s="16" t="s">
        <v>29</v>
      </c>
      <c r="Z19" s="18">
        <v>13.888888888888889</v>
      </c>
      <c r="AA19" s="16"/>
      <c r="AB19" s="16" t="s">
        <v>320</v>
      </c>
    </row>
    <row r="20" spans="1:28">
      <c r="A20" s="16">
        <v>19</v>
      </c>
      <c r="B20" s="16" t="s">
        <v>30</v>
      </c>
      <c r="C20" s="16" t="s">
        <v>44</v>
      </c>
      <c r="D20" s="16" t="s">
        <v>32</v>
      </c>
      <c r="E20" s="16" t="s">
        <v>33</v>
      </c>
      <c r="F20" s="16" t="s">
        <v>204</v>
      </c>
      <c r="G20" s="16" t="s">
        <v>34</v>
      </c>
      <c r="H20" s="16">
        <v>17172</v>
      </c>
      <c r="I20" s="17">
        <v>46116</v>
      </c>
      <c r="J20" s="16">
        <v>23</v>
      </c>
      <c r="K20" s="16" t="s">
        <v>33</v>
      </c>
      <c r="L20" s="16" t="s">
        <v>55</v>
      </c>
      <c r="M20" s="16">
        <v>27000</v>
      </c>
      <c r="N20" s="16">
        <v>25000</v>
      </c>
      <c r="O20" s="17">
        <v>46118</v>
      </c>
      <c r="P20" s="16">
        <v>2000</v>
      </c>
      <c r="Q20" s="16" t="s">
        <v>33</v>
      </c>
      <c r="R20" s="16" t="s">
        <v>56</v>
      </c>
      <c r="S20" s="16">
        <v>29800</v>
      </c>
      <c r="T20" s="16" t="s">
        <v>33</v>
      </c>
      <c r="U20" s="16" t="s">
        <v>33</v>
      </c>
      <c r="V20" s="16" t="s">
        <v>28</v>
      </c>
      <c r="W20" s="16">
        <v>2800</v>
      </c>
      <c r="X20" s="16" t="s">
        <v>36</v>
      </c>
      <c r="Y20" s="16" t="s">
        <v>29</v>
      </c>
      <c r="Z20" s="18">
        <v>10.37037037037037</v>
      </c>
      <c r="AA20" s="16"/>
      <c r="AB20" s="16" t="s">
        <v>320</v>
      </c>
    </row>
    <row r="21" spans="1:28">
      <c r="A21" s="16">
        <v>20</v>
      </c>
      <c r="B21" s="16" t="s">
        <v>30</v>
      </c>
      <c r="C21" s="16" t="s">
        <v>44</v>
      </c>
      <c r="D21" s="16" t="s">
        <v>32</v>
      </c>
      <c r="E21" s="16" t="s">
        <v>33</v>
      </c>
      <c r="F21" s="16" t="s">
        <v>178</v>
      </c>
      <c r="G21" s="19">
        <v>407</v>
      </c>
      <c r="H21" s="16">
        <v>17173</v>
      </c>
      <c r="I21" s="17">
        <v>46116</v>
      </c>
      <c r="J21" s="16">
        <v>23</v>
      </c>
      <c r="K21" s="16" t="s">
        <v>33</v>
      </c>
      <c r="L21" s="16" t="s">
        <v>179</v>
      </c>
      <c r="M21" s="16">
        <v>12500</v>
      </c>
      <c r="N21" s="16">
        <v>11500</v>
      </c>
      <c r="O21" s="17">
        <v>46118</v>
      </c>
      <c r="P21" s="16">
        <v>1000</v>
      </c>
      <c r="Q21" s="16" t="s">
        <v>33</v>
      </c>
      <c r="R21" s="16" t="s">
        <v>112</v>
      </c>
      <c r="S21" s="16">
        <v>14500</v>
      </c>
      <c r="T21" s="16" t="s">
        <v>33</v>
      </c>
      <c r="U21" s="16" t="s">
        <v>33</v>
      </c>
      <c r="V21" s="16" t="s">
        <v>28</v>
      </c>
      <c r="W21" s="16">
        <v>2000</v>
      </c>
      <c r="X21" s="16" t="s">
        <v>36</v>
      </c>
      <c r="Y21" s="16" t="s">
        <v>29</v>
      </c>
      <c r="Z21" s="18">
        <v>16</v>
      </c>
      <c r="AA21" s="16"/>
      <c r="AB21" s="16" t="s">
        <v>320</v>
      </c>
    </row>
    <row r="22" spans="1:28">
      <c r="A22" s="16">
        <v>21</v>
      </c>
      <c r="B22" s="16" t="s">
        <v>30</v>
      </c>
      <c r="C22" s="16" t="s">
        <v>44</v>
      </c>
      <c r="D22" s="16" t="s">
        <v>32</v>
      </c>
      <c r="E22" s="16" t="s">
        <v>33</v>
      </c>
      <c r="F22" s="16" t="s">
        <v>180</v>
      </c>
      <c r="G22" s="19" t="s">
        <v>46</v>
      </c>
      <c r="H22" s="16">
        <v>17174</v>
      </c>
      <c r="I22" s="17">
        <v>46110</v>
      </c>
      <c r="J22" s="16">
        <v>29</v>
      </c>
      <c r="K22" s="16" t="s">
        <v>33</v>
      </c>
      <c r="L22" s="16" t="s">
        <v>181</v>
      </c>
      <c r="M22" s="16">
        <v>6500</v>
      </c>
      <c r="N22" s="16">
        <v>6500</v>
      </c>
      <c r="O22" s="17">
        <v>46118</v>
      </c>
      <c r="P22" s="16">
        <v>0</v>
      </c>
      <c r="Q22" s="16" t="s">
        <v>33</v>
      </c>
      <c r="R22" s="16" t="s">
        <v>112</v>
      </c>
      <c r="S22" s="16">
        <v>8000</v>
      </c>
      <c r="T22" s="16" t="s">
        <v>33</v>
      </c>
      <c r="U22" s="16" t="s">
        <v>33</v>
      </c>
      <c r="V22" s="16" t="s">
        <v>28</v>
      </c>
      <c r="W22" s="16">
        <v>1500</v>
      </c>
      <c r="X22" s="16" t="s">
        <v>36</v>
      </c>
      <c r="Y22" s="16" t="s">
        <v>29</v>
      </c>
      <c r="Z22" s="18">
        <v>23.076923076923077</v>
      </c>
      <c r="AA22" s="16"/>
      <c r="AB22" s="16" t="s">
        <v>320</v>
      </c>
    </row>
    <row r="23" spans="1:28">
      <c r="A23" s="16">
        <v>22</v>
      </c>
      <c r="B23" s="16" t="s">
        <v>30</v>
      </c>
      <c r="C23" s="16" t="s">
        <v>31</v>
      </c>
      <c r="D23" s="16" t="s">
        <v>32</v>
      </c>
      <c r="E23" s="16" t="s">
        <v>33</v>
      </c>
      <c r="F23" s="16" t="s">
        <v>182</v>
      </c>
      <c r="G23" s="16" t="s">
        <v>34</v>
      </c>
      <c r="H23" s="16">
        <v>17175</v>
      </c>
      <c r="I23" s="17">
        <v>46116</v>
      </c>
      <c r="J23" s="16">
        <v>23</v>
      </c>
      <c r="K23" s="16" t="s">
        <v>33</v>
      </c>
      <c r="L23" s="16" t="s">
        <v>129</v>
      </c>
      <c r="M23" s="16">
        <v>18000</v>
      </c>
      <c r="N23" s="16">
        <v>16000</v>
      </c>
      <c r="O23" s="17">
        <v>46118</v>
      </c>
      <c r="P23" s="16">
        <v>2000</v>
      </c>
      <c r="Q23" s="16" t="s">
        <v>33</v>
      </c>
      <c r="R23" s="16" t="s">
        <v>56</v>
      </c>
      <c r="S23" s="16">
        <v>20500</v>
      </c>
      <c r="T23" s="16" t="s">
        <v>33</v>
      </c>
      <c r="U23" s="16" t="s">
        <v>33</v>
      </c>
      <c r="V23" s="16" t="s">
        <v>28</v>
      </c>
      <c r="W23" s="16">
        <v>2500</v>
      </c>
      <c r="X23" s="16" t="s">
        <v>36</v>
      </c>
      <c r="Y23" s="16" t="s">
        <v>29</v>
      </c>
      <c r="Z23" s="18">
        <v>13.888888888888889</v>
      </c>
      <c r="AA23" s="16"/>
      <c r="AB23" s="16" t="s">
        <v>320</v>
      </c>
    </row>
    <row r="24" spans="1:28">
      <c r="A24" s="16">
        <v>23</v>
      </c>
      <c r="B24" s="16" t="s">
        <v>30</v>
      </c>
      <c r="C24" s="16" t="s">
        <v>44</v>
      </c>
      <c r="D24" s="16" t="s">
        <v>32</v>
      </c>
      <c r="E24" s="16" t="s">
        <v>33</v>
      </c>
      <c r="F24" s="16" t="s">
        <v>189</v>
      </c>
      <c r="G24" s="16" t="s">
        <v>59</v>
      </c>
      <c r="H24" s="16">
        <v>17179</v>
      </c>
      <c r="I24" s="17">
        <v>46117</v>
      </c>
      <c r="J24" s="16">
        <v>22</v>
      </c>
      <c r="K24" s="16" t="s">
        <v>33</v>
      </c>
      <c r="L24" s="16" t="s">
        <v>190</v>
      </c>
      <c r="M24" s="16">
        <v>35000</v>
      </c>
      <c r="N24" s="16">
        <v>32000</v>
      </c>
      <c r="O24" s="17">
        <v>46118</v>
      </c>
      <c r="P24" s="16">
        <v>3000</v>
      </c>
      <c r="Q24" s="16" t="s">
        <v>33</v>
      </c>
      <c r="R24" s="16" t="s">
        <v>37</v>
      </c>
      <c r="S24" s="16">
        <v>38000</v>
      </c>
      <c r="T24" s="16" t="s">
        <v>33</v>
      </c>
      <c r="U24" s="16" t="s">
        <v>33</v>
      </c>
      <c r="V24" s="16" t="s">
        <v>28</v>
      </c>
      <c r="W24" s="16">
        <v>3000</v>
      </c>
      <c r="X24" s="16" t="s">
        <v>36</v>
      </c>
      <c r="Y24" s="16" t="s">
        <v>29</v>
      </c>
      <c r="Z24" s="18">
        <v>8.5714285714285712</v>
      </c>
      <c r="AA24" s="16"/>
      <c r="AB24" s="16" t="s">
        <v>320</v>
      </c>
    </row>
    <row r="25" spans="1:28">
      <c r="A25" s="16">
        <v>24</v>
      </c>
      <c r="B25" s="16" t="s">
        <v>30</v>
      </c>
      <c r="C25" s="16" t="s">
        <v>44</v>
      </c>
      <c r="D25" s="16" t="s">
        <v>32</v>
      </c>
      <c r="E25" s="16" t="s">
        <v>33</v>
      </c>
      <c r="F25" s="16" t="s">
        <v>210</v>
      </c>
      <c r="G25" s="19">
        <v>407</v>
      </c>
      <c r="H25" s="16">
        <v>17184</v>
      </c>
      <c r="I25" s="17">
        <v>46115</v>
      </c>
      <c r="J25" s="16">
        <v>24</v>
      </c>
      <c r="K25" s="16" t="s">
        <v>33</v>
      </c>
      <c r="L25" s="16" t="s">
        <v>84</v>
      </c>
      <c r="M25" s="16">
        <v>27500</v>
      </c>
      <c r="N25" s="16">
        <v>25500</v>
      </c>
      <c r="O25" s="17">
        <v>46119</v>
      </c>
      <c r="P25" s="16">
        <v>2000</v>
      </c>
      <c r="Q25" s="16" t="s">
        <v>33</v>
      </c>
      <c r="R25" s="16" t="s">
        <v>78</v>
      </c>
      <c r="S25" s="16">
        <v>29800</v>
      </c>
      <c r="T25" s="16" t="s">
        <v>33</v>
      </c>
      <c r="U25" s="16" t="s">
        <v>33</v>
      </c>
      <c r="V25" s="16" t="s">
        <v>28</v>
      </c>
      <c r="W25" s="16">
        <v>2300</v>
      </c>
      <c r="X25" s="16" t="s">
        <v>36</v>
      </c>
      <c r="Y25" s="16" t="s">
        <v>29</v>
      </c>
      <c r="Z25" s="18">
        <v>8.3636363636363633</v>
      </c>
      <c r="AA25" s="16"/>
      <c r="AB25" s="16" t="s">
        <v>320</v>
      </c>
    </row>
    <row r="26" spans="1:28">
      <c r="A26" s="16">
        <v>25</v>
      </c>
      <c r="B26" s="16" t="s">
        <v>30</v>
      </c>
      <c r="C26" s="16" t="s">
        <v>44</v>
      </c>
      <c r="D26" s="16" t="s">
        <v>32</v>
      </c>
      <c r="E26" s="16" t="s">
        <v>33</v>
      </c>
      <c r="F26" s="16" t="s">
        <v>211</v>
      </c>
      <c r="G26" s="19">
        <v>407</v>
      </c>
      <c r="H26" s="16">
        <v>17185</v>
      </c>
      <c r="I26" s="17">
        <v>46117</v>
      </c>
      <c r="J26" s="16">
        <v>22</v>
      </c>
      <c r="K26" s="16" t="s">
        <v>33</v>
      </c>
      <c r="L26" s="16" t="s">
        <v>84</v>
      </c>
      <c r="M26" s="16">
        <v>27500</v>
      </c>
      <c r="N26" s="16">
        <v>25500</v>
      </c>
      <c r="O26" s="17">
        <v>46119</v>
      </c>
      <c r="P26" s="16">
        <v>2000</v>
      </c>
      <c r="Q26" s="16" t="s">
        <v>33</v>
      </c>
      <c r="R26" s="16" t="s">
        <v>78</v>
      </c>
      <c r="S26" s="16">
        <v>29800</v>
      </c>
      <c r="T26" s="16" t="s">
        <v>33</v>
      </c>
      <c r="U26" s="16" t="s">
        <v>33</v>
      </c>
      <c r="V26" s="16" t="s">
        <v>28</v>
      </c>
      <c r="W26" s="16">
        <v>2300</v>
      </c>
      <c r="X26" s="16" t="s">
        <v>36</v>
      </c>
      <c r="Y26" s="16" t="s">
        <v>29</v>
      </c>
      <c r="Z26" s="18">
        <v>8.3636363636363633</v>
      </c>
      <c r="AA26" s="16"/>
      <c r="AB26" s="16" t="s">
        <v>320</v>
      </c>
    </row>
    <row r="27" spans="1:28">
      <c r="A27" s="16">
        <v>26</v>
      </c>
      <c r="B27" s="16" t="s">
        <v>30</v>
      </c>
      <c r="C27" s="16" t="s">
        <v>44</v>
      </c>
      <c r="D27" s="16" t="s">
        <v>32</v>
      </c>
      <c r="E27" s="16" t="s">
        <v>33</v>
      </c>
      <c r="F27" s="16" t="s">
        <v>212</v>
      </c>
      <c r="G27" s="19">
        <v>407</v>
      </c>
      <c r="H27" s="16">
        <v>17186</v>
      </c>
      <c r="I27" s="17">
        <v>46118</v>
      </c>
      <c r="J27" s="16">
        <v>21</v>
      </c>
      <c r="K27" s="16" t="s">
        <v>33</v>
      </c>
      <c r="L27" s="16" t="s">
        <v>84</v>
      </c>
      <c r="M27" s="16">
        <v>27500</v>
      </c>
      <c r="N27" s="16">
        <v>25500</v>
      </c>
      <c r="O27" s="17">
        <v>46119</v>
      </c>
      <c r="P27" s="16">
        <v>2000</v>
      </c>
      <c r="Q27" s="16" t="s">
        <v>33</v>
      </c>
      <c r="R27" s="16" t="s">
        <v>78</v>
      </c>
      <c r="S27" s="16">
        <v>29800</v>
      </c>
      <c r="T27" s="16" t="s">
        <v>33</v>
      </c>
      <c r="U27" s="16" t="s">
        <v>33</v>
      </c>
      <c r="V27" s="16" t="s">
        <v>28</v>
      </c>
      <c r="W27" s="16">
        <v>2300</v>
      </c>
      <c r="X27" s="16" t="s">
        <v>36</v>
      </c>
      <c r="Y27" s="16" t="s">
        <v>29</v>
      </c>
      <c r="Z27" s="18">
        <v>8.3636363636363633</v>
      </c>
      <c r="AA27" s="16"/>
      <c r="AB27" s="16" t="s">
        <v>320</v>
      </c>
    </row>
    <row r="28" spans="1:28">
      <c r="A28" s="16">
        <v>27</v>
      </c>
      <c r="B28" s="16" t="s">
        <v>30</v>
      </c>
      <c r="C28" s="16" t="s">
        <v>31</v>
      </c>
      <c r="D28" s="16" t="s">
        <v>32</v>
      </c>
      <c r="E28" s="16" t="s">
        <v>33</v>
      </c>
      <c r="F28" s="16" t="s">
        <v>214</v>
      </c>
      <c r="G28" s="16" t="s">
        <v>34</v>
      </c>
      <c r="H28" s="16">
        <v>17188</v>
      </c>
      <c r="I28" s="17">
        <v>46118</v>
      </c>
      <c r="J28" s="16">
        <v>21</v>
      </c>
      <c r="K28" s="16" t="s">
        <v>33</v>
      </c>
      <c r="L28" s="16" t="s">
        <v>111</v>
      </c>
      <c r="M28" s="16">
        <v>11700</v>
      </c>
      <c r="N28" s="16">
        <v>10700</v>
      </c>
      <c r="O28" s="17">
        <v>46119</v>
      </c>
      <c r="P28" s="16">
        <v>1000</v>
      </c>
      <c r="Q28" s="16" t="s">
        <v>33</v>
      </c>
      <c r="R28" s="16" t="s">
        <v>112</v>
      </c>
      <c r="S28" s="16">
        <v>13500</v>
      </c>
      <c r="T28" s="16" t="s">
        <v>33</v>
      </c>
      <c r="U28" s="16" t="s">
        <v>33</v>
      </c>
      <c r="V28" s="16" t="s">
        <v>28</v>
      </c>
      <c r="W28" s="16">
        <v>1800</v>
      </c>
      <c r="X28" s="16" t="s">
        <v>36</v>
      </c>
      <c r="Y28" s="16" t="s">
        <v>29</v>
      </c>
      <c r="Z28" s="18">
        <v>15.384615384615385</v>
      </c>
      <c r="AA28" s="16"/>
      <c r="AB28" s="16" t="s">
        <v>320</v>
      </c>
    </row>
    <row r="29" spans="1:28">
      <c r="A29" s="16">
        <v>28</v>
      </c>
      <c r="B29" s="16" t="s">
        <v>30</v>
      </c>
      <c r="C29" s="16" t="s">
        <v>44</v>
      </c>
      <c r="D29" s="16" t="s">
        <v>32</v>
      </c>
      <c r="E29" s="16" t="s">
        <v>33</v>
      </c>
      <c r="F29" s="16" t="s">
        <v>128</v>
      </c>
      <c r="G29" s="16" t="s">
        <v>46</v>
      </c>
      <c r="H29" s="16">
        <v>17191</v>
      </c>
      <c r="I29" s="17">
        <v>46116</v>
      </c>
      <c r="J29" s="16">
        <v>23</v>
      </c>
      <c r="K29" s="16" t="s">
        <v>33</v>
      </c>
      <c r="L29" s="16" t="s">
        <v>220</v>
      </c>
      <c r="M29" s="16">
        <v>14500</v>
      </c>
      <c r="N29" s="16">
        <v>13000</v>
      </c>
      <c r="O29" s="17">
        <v>46119</v>
      </c>
      <c r="P29" s="16">
        <v>1500</v>
      </c>
      <c r="Q29" s="16" t="s">
        <v>33</v>
      </c>
      <c r="R29" s="16" t="s">
        <v>56</v>
      </c>
      <c r="S29" s="16">
        <v>17500</v>
      </c>
      <c r="T29" s="16" t="s">
        <v>33</v>
      </c>
      <c r="U29" s="16" t="s">
        <v>33</v>
      </c>
      <c r="V29" s="16" t="s">
        <v>28</v>
      </c>
      <c r="W29" s="16">
        <v>3000</v>
      </c>
      <c r="X29" s="16" t="s">
        <v>36</v>
      </c>
      <c r="Y29" s="16" t="s">
        <v>29</v>
      </c>
      <c r="Z29" s="18">
        <v>20.689655172413794</v>
      </c>
      <c r="AA29" s="16"/>
      <c r="AB29" s="16" t="s">
        <v>320</v>
      </c>
    </row>
    <row r="30" spans="1:28">
      <c r="A30" s="16">
        <v>29</v>
      </c>
      <c r="B30" s="16" t="s">
        <v>30</v>
      </c>
      <c r="C30" s="16" t="s">
        <v>31</v>
      </c>
      <c r="D30" s="16" t="s">
        <v>32</v>
      </c>
      <c r="E30" s="16" t="s">
        <v>33</v>
      </c>
      <c r="F30" s="16" t="s">
        <v>221</v>
      </c>
      <c r="G30" s="16" t="s">
        <v>34</v>
      </c>
      <c r="H30" s="16">
        <v>17192</v>
      </c>
      <c r="I30" s="17">
        <v>46118</v>
      </c>
      <c r="J30" s="16">
        <v>21</v>
      </c>
      <c r="K30" s="16" t="s">
        <v>33</v>
      </c>
      <c r="L30" s="16" t="s">
        <v>129</v>
      </c>
      <c r="M30" s="16">
        <v>18000</v>
      </c>
      <c r="N30" s="16">
        <v>16000</v>
      </c>
      <c r="O30" s="17">
        <v>46119</v>
      </c>
      <c r="P30" s="16">
        <v>2000</v>
      </c>
      <c r="Q30" s="16" t="s">
        <v>33</v>
      </c>
      <c r="R30" s="16" t="s">
        <v>56</v>
      </c>
      <c r="S30" s="16">
        <v>20500</v>
      </c>
      <c r="T30" s="16" t="s">
        <v>33</v>
      </c>
      <c r="U30" s="16" t="s">
        <v>33</v>
      </c>
      <c r="V30" s="16" t="s">
        <v>28</v>
      </c>
      <c r="W30" s="16">
        <v>2500</v>
      </c>
      <c r="X30" s="16" t="s">
        <v>36</v>
      </c>
      <c r="Y30" s="16" t="s">
        <v>29</v>
      </c>
      <c r="Z30" s="18">
        <v>13.888888888888889</v>
      </c>
      <c r="AA30" s="16"/>
      <c r="AB30" s="16" t="s">
        <v>320</v>
      </c>
    </row>
    <row r="31" spans="1:28">
      <c r="A31" s="16">
        <v>30</v>
      </c>
      <c r="B31" s="16" t="s">
        <v>30</v>
      </c>
      <c r="C31" s="16" t="s">
        <v>227</v>
      </c>
      <c r="D31" s="16" t="s">
        <v>32</v>
      </c>
      <c r="E31" s="16" t="s">
        <v>33</v>
      </c>
      <c r="F31" s="16" t="s">
        <v>228</v>
      </c>
      <c r="G31" s="16" t="s">
        <v>34</v>
      </c>
      <c r="H31" s="16">
        <v>17193</v>
      </c>
      <c r="I31" s="17">
        <v>46118</v>
      </c>
      <c r="J31" s="16">
        <v>21</v>
      </c>
      <c r="K31" s="16" t="s">
        <v>33</v>
      </c>
      <c r="L31" s="16" t="s">
        <v>229</v>
      </c>
      <c r="M31" s="16">
        <v>17800</v>
      </c>
      <c r="N31" s="16">
        <v>15800</v>
      </c>
      <c r="O31" s="17">
        <v>46119</v>
      </c>
      <c r="P31" s="16">
        <v>2000</v>
      </c>
      <c r="Q31" s="16" t="s">
        <v>33</v>
      </c>
      <c r="R31" s="16" t="s">
        <v>112</v>
      </c>
      <c r="S31" s="16">
        <v>20050</v>
      </c>
      <c r="T31" s="16" t="s">
        <v>33</v>
      </c>
      <c r="U31" s="16" t="s">
        <v>33</v>
      </c>
      <c r="V31" s="16" t="s">
        <v>28</v>
      </c>
      <c r="W31" s="16">
        <v>2250</v>
      </c>
      <c r="X31" s="16" t="s">
        <v>36</v>
      </c>
      <c r="Y31" s="16" t="s">
        <v>29</v>
      </c>
      <c r="Z31" s="18">
        <v>12.640449438202246</v>
      </c>
      <c r="AA31" s="16"/>
      <c r="AB31" s="16" t="s">
        <v>320</v>
      </c>
    </row>
    <row r="32" spans="1:28">
      <c r="A32" s="16">
        <v>31</v>
      </c>
      <c r="B32" s="16" t="s">
        <v>30</v>
      </c>
      <c r="C32" s="16" t="s">
        <v>31</v>
      </c>
      <c r="D32" s="16" t="s">
        <v>32</v>
      </c>
      <c r="E32" s="16" t="s">
        <v>33</v>
      </c>
      <c r="F32" s="16" t="s">
        <v>230</v>
      </c>
      <c r="G32" s="16" t="s">
        <v>34</v>
      </c>
      <c r="H32" s="16">
        <v>17195</v>
      </c>
      <c r="I32" s="17">
        <v>46118</v>
      </c>
      <c r="J32" s="16">
        <v>21</v>
      </c>
      <c r="K32" s="16" t="s">
        <v>33</v>
      </c>
      <c r="L32" s="16" t="s">
        <v>38</v>
      </c>
      <c r="M32" s="16">
        <v>19000</v>
      </c>
      <c r="N32" s="16">
        <v>17000</v>
      </c>
      <c r="O32" s="17">
        <v>46119</v>
      </c>
      <c r="P32" s="16">
        <v>2000</v>
      </c>
      <c r="Q32" s="16" t="s">
        <v>33</v>
      </c>
      <c r="R32" s="16" t="s">
        <v>39</v>
      </c>
      <c r="S32" s="16">
        <v>21800</v>
      </c>
      <c r="T32" s="16" t="s">
        <v>33</v>
      </c>
      <c r="U32" s="16" t="s">
        <v>33</v>
      </c>
      <c r="V32" s="16" t="s">
        <v>28</v>
      </c>
      <c r="W32" s="16">
        <v>2800</v>
      </c>
      <c r="X32" s="16" t="s">
        <v>36</v>
      </c>
      <c r="Y32" s="16" t="s">
        <v>29</v>
      </c>
      <c r="Z32" s="18">
        <v>14.736842105263158</v>
      </c>
      <c r="AA32" s="16"/>
      <c r="AB32" s="16" t="s">
        <v>320</v>
      </c>
    </row>
    <row r="33" spans="1:28">
      <c r="A33" s="16">
        <v>32</v>
      </c>
      <c r="B33" s="16" t="s">
        <v>30</v>
      </c>
      <c r="C33" s="16" t="s">
        <v>44</v>
      </c>
      <c r="D33" s="16" t="s">
        <v>32</v>
      </c>
      <c r="E33" s="16" t="s">
        <v>33</v>
      </c>
      <c r="F33" s="16" t="s">
        <v>235</v>
      </c>
      <c r="G33" s="19">
        <v>407</v>
      </c>
      <c r="H33" s="16">
        <v>17202</v>
      </c>
      <c r="I33" s="17">
        <v>46119</v>
      </c>
      <c r="J33" s="16">
        <v>20</v>
      </c>
      <c r="K33" s="16" t="s">
        <v>33</v>
      </c>
      <c r="L33" s="16" t="s">
        <v>84</v>
      </c>
      <c r="M33" s="16">
        <v>27000</v>
      </c>
      <c r="N33" s="16">
        <v>25000</v>
      </c>
      <c r="O33" s="17">
        <v>46119</v>
      </c>
      <c r="P33" s="16">
        <v>2000</v>
      </c>
      <c r="Q33" s="16" t="s">
        <v>33</v>
      </c>
      <c r="R33" s="16" t="s">
        <v>56</v>
      </c>
      <c r="S33" s="16">
        <v>29800</v>
      </c>
      <c r="T33" s="16" t="s">
        <v>33</v>
      </c>
      <c r="U33" s="16" t="s">
        <v>33</v>
      </c>
      <c r="V33" s="16" t="s">
        <v>28</v>
      </c>
      <c r="W33" s="16">
        <v>2800</v>
      </c>
      <c r="X33" s="16" t="s">
        <v>36</v>
      </c>
      <c r="Y33" s="16" t="s">
        <v>29</v>
      </c>
      <c r="Z33" s="18">
        <v>10.37037037037037</v>
      </c>
      <c r="AA33" s="16"/>
      <c r="AB33" s="16" t="s">
        <v>320</v>
      </c>
    </row>
    <row r="34" spans="1:28">
      <c r="A34" s="16">
        <v>33</v>
      </c>
      <c r="B34" s="16" t="s">
        <v>30</v>
      </c>
      <c r="C34" s="16" t="s">
        <v>31</v>
      </c>
      <c r="D34" s="16" t="s">
        <v>32</v>
      </c>
      <c r="E34" s="16" t="s">
        <v>33</v>
      </c>
      <c r="F34" s="16" t="s">
        <v>240</v>
      </c>
      <c r="G34" s="16" t="s">
        <v>34</v>
      </c>
      <c r="H34" s="16">
        <v>17203</v>
      </c>
      <c r="I34" s="17">
        <v>46119</v>
      </c>
      <c r="J34" s="16">
        <v>20</v>
      </c>
      <c r="K34" s="16" t="s">
        <v>33</v>
      </c>
      <c r="L34" s="16" t="s">
        <v>129</v>
      </c>
      <c r="M34" s="16">
        <v>18000</v>
      </c>
      <c r="N34" s="16">
        <v>16000</v>
      </c>
      <c r="O34" s="17">
        <v>46119</v>
      </c>
      <c r="P34" s="16">
        <v>2000</v>
      </c>
      <c r="Q34" s="16" t="s">
        <v>33</v>
      </c>
      <c r="R34" s="16" t="s">
        <v>56</v>
      </c>
      <c r="S34" s="16">
        <v>20500</v>
      </c>
      <c r="T34" s="16" t="s">
        <v>33</v>
      </c>
      <c r="U34" s="16" t="s">
        <v>33</v>
      </c>
      <c r="V34" s="16" t="s">
        <v>28</v>
      </c>
      <c r="W34" s="16">
        <v>2500</v>
      </c>
      <c r="X34" s="16" t="s">
        <v>36</v>
      </c>
      <c r="Y34" s="16" t="s">
        <v>29</v>
      </c>
      <c r="Z34" s="18">
        <v>13.888888888888889</v>
      </c>
      <c r="AA34" s="16"/>
      <c r="AB34" s="16" t="s">
        <v>320</v>
      </c>
    </row>
    <row r="35" spans="1:28">
      <c r="A35" s="16">
        <v>34</v>
      </c>
      <c r="B35" s="16" t="s">
        <v>30</v>
      </c>
      <c r="C35" s="16" t="s">
        <v>242</v>
      </c>
      <c r="D35" s="16" t="s">
        <v>32</v>
      </c>
      <c r="E35" s="16" t="s">
        <v>33</v>
      </c>
      <c r="F35" s="16" t="s">
        <v>243</v>
      </c>
      <c r="G35" s="16" t="s">
        <v>34</v>
      </c>
      <c r="H35" s="16">
        <v>17208</v>
      </c>
      <c r="I35" s="17">
        <v>46119</v>
      </c>
      <c r="J35" s="16">
        <v>20</v>
      </c>
      <c r="K35" s="16" t="s">
        <v>33</v>
      </c>
      <c r="L35" s="16" t="s">
        <v>111</v>
      </c>
      <c r="M35" s="16">
        <v>22000</v>
      </c>
      <c r="N35" s="16">
        <v>20000</v>
      </c>
      <c r="O35" s="17">
        <v>46120</v>
      </c>
      <c r="P35" s="16">
        <v>2000</v>
      </c>
      <c r="Q35" s="16" t="s">
        <v>33</v>
      </c>
      <c r="R35" s="16" t="s">
        <v>112</v>
      </c>
      <c r="S35" s="16">
        <v>25000</v>
      </c>
      <c r="T35" s="16" t="s">
        <v>33</v>
      </c>
      <c r="U35" s="16" t="s">
        <v>33</v>
      </c>
      <c r="V35" s="16" t="s">
        <v>28</v>
      </c>
      <c r="W35" s="16">
        <v>3000</v>
      </c>
      <c r="X35" s="16" t="s">
        <v>36</v>
      </c>
      <c r="Y35" s="16" t="s">
        <v>29</v>
      </c>
      <c r="Z35" s="18">
        <v>13.636363636363637</v>
      </c>
      <c r="AA35" s="16"/>
      <c r="AB35" s="16" t="s">
        <v>320</v>
      </c>
    </row>
    <row r="36" spans="1:28">
      <c r="A36" s="16">
        <v>35</v>
      </c>
      <c r="B36" s="16" t="s">
        <v>30</v>
      </c>
      <c r="C36" s="16" t="s">
        <v>31</v>
      </c>
      <c r="D36" s="16" t="s">
        <v>32</v>
      </c>
      <c r="E36" s="16" t="s">
        <v>33</v>
      </c>
      <c r="F36" s="16" t="s">
        <v>128</v>
      </c>
      <c r="G36" s="16" t="s">
        <v>34</v>
      </c>
      <c r="H36" s="16">
        <v>17213</v>
      </c>
      <c r="I36" s="17">
        <v>46119</v>
      </c>
      <c r="J36" s="16">
        <v>20</v>
      </c>
      <c r="K36" s="16" t="s">
        <v>33</v>
      </c>
      <c r="L36" s="16" t="s">
        <v>55</v>
      </c>
      <c r="M36" s="16">
        <v>18000</v>
      </c>
      <c r="N36" s="16">
        <v>16000</v>
      </c>
      <c r="O36" s="17">
        <v>46120</v>
      </c>
      <c r="P36" s="16">
        <v>2000</v>
      </c>
      <c r="Q36" s="16" t="s">
        <v>33</v>
      </c>
      <c r="R36" s="16" t="s">
        <v>56</v>
      </c>
      <c r="S36" s="16">
        <v>20500</v>
      </c>
      <c r="T36" s="16" t="s">
        <v>33</v>
      </c>
      <c r="U36" s="16" t="s">
        <v>33</v>
      </c>
      <c r="V36" s="16" t="s">
        <v>28</v>
      </c>
      <c r="W36" s="16">
        <v>2500</v>
      </c>
      <c r="X36" s="16" t="s">
        <v>36</v>
      </c>
      <c r="Y36" s="16" t="s">
        <v>29</v>
      </c>
      <c r="Z36" s="18">
        <v>13.888888888888889</v>
      </c>
      <c r="AA36" s="16"/>
      <c r="AB36" s="16" t="s">
        <v>320</v>
      </c>
    </row>
    <row r="37" spans="1:28">
      <c r="A37" s="16">
        <v>36</v>
      </c>
      <c r="B37" s="16" t="s">
        <v>30</v>
      </c>
      <c r="C37" s="16" t="s">
        <v>44</v>
      </c>
      <c r="D37" s="16" t="s">
        <v>32</v>
      </c>
      <c r="E37" s="16" t="s">
        <v>33</v>
      </c>
      <c r="F37" s="16" t="s">
        <v>247</v>
      </c>
      <c r="G37" s="19">
        <v>407</v>
      </c>
      <c r="H37" s="16">
        <v>17214</v>
      </c>
      <c r="I37" s="17">
        <v>46120</v>
      </c>
      <c r="J37" s="16">
        <v>19</v>
      </c>
      <c r="K37" s="16" t="s">
        <v>33</v>
      </c>
      <c r="L37" s="16" t="s">
        <v>84</v>
      </c>
      <c r="M37" s="16">
        <v>27000</v>
      </c>
      <c r="N37" s="16">
        <v>25000</v>
      </c>
      <c r="O37" s="17">
        <v>46120</v>
      </c>
      <c r="P37" s="16">
        <v>2000</v>
      </c>
      <c r="Q37" s="16" t="s">
        <v>33</v>
      </c>
      <c r="R37" s="16" t="s">
        <v>56</v>
      </c>
      <c r="S37" s="16">
        <v>29800</v>
      </c>
      <c r="T37" s="16" t="s">
        <v>33</v>
      </c>
      <c r="U37" s="16" t="s">
        <v>33</v>
      </c>
      <c r="V37" s="16" t="s">
        <v>28</v>
      </c>
      <c r="W37" s="16">
        <v>2800</v>
      </c>
      <c r="X37" s="16" t="s">
        <v>36</v>
      </c>
      <c r="Y37" s="16" t="s">
        <v>29</v>
      </c>
      <c r="Z37" s="18">
        <v>10.37037037037037</v>
      </c>
      <c r="AA37" s="16"/>
      <c r="AB37" s="16" t="s">
        <v>320</v>
      </c>
    </row>
    <row r="38" spans="1:28">
      <c r="A38" s="16">
        <v>37</v>
      </c>
      <c r="B38" s="16" t="s">
        <v>30</v>
      </c>
      <c r="C38" s="16" t="s">
        <v>31</v>
      </c>
      <c r="D38" s="16" t="s">
        <v>32</v>
      </c>
      <c r="E38" s="16" t="s">
        <v>33</v>
      </c>
      <c r="F38" s="16" t="s">
        <v>250</v>
      </c>
      <c r="G38" s="16" t="s">
        <v>34</v>
      </c>
      <c r="H38" s="16">
        <v>17215</v>
      </c>
      <c r="I38" s="17">
        <v>46120</v>
      </c>
      <c r="J38" s="16">
        <v>19</v>
      </c>
      <c r="K38" s="16" t="s">
        <v>33</v>
      </c>
      <c r="L38" s="16" t="s">
        <v>38</v>
      </c>
      <c r="M38" s="16">
        <v>19000</v>
      </c>
      <c r="N38" s="16">
        <v>17000</v>
      </c>
      <c r="O38" s="17">
        <v>46120</v>
      </c>
      <c r="P38" s="16">
        <v>2000</v>
      </c>
      <c r="Q38" s="16" t="s">
        <v>33</v>
      </c>
      <c r="R38" s="16" t="s">
        <v>39</v>
      </c>
      <c r="S38" s="16">
        <v>21800</v>
      </c>
      <c r="T38" s="16" t="s">
        <v>33</v>
      </c>
      <c r="U38" s="16" t="s">
        <v>33</v>
      </c>
      <c r="V38" s="16" t="s">
        <v>28</v>
      </c>
      <c r="W38" s="16">
        <v>2800</v>
      </c>
      <c r="X38" s="16" t="s">
        <v>36</v>
      </c>
      <c r="Y38" s="16" t="s">
        <v>29</v>
      </c>
      <c r="Z38" s="18">
        <v>14.736842105263158</v>
      </c>
      <c r="AA38" s="16"/>
      <c r="AB38" s="16" t="s">
        <v>320</v>
      </c>
    </row>
    <row r="39" spans="1:28" s="44" customFormat="1">
      <c r="A39" s="43">
        <v>38</v>
      </c>
      <c r="B39" s="43" t="s">
        <v>30</v>
      </c>
      <c r="C39" s="43" t="s">
        <v>80</v>
      </c>
      <c r="D39" s="43" t="s">
        <v>32</v>
      </c>
      <c r="E39" s="43" t="s">
        <v>33</v>
      </c>
      <c r="F39" s="43" t="s">
        <v>252</v>
      </c>
      <c r="G39" s="43" t="s">
        <v>59</v>
      </c>
      <c r="H39" s="43">
        <v>17216</v>
      </c>
      <c r="I39" s="45">
        <v>46118</v>
      </c>
      <c r="J39" s="43">
        <v>21</v>
      </c>
      <c r="K39" s="43" t="s">
        <v>33</v>
      </c>
      <c r="L39" s="43" t="s">
        <v>82</v>
      </c>
      <c r="M39" s="43">
        <v>24000</v>
      </c>
      <c r="N39" s="43">
        <v>24000</v>
      </c>
      <c r="O39" s="45">
        <v>46120</v>
      </c>
      <c r="P39" s="43">
        <v>0</v>
      </c>
      <c r="Q39" s="43" t="s">
        <v>33</v>
      </c>
      <c r="R39" s="43" t="s">
        <v>39</v>
      </c>
      <c r="S39" s="43">
        <v>25200</v>
      </c>
      <c r="T39" s="43" t="s">
        <v>33</v>
      </c>
      <c r="U39" s="43" t="s">
        <v>33</v>
      </c>
      <c r="V39" s="43" t="s">
        <v>28</v>
      </c>
      <c r="W39" s="43">
        <v>1200</v>
      </c>
      <c r="X39" s="43" t="s">
        <v>36</v>
      </c>
      <c r="Y39" s="43" t="s">
        <v>29</v>
      </c>
      <c r="Z39" s="46">
        <v>5</v>
      </c>
      <c r="AA39" s="43"/>
      <c r="AB39" s="43" t="s">
        <v>320</v>
      </c>
    </row>
    <row r="40" spans="1:28">
      <c r="A40" s="16">
        <v>39</v>
      </c>
      <c r="B40" s="16" t="s">
        <v>30</v>
      </c>
      <c r="C40" s="16" t="s">
        <v>44</v>
      </c>
      <c r="D40" s="16" t="s">
        <v>32</v>
      </c>
      <c r="E40" s="16" t="s">
        <v>33</v>
      </c>
      <c r="F40" s="16" t="s">
        <v>150</v>
      </c>
      <c r="G40" s="19">
        <v>407</v>
      </c>
      <c r="H40" s="16">
        <v>17218</v>
      </c>
      <c r="I40" s="17">
        <v>46120</v>
      </c>
      <c r="J40" s="16">
        <v>19</v>
      </c>
      <c r="K40" s="16" t="s">
        <v>33</v>
      </c>
      <c r="L40" s="16" t="s">
        <v>84</v>
      </c>
      <c r="M40" s="16">
        <v>27000</v>
      </c>
      <c r="N40" s="16">
        <v>25000</v>
      </c>
      <c r="O40" s="17">
        <v>46120</v>
      </c>
      <c r="P40" s="16">
        <v>2000</v>
      </c>
      <c r="Q40" s="16" t="s">
        <v>33</v>
      </c>
      <c r="R40" s="16" t="s">
        <v>56</v>
      </c>
      <c r="S40" s="16">
        <v>29800</v>
      </c>
      <c r="T40" s="16" t="s">
        <v>33</v>
      </c>
      <c r="U40" s="16" t="s">
        <v>33</v>
      </c>
      <c r="V40" s="16" t="s">
        <v>28</v>
      </c>
      <c r="W40" s="16">
        <v>2800</v>
      </c>
      <c r="X40" s="16" t="s">
        <v>36</v>
      </c>
      <c r="Y40" s="16" t="s">
        <v>29</v>
      </c>
      <c r="Z40" s="18">
        <v>10.37037037037037</v>
      </c>
      <c r="AA40" s="16"/>
      <c r="AB40" s="16" t="s">
        <v>320</v>
      </c>
    </row>
    <row r="41" spans="1:28">
      <c r="A41" s="16">
        <v>40</v>
      </c>
      <c r="B41" s="16" t="s">
        <v>30</v>
      </c>
      <c r="C41" s="16" t="s">
        <v>156</v>
      </c>
      <c r="D41" s="16" t="s">
        <v>32</v>
      </c>
      <c r="E41" s="16" t="s">
        <v>33</v>
      </c>
      <c r="F41" s="16" t="s">
        <v>164</v>
      </c>
      <c r="G41" s="16" t="s">
        <v>67</v>
      </c>
      <c r="H41" s="16">
        <v>17221</v>
      </c>
      <c r="I41" s="17">
        <v>46120</v>
      </c>
      <c r="J41" s="16">
        <v>19</v>
      </c>
      <c r="K41" s="16" t="s">
        <v>33</v>
      </c>
      <c r="L41" s="16" t="s">
        <v>158</v>
      </c>
      <c r="M41" s="16">
        <v>38500</v>
      </c>
      <c r="N41" s="16">
        <v>35500</v>
      </c>
      <c r="O41" s="17">
        <v>46120</v>
      </c>
      <c r="P41" s="16">
        <v>3000</v>
      </c>
      <c r="Q41" s="16" t="s">
        <v>33</v>
      </c>
      <c r="R41" s="16" t="s">
        <v>37</v>
      </c>
      <c r="S41" s="16">
        <v>42000</v>
      </c>
      <c r="T41" s="16" t="s">
        <v>33</v>
      </c>
      <c r="U41" s="16" t="s">
        <v>33</v>
      </c>
      <c r="V41" s="16" t="s">
        <v>28</v>
      </c>
      <c r="W41" s="16">
        <v>3500</v>
      </c>
      <c r="X41" s="16" t="s">
        <v>36</v>
      </c>
      <c r="Y41" s="16" t="s">
        <v>29</v>
      </c>
      <c r="Z41" s="18">
        <v>9.0909090909090917</v>
      </c>
      <c r="AA41" s="16"/>
      <c r="AB41" s="16" t="s">
        <v>320</v>
      </c>
    </row>
    <row r="42" spans="1:28">
      <c r="A42" s="16">
        <v>41</v>
      </c>
      <c r="B42" s="16" t="s">
        <v>30</v>
      </c>
      <c r="C42" s="16" t="s">
        <v>31</v>
      </c>
      <c r="D42" s="16" t="s">
        <v>32</v>
      </c>
      <c r="E42" s="16" t="s">
        <v>33</v>
      </c>
      <c r="F42" s="16" t="s">
        <v>269</v>
      </c>
      <c r="G42" s="16" t="s">
        <v>34</v>
      </c>
      <c r="H42" s="16">
        <v>17225</v>
      </c>
      <c r="I42" s="17">
        <v>46120</v>
      </c>
      <c r="J42" s="16">
        <v>19</v>
      </c>
      <c r="K42" s="16" t="s">
        <v>33</v>
      </c>
      <c r="L42" s="16" t="s">
        <v>111</v>
      </c>
      <c r="M42" s="16">
        <v>11700</v>
      </c>
      <c r="N42" s="16">
        <v>10700</v>
      </c>
      <c r="O42" s="17">
        <v>46121</v>
      </c>
      <c r="P42" s="16">
        <v>1000</v>
      </c>
      <c r="Q42" s="16" t="s">
        <v>33</v>
      </c>
      <c r="R42" s="16" t="s">
        <v>112</v>
      </c>
      <c r="S42" s="16">
        <v>13500</v>
      </c>
      <c r="T42" s="16" t="s">
        <v>33</v>
      </c>
      <c r="U42" s="16" t="s">
        <v>33</v>
      </c>
      <c r="V42" s="16" t="s">
        <v>28</v>
      </c>
      <c r="W42" s="16">
        <v>1800</v>
      </c>
      <c r="X42" s="16" t="s">
        <v>36</v>
      </c>
      <c r="Y42" s="16" t="s">
        <v>29</v>
      </c>
      <c r="Z42" s="18">
        <v>15.384615384615385</v>
      </c>
      <c r="AA42" s="16"/>
      <c r="AB42" s="16" t="s">
        <v>320</v>
      </c>
    </row>
    <row r="43" spans="1:28">
      <c r="A43" s="16">
        <v>42</v>
      </c>
      <c r="B43" s="16" t="s">
        <v>30</v>
      </c>
      <c r="C43" s="16" t="s">
        <v>31</v>
      </c>
      <c r="D43" s="16" t="s">
        <v>32</v>
      </c>
      <c r="E43" s="16" t="s">
        <v>33</v>
      </c>
      <c r="F43" s="16" t="s">
        <v>272</v>
      </c>
      <c r="G43" s="16" t="s">
        <v>34</v>
      </c>
      <c r="H43" s="16">
        <v>17230</v>
      </c>
      <c r="I43" s="17">
        <v>46121</v>
      </c>
      <c r="J43" s="16">
        <v>18</v>
      </c>
      <c r="K43" s="16" t="s">
        <v>33</v>
      </c>
      <c r="L43" s="16" t="s">
        <v>273</v>
      </c>
      <c r="M43" s="16">
        <v>18000</v>
      </c>
      <c r="N43" s="16">
        <v>16000</v>
      </c>
      <c r="O43" s="17">
        <v>46121</v>
      </c>
      <c r="P43" s="16">
        <v>2000</v>
      </c>
      <c r="Q43" s="16" t="s">
        <v>33</v>
      </c>
      <c r="R43" s="16" t="s">
        <v>56</v>
      </c>
      <c r="S43" s="16">
        <v>20500</v>
      </c>
      <c r="T43" s="16" t="s">
        <v>33</v>
      </c>
      <c r="U43" s="16" t="s">
        <v>33</v>
      </c>
      <c r="V43" s="16" t="s">
        <v>28</v>
      </c>
      <c r="W43" s="16">
        <v>2500</v>
      </c>
      <c r="X43" s="16" t="s">
        <v>36</v>
      </c>
      <c r="Y43" s="16" t="s">
        <v>29</v>
      </c>
      <c r="Z43" s="18">
        <v>13.888888888888889</v>
      </c>
      <c r="AA43" s="16"/>
      <c r="AB43" s="16" t="s">
        <v>320</v>
      </c>
    </row>
    <row r="44" spans="1:28">
      <c r="A44" s="16">
        <v>43</v>
      </c>
      <c r="B44" s="16" t="s">
        <v>30</v>
      </c>
      <c r="C44" s="16" t="s">
        <v>31</v>
      </c>
      <c r="D44" s="16" t="s">
        <v>32</v>
      </c>
      <c r="E44" s="16" t="s">
        <v>33</v>
      </c>
      <c r="F44" s="16" t="s">
        <v>275</v>
      </c>
      <c r="G44" s="16" t="s">
        <v>34</v>
      </c>
      <c r="H44" s="16">
        <v>17231</v>
      </c>
      <c r="I44" s="17">
        <v>46121</v>
      </c>
      <c r="J44" s="16">
        <v>18</v>
      </c>
      <c r="K44" s="16" t="s">
        <v>33</v>
      </c>
      <c r="L44" s="16" t="s">
        <v>274</v>
      </c>
      <c r="M44" s="16">
        <v>18300</v>
      </c>
      <c r="N44" s="16">
        <v>16500</v>
      </c>
      <c r="O44" s="17">
        <v>46121</v>
      </c>
      <c r="P44" s="16">
        <v>1800</v>
      </c>
      <c r="Q44" s="16" t="s">
        <v>33</v>
      </c>
      <c r="R44" s="16" t="s">
        <v>37</v>
      </c>
      <c r="S44" s="16">
        <v>21500</v>
      </c>
      <c r="T44" s="16" t="s">
        <v>33</v>
      </c>
      <c r="U44" s="16" t="s">
        <v>33</v>
      </c>
      <c r="V44" s="16" t="s">
        <v>28</v>
      </c>
      <c r="W44" s="16">
        <v>3200</v>
      </c>
      <c r="X44" s="16" t="s">
        <v>36</v>
      </c>
      <c r="Y44" s="16" t="s">
        <v>29</v>
      </c>
      <c r="Z44" s="18">
        <v>17.486338797814209</v>
      </c>
      <c r="AA44" s="16"/>
      <c r="AB44" s="16" t="s">
        <v>320</v>
      </c>
    </row>
    <row r="45" spans="1:28">
      <c r="A45" s="16">
        <v>44</v>
      </c>
      <c r="B45" s="16" t="s">
        <v>30</v>
      </c>
      <c r="C45" s="16" t="s">
        <v>44</v>
      </c>
      <c r="D45" s="16" t="s">
        <v>32</v>
      </c>
      <c r="E45" s="16" t="s">
        <v>33</v>
      </c>
      <c r="F45" s="16" t="s">
        <v>281</v>
      </c>
      <c r="G45" s="19">
        <v>407</v>
      </c>
      <c r="H45" s="16">
        <v>17234</v>
      </c>
      <c r="I45" s="17">
        <v>46121</v>
      </c>
      <c r="J45" s="16">
        <v>18</v>
      </c>
      <c r="K45" s="16" t="s">
        <v>33</v>
      </c>
      <c r="L45" s="16" t="s">
        <v>84</v>
      </c>
      <c r="M45" s="16">
        <v>27000</v>
      </c>
      <c r="N45" s="16">
        <v>25000</v>
      </c>
      <c r="O45" s="17">
        <v>46121</v>
      </c>
      <c r="P45" s="16">
        <v>2000</v>
      </c>
      <c r="Q45" s="16" t="s">
        <v>33</v>
      </c>
      <c r="R45" s="16" t="s">
        <v>56</v>
      </c>
      <c r="S45" s="16">
        <v>29800</v>
      </c>
      <c r="T45" s="16" t="s">
        <v>33</v>
      </c>
      <c r="U45" s="16" t="s">
        <v>33</v>
      </c>
      <c r="V45" s="16" t="s">
        <v>28</v>
      </c>
      <c r="W45" s="16">
        <v>2800</v>
      </c>
      <c r="X45" s="16" t="s">
        <v>36</v>
      </c>
      <c r="Y45" s="16" t="s">
        <v>29</v>
      </c>
      <c r="Z45" s="18">
        <v>10.37037037037037</v>
      </c>
      <c r="AA45" s="16"/>
      <c r="AB45" s="16" t="s">
        <v>320</v>
      </c>
    </row>
    <row r="46" spans="1:28">
      <c r="A46" s="16">
        <v>45</v>
      </c>
      <c r="B46" s="16" t="s">
        <v>30</v>
      </c>
      <c r="C46" s="16" t="s">
        <v>44</v>
      </c>
      <c r="D46" s="16" t="s">
        <v>32</v>
      </c>
      <c r="E46" s="16" t="s">
        <v>33</v>
      </c>
      <c r="F46" s="16" t="s">
        <v>282</v>
      </c>
      <c r="G46" s="19">
        <v>407</v>
      </c>
      <c r="H46" s="16">
        <v>17235</v>
      </c>
      <c r="I46" s="17">
        <v>46121</v>
      </c>
      <c r="J46" s="16">
        <v>18</v>
      </c>
      <c r="K46" s="16" t="s">
        <v>33</v>
      </c>
      <c r="L46" s="16" t="s">
        <v>84</v>
      </c>
      <c r="M46" s="16">
        <v>27000</v>
      </c>
      <c r="N46" s="16">
        <v>25000</v>
      </c>
      <c r="O46" s="17">
        <v>46121</v>
      </c>
      <c r="P46" s="16">
        <v>2000</v>
      </c>
      <c r="Q46" s="16" t="s">
        <v>33</v>
      </c>
      <c r="R46" s="16" t="s">
        <v>56</v>
      </c>
      <c r="S46" s="16">
        <v>29800</v>
      </c>
      <c r="T46" s="16" t="s">
        <v>33</v>
      </c>
      <c r="U46" s="16" t="s">
        <v>33</v>
      </c>
      <c r="V46" s="16" t="s">
        <v>28</v>
      </c>
      <c r="W46" s="16">
        <v>2800</v>
      </c>
      <c r="X46" s="16" t="s">
        <v>36</v>
      </c>
      <c r="Y46" s="16" t="s">
        <v>29</v>
      </c>
      <c r="Z46" s="18">
        <v>10.37037037037037</v>
      </c>
      <c r="AA46" s="16"/>
      <c r="AB46" s="16" t="s">
        <v>320</v>
      </c>
    </row>
    <row r="47" spans="1:28">
      <c r="A47" s="16">
        <v>46</v>
      </c>
      <c r="B47" s="16" t="s">
        <v>30</v>
      </c>
      <c r="C47" s="16" t="s">
        <v>31</v>
      </c>
      <c r="D47" s="16" t="s">
        <v>32</v>
      </c>
      <c r="E47" s="16" t="s">
        <v>33</v>
      </c>
      <c r="F47" s="16" t="s">
        <v>297</v>
      </c>
      <c r="G47" s="19" t="s">
        <v>34</v>
      </c>
      <c r="H47" s="16">
        <v>17239</v>
      </c>
      <c r="I47" s="17">
        <v>46121</v>
      </c>
      <c r="J47" s="16">
        <v>18</v>
      </c>
      <c r="K47" s="16" t="s">
        <v>33</v>
      </c>
      <c r="L47" s="16" t="s">
        <v>38</v>
      </c>
      <c r="M47" s="16">
        <v>19000</v>
      </c>
      <c r="N47" s="16">
        <v>17000</v>
      </c>
      <c r="O47" s="17">
        <v>46122</v>
      </c>
      <c r="P47" s="16">
        <v>2000</v>
      </c>
      <c r="Q47" s="16" t="s">
        <v>33</v>
      </c>
      <c r="R47" s="16" t="s">
        <v>39</v>
      </c>
      <c r="S47" s="16">
        <v>21800</v>
      </c>
      <c r="T47" s="16" t="s">
        <v>33</v>
      </c>
      <c r="U47" s="16" t="s">
        <v>33</v>
      </c>
      <c r="V47" s="16" t="s">
        <v>28</v>
      </c>
      <c r="W47" s="16">
        <v>2800</v>
      </c>
      <c r="X47" s="16" t="s">
        <v>36</v>
      </c>
      <c r="Y47" s="16" t="s">
        <v>29</v>
      </c>
      <c r="Z47" s="18">
        <v>14.736842105263158</v>
      </c>
      <c r="AA47" s="16"/>
      <c r="AB47" s="16"/>
    </row>
    <row r="48" spans="1:28">
      <c r="A48" s="16">
        <v>47</v>
      </c>
      <c r="B48" s="16" t="s">
        <v>30</v>
      </c>
      <c r="C48" s="16" t="s">
        <v>44</v>
      </c>
      <c r="D48" s="16" t="s">
        <v>32</v>
      </c>
      <c r="E48" s="16" t="s">
        <v>33</v>
      </c>
      <c r="F48" s="16" t="s">
        <v>301</v>
      </c>
      <c r="G48" s="19">
        <v>407</v>
      </c>
      <c r="H48" s="16">
        <v>17247</v>
      </c>
      <c r="I48" s="17">
        <v>46122</v>
      </c>
      <c r="J48" s="16">
        <v>17</v>
      </c>
      <c r="K48" s="16" t="s">
        <v>33</v>
      </c>
      <c r="L48" s="16" t="s">
        <v>84</v>
      </c>
      <c r="M48" s="16">
        <v>27000</v>
      </c>
      <c r="N48" s="16">
        <v>25000</v>
      </c>
      <c r="O48" s="17">
        <v>46122</v>
      </c>
      <c r="P48" s="16">
        <v>2000</v>
      </c>
      <c r="Q48" s="16" t="s">
        <v>33</v>
      </c>
      <c r="R48" s="16" t="s">
        <v>56</v>
      </c>
      <c r="S48" s="16">
        <v>29800</v>
      </c>
      <c r="T48" s="16" t="s">
        <v>33</v>
      </c>
      <c r="U48" s="16" t="s">
        <v>33</v>
      </c>
      <c r="V48" s="16" t="s">
        <v>28</v>
      </c>
      <c r="W48" s="16">
        <v>2800</v>
      </c>
      <c r="X48" s="16" t="s">
        <v>36</v>
      </c>
      <c r="Y48" s="16" t="s">
        <v>29</v>
      </c>
      <c r="Z48" s="18">
        <v>10.37037037037037</v>
      </c>
      <c r="AA48" s="16"/>
      <c r="AB48" s="16"/>
    </row>
    <row r="49" spans="1:28">
      <c r="A49" s="16">
        <v>48</v>
      </c>
      <c r="B49" s="16" t="s">
        <v>30</v>
      </c>
      <c r="C49" s="16" t="s">
        <v>44</v>
      </c>
      <c r="D49" s="16" t="s">
        <v>32</v>
      </c>
      <c r="E49" s="16" t="s">
        <v>33</v>
      </c>
      <c r="F49" s="16" t="s">
        <v>128</v>
      </c>
      <c r="G49" s="19" t="s">
        <v>46</v>
      </c>
      <c r="H49" s="16">
        <v>17249</v>
      </c>
      <c r="I49" s="17">
        <v>46121</v>
      </c>
      <c r="J49" s="16">
        <v>18</v>
      </c>
      <c r="K49" s="16" t="s">
        <v>33</v>
      </c>
      <c r="L49" s="16" t="s">
        <v>303</v>
      </c>
      <c r="M49" s="16">
        <v>14500</v>
      </c>
      <c r="N49" s="16">
        <v>13000</v>
      </c>
      <c r="O49" s="17">
        <v>46122</v>
      </c>
      <c r="P49" s="16">
        <v>1500</v>
      </c>
      <c r="Q49" s="16" t="s">
        <v>33</v>
      </c>
      <c r="R49" s="16" t="s">
        <v>56</v>
      </c>
      <c r="S49" s="16">
        <v>17500</v>
      </c>
      <c r="T49" s="16" t="s">
        <v>33</v>
      </c>
      <c r="U49" s="16" t="s">
        <v>33</v>
      </c>
      <c r="V49" s="16" t="s">
        <v>28</v>
      </c>
      <c r="W49" s="16">
        <v>3000</v>
      </c>
      <c r="X49" s="16" t="s">
        <v>36</v>
      </c>
      <c r="Y49" s="16" t="s">
        <v>29</v>
      </c>
      <c r="Z49" s="18">
        <v>20.689655172413794</v>
      </c>
      <c r="AA49" s="16"/>
      <c r="AB49" s="16"/>
    </row>
    <row r="50" spans="1:28">
      <c r="A50" s="16">
        <v>49</v>
      </c>
      <c r="B50" s="16" t="s">
        <v>30</v>
      </c>
      <c r="C50" s="16" t="s">
        <v>31</v>
      </c>
      <c r="D50" s="16" t="s">
        <v>32</v>
      </c>
      <c r="E50" s="16" t="s">
        <v>33</v>
      </c>
      <c r="F50" s="16" t="s">
        <v>110</v>
      </c>
      <c r="G50" s="19" t="s">
        <v>34</v>
      </c>
      <c r="H50" s="16">
        <v>17253</v>
      </c>
      <c r="I50" s="17">
        <v>46123</v>
      </c>
      <c r="J50" s="16">
        <v>16</v>
      </c>
      <c r="K50" s="16" t="s">
        <v>33</v>
      </c>
      <c r="L50" s="16" t="s">
        <v>111</v>
      </c>
      <c r="M50" s="16">
        <v>11700</v>
      </c>
      <c r="N50" s="16">
        <v>10700</v>
      </c>
      <c r="O50" s="17">
        <v>46123</v>
      </c>
      <c r="P50" s="16">
        <v>1000</v>
      </c>
      <c r="Q50" s="16" t="s">
        <v>33</v>
      </c>
      <c r="R50" s="16" t="s">
        <v>112</v>
      </c>
      <c r="S50" s="16">
        <v>13500</v>
      </c>
      <c r="T50" s="16" t="s">
        <v>33</v>
      </c>
      <c r="U50" s="16" t="s">
        <v>33</v>
      </c>
      <c r="V50" s="16" t="s">
        <v>28</v>
      </c>
      <c r="W50" s="16">
        <v>1800</v>
      </c>
      <c r="X50" s="16" t="s">
        <v>36</v>
      </c>
      <c r="Y50" s="16" t="s">
        <v>29</v>
      </c>
      <c r="Z50" s="18">
        <v>15.384615384615385</v>
      </c>
      <c r="AA50" s="16"/>
      <c r="AB50" s="16"/>
    </row>
    <row r="51" spans="1:28">
      <c r="A51" s="16">
        <v>50</v>
      </c>
      <c r="B51" s="16" t="s">
        <v>30</v>
      </c>
      <c r="C51" s="16" t="s">
        <v>31</v>
      </c>
      <c r="D51" s="16" t="s">
        <v>32</v>
      </c>
      <c r="E51" s="16" t="s">
        <v>33</v>
      </c>
      <c r="F51" s="16" t="s">
        <v>325</v>
      </c>
      <c r="G51" s="19" t="s">
        <v>34</v>
      </c>
      <c r="H51" s="16">
        <v>17255</v>
      </c>
      <c r="I51" s="17">
        <v>46123</v>
      </c>
      <c r="J51" s="16">
        <v>16</v>
      </c>
      <c r="K51" s="16" t="s">
        <v>33</v>
      </c>
      <c r="L51" s="16" t="s">
        <v>38</v>
      </c>
      <c r="M51" s="16">
        <v>19000</v>
      </c>
      <c r="N51" s="16">
        <v>17000</v>
      </c>
      <c r="O51" s="17">
        <v>46123</v>
      </c>
      <c r="P51" s="16">
        <v>2000</v>
      </c>
      <c r="Q51" s="16" t="s">
        <v>33</v>
      </c>
      <c r="R51" s="16" t="s">
        <v>39</v>
      </c>
      <c r="S51" s="16">
        <v>21800</v>
      </c>
      <c r="T51" s="16" t="s">
        <v>33</v>
      </c>
      <c r="U51" s="16" t="s">
        <v>33</v>
      </c>
      <c r="V51" s="16" t="s">
        <v>28</v>
      </c>
      <c r="W51" s="16">
        <v>2800</v>
      </c>
      <c r="X51" s="16" t="s">
        <v>36</v>
      </c>
      <c r="Y51" s="16" t="s">
        <v>29</v>
      </c>
      <c r="Z51" s="18">
        <v>14.736842105263158</v>
      </c>
      <c r="AA51" s="16"/>
      <c r="AB51" s="16"/>
    </row>
    <row r="52" spans="1:28">
      <c r="A52" s="16">
        <v>51</v>
      </c>
      <c r="B52" s="16" t="s">
        <v>30</v>
      </c>
      <c r="C52" s="16" t="s">
        <v>328</v>
      </c>
      <c r="D52" s="16" t="s">
        <v>32</v>
      </c>
      <c r="E52" s="16" t="s">
        <v>33</v>
      </c>
      <c r="F52" s="16" t="s">
        <v>329</v>
      </c>
      <c r="G52" s="19" t="s">
        <v>50</v>
      </c>
      <c r="H52" s="16">
        <v>17257</v>
      </c>
      <c r="I52" s="17">
        <v>46123</v>
      </c>
      <c r="J52" s="16">
        <v>16</v>
      </c>
      <c r="K52" s="16" t="s">
        <v>33</v>
      </c>
      <c r="L52" s="16" t="s">
        <v>239</v>
      </c>
      <c r="M52" s="16">
        <v>47000</v>
      </c>
      <c r="N52" s="16">
        <v>40000</v>
      </c>
      <c r="O52" s="17">
        <v>46123</v>
      </c>
      <c r="P52" s="16">
        <v>7000</v>
      </c>
      <c r="Q52" s="16" t="s">
        <v>33</v>
      </c>
      <c r="R52" s="16" t="s">
        <v>52</v>
      </c>
      <c r="S52" s="16">
        <v>53000</v>
      </c>
      <c r="T52" s="16" t="s">
        <v>33</v>
      </c>
      <c r="U52" s="16" t="s">
        <v>33</v>
      </c>
      <c r="V52" s="16" t="s">
        <v>28</v>
      </c>
      <c r="W52" s="16">
        <v>6000</v>
      </c>
      <c r="X52" s="16" t="s">
        <v>36</v>
      </c>
      <c r="Y52" s="16" t="s">
        <v>29</v>
      </c>
      <c r="Z52" s="18">
        <v>12.76595744680851</v>
      </c>
      <c r="AA52" s="16"/>
      <c r="AB52" s="16" t="s">
        <v>320</v>
      </c>
    </row>
    <row r="53" spans="1:28">
      <c r="A53" s="16">
        <v>52</v>
      </c>
      <c r="B53" s="16" t="s">
        <v>30</v>
      </c>
      <c r="C53" s="16" t="s">
        <v>216</v>
      </c>
      <c r="D53" s="16" t="s">
        <v>32</v>
      </c>
      <c r="E53" s="16" t="s">
        <v>33</v>
      </c>
      <c r="F53" s="16" t="s">
        <v>330</v>
      </c>
      <c r="G53" s="19" t="s">
        <v>50</v>
      </c>
      <c r="H53" s="16">
        <v>17258</v>
      </c>
      <c r="I53" s="17">
        <v>46123</v>
      </c>
      <c r="J53" s="16">
        <v>16</v>
      </c>
      <c r="K53" s="16" t="s">
        <v>33</v>
      </c>
      <c r="L53" s="16" t="s">
        <v>219</v>
      </c>
      <c r="M53" s="16">
        <v>44000</v>
      </c>
      <c r="N53" s="16">
        <v>40000</v>
      </c>
      <c r="O53" s="17">
        <v>46123</v>
      </c>
      <c r="P53" s="16">
        <v>4000</v>
      </c>
      <c r="Q53" s="16" t="s">
        <v>33</v>
      </c>
      <c r="R53" s="16" t="s">
        <v>52</v>
      </c>
      <c r="S53" s="16">
        <v>48000</v>
      </c>
      <c r="T53" s="16" t="s">
        <v>33</v>
      </c>
      <c r="U53" s="16" t="s">
        <v>33</v>
      </c>
      <c r="V53" s="16" t="s">
        <v>28</v>
      </c>
      <c r="W53" s="16">
        <v>4000</v>
      </c>
      <c r="X53" s="16" t="s">
        <v>36</v>
      </c>
      <c r="Y53" s="16" t="s">
        <v>29</v>
      </c>
      <c r="Z53" s="18">
        <v>9.0909090909090917</v>
      </c>
      <c r="AA53" s="16"/>
      <c r="AB53" s="16" t="s">
        <v>320</v>
      </c>
    </row>
    <row r="54" spans="1:28">
      <c r="A54" s="16">
        <v>53</v>
      </c>
      <c r="B54" s="16" t="s">
        <v>30</v>
      </c>
      <c r="C54" s="16" t="s">
        <v>44</v>
      </c>
      <c r="D54" s="16" t="s">
        <v>32</v>
      </c>
      <c r="E54" s="16" t="s">
        <v>33</v>
      </c>
      <c r="F54" s="16" t="s">
        <v>332</v>
      </c>
      <c r="G54" s="19">
        <v>407</v>
      </c>
      <c r="H54" s="16">
        <v>17261</v>
      </c>
      <c r="I54" s="17">
        <v>46123</v>
      </c>
      <c r="J54" s="16">
        <v>16</v>
      </c>
      <c r="K54" s="16" t="s">
        <v>33</v>
      </c>
      <c r="L54" s="16" t="s">
        <v>84</v>
      </c>
      <c r="M54" s="16">
        <v>27000</v>
      </c>
      <c r="N54" s="16">
        <v>25000</v>
      </c>
      <c r="O54" s="17">
        <v>46123</v>
      </c>
      <c r="P54" s="16">
        <v>2000</v>
      </c>
      <c r="Q54" s="16" t="s">
        <v>33</v>
      </c>
      <c r="R54" s="16" t="s">
        <v>56</v>
      </c>
      <c r="S54" s="16">
        <v>29800</v>
      </c>
      <c r="T54" s="16" t="s">
        <v>33</v>
      </c>
      <c r="U54" s="16" t="s">
        <v>33</v>
      </c>
      <c r="V54" s="16" t="s">
        <v>28</v>
      </c>
      <c r="W54" s="16">
        <v>2800</v>
      </c>
      <c r="X54" s="16" t="s">
        <v>36</v>
      </c>
      <c r="Y54" s="16" t="s">
        <v>29</v>
      </c>
      <c r="Z54" s="18">
        <v>10.37037037037037</v>
      </c>
      <c r="AA54" s="16"/>
      <c r="AB54" s="16"/>
    </row>
    <row r="55" spans="1:28">
      <c r="A55" s="16">
        <v>54</v>
      </c>
      <c r="B55" s="16" t="s">
        <v>30</v>
      </c>
      <c r="C55" s="16" t="s">
        <v>124</v>
      </c>
      <c r="D55" s="16" t="s">
        <v>32</v>
      </c>
      <c r="E55" s="16" t="s">
        <v>33</v>
      </c>
      <c r="F55" s="16" t="s">
        <v>122</v>
      </c>
      <c r="G55" s="19" t="s">
        <v>67</v>
      </c>
      <c r="H55" s="16">
        <v>17265</v>
      </c>
      <c r="I55" s="17">
        <v>46123</v>
      </c>
      <c r="J55" s="16">
        <v>16</v>
      </c>
      <c r="K55" s="16" t="s">
        <v>33</v>
      </c>
      <c r="L55" s="16" t="s">
        <v>123</v>
      </c>
      <c r="M55" s="16">
        <v>38500</v>
      </c>
      <c r="N55" s="16">
        <v>25500</v>
      </c>
      <c r="O55" s="17">
        <v>46125</v>
      </c>
      <c r="P55" s="16">
        <v>3000</v>
      </c>
      <c r="Q55" s="16" t="s">
        <v>33</v>
      </c>
      <c r="R55" s="16" t="s">
        <v>52</v>
      </c>
      <c r="S55" s="16">
        <v>42000</v>
      </c>
      <c r="T55" s="16" t="s">
        <v>33</v>
      </c>
      <c r="U55" s="16" t="s">
        <v>33</v>
      </c>
      <c r="V55" s="16" t="s">
        <v>28</v>
      </c>
      <c r="W55" s="16">
        <v>3500</v>
      </c>
      <c r="X55" s="16" t="s">
        <v>36</v>
      </c>
      <c r="Y55" s="16" t="s">
        <v>29</v>
      </c>
      <c r="Z55" s="18">
        <v>9.0909090909090917</v>
      </c>
      <c r="AA55" s="16"/>
      <c r="AB55" s="16" t="s">
        <v>320</v>
      </c>
    </row>
    <row r="56" spans="1:28">
      <c r="A56" s="16">
        <v>55</v>
      </c>
      <c r="B56" s="16" t="s">
        <v>30</v>
      </c>
      <c r="C56" s="16" t="s">
        <v>31</v>
      </c>
      <c r="D56" s="16" t="s">
        <v>32</v>
      </c>
      <c r="E56" s="16" t="s">
        <v>33</v>
      </c>
      <c r="F56" s="16" t="s">
        <v>342</v>
      </c>
      <c r="G56" s="19" t="s">
        <v>34</v>
      </c>
      <c r="H56" s="16">
        <v>17266</v>
      </c>
      <c r="I56" s="17">
        <v>46124</v>
      </c>
      <c r="J56" s="16">
        <v>15</v>
      </c>
      <c r="K56" s="16" t="s">
        <v>33</v>
      </c>
      <c r="L56" s="16" t="s">
        <v>111</v>
      </c>
      <c r="M56" s="16">
        <v>11700</v>
      </c>
      <c r="N56" s="16">
        <v>10700</v>
      </c>
      <c r="O56" s="17">
        <v>46125</v>
      </c>
      <c r="P56" s="16">
        <v>1000</v>
      </c>
      <c r="Q56" s="16" t="s">
        <v>33</v>
      </c>
      <c r="R56" s="16" t="s">
        <v>112</v>
      </c>
      <c r="S56" s="16">
        <v>13500</v>
      </c>
      <c r="T56" s="16" t="s">
        <v>33</v>
      </c>
      <c r="U56" s="16" t="s">
        <v>33</v>
      </c>
      <c r="V56" s="16" t="s">
        <v>28</v>
      </c>
      <c r="W56" s="16">
        <v>1800</v>
      </c>
      <c r="X56" s="16" t="s">
        <v>36</v>
      </c>
      <c r="Y56" s="16" t="s">
        <v>29</v>
      </c>
      <c r="Z56" s="18">
        <v>15.384615384615385</v>
      </c>
      <c r="AA56" s="16"/>
      <c r="AB56" s="16"/>
    </row>
    <row r="57" spans="1:28">
      <c r="A57" s="16">
        <v>56</v>
      </c>
      <c r="B57" s="16" t="s">
        <v>30</v>
      </c>
      <c r="C57" s="16" t="s">
        <v>31</v>
      </c>
      <c r="D57" s="16" t="s">
        <v>32</v>
      </c>
      <c r="E57" s="16" t="s">
        <v>33</v>
      </c>
      <c r="F57" s="16" t="s">
        <v>92</v>
      </c>
      <c r="G57" s="19" t="s">
        <v>34</v>
      </c>
      <c r="H57" s="16">
        <v>17267</v>
      </c>
      <c r="I57" s="17">
        <v>46123</v>
      </c>
      <c r="J57" s="16">
        <v>16</v>
      </c>
      <c r="K57" s="16" t="s">
        <v>33</v>
      </c>
      <c r="L57" s="16" t="s">
        <v>38</v>
      </c>
      <c r="M57" s="16">
        <v>19000</v>
      </c>
      <c r="N57" s="16">
        <v>17000</v>
      </c>
      <c r="O57" s="17">
        <v>46125</v>
      </c>
      <c r="P57" s="16">
        <v>2000</v>
      </c>
      <c r="Q57" s="16" t="s">
        <v>33</v>
      </c>
      <c r="R57" s="16" t="s">
        <v>39</v>
      </c>
      <c r="S57" s="16">
        <v>21800</v>
      </c>
      <c r="T57" s="16" t="s">
        <v>33</v>
      </c>
      <c r="U57" s="16" t="s">
        <v>33</v>
      </c>
      <c r="V57" s="16" t="s">
        <v>28</v>
      </c>
      <c r="W57" s="16">
        <v>2800</v>
      </c>
      <c r="X57" s="16" t="s">
        <v>36</v>
      </c>
      <c r="Y57" s="16" t="s">
        <v>29</v>
      </c>
      <c r="Z57" s="18">
        <v>14.736842105263158</v>
      </c>
      <c r="AA57" s="16"/>
      <c r="AB57" s="16"/>
    </row>
    <row r="58" spans="1:28">
      <c r="A58" s="16">
        <v>57</v>
      </c>
      <c r="B58" s="16" t="s">
        <v>30</v>
      </c>
      <c r="C58" s="16" t="s">
        <v>31</v>
      </c>
      <c r="D58" s="16" t="s">
        <v>32</v>
      </c>
      <c r="E58" s="16" t="s">
        <v>33</v>
      </c>
      <c r="F58" s="16" t="s">
        <v>348</v>
      </c>
      <c r="G58" s="19" t="s">
        <v>34</v>
      </c>
      <c r="H58" s="16">
        <v>17268</v>
      </c>
      <c r="I58" s="17">
        <v>46124</v>
      </c>
      <c r="J58" s="16">
        <v>15</v>
      </c>
      <c r="K58" s="16" t="s">
        <v>33</v>
      </c>
      <c r="L58" s="16" t="s">
        <v>38</v>
      </c>
      <c r="M58" s="16">
        <v>19000</v>
      </c>
      <c r="N58" s="16">
        <v>17000</v>
      </c>
      <c r="O58" s="17">
        <v>46125</v>
      </c>
      <c r="P58" s="16">
        <v>2000</v>
      </c>
      <c r="Q58" s="16" t="s">
        <v>33</v>
      </c>
      <c r="R58" s="16" t="s">
        <v>39</v>
      </c>
      <c r="S58" s="16">
        <v>21800</v>
      </c>
      <c r="T58" s="16" t="s">
        <v>33</v>
      </c>
      <c r="U58" s="16" t="s">
        <v>33</v>
      </c>
      <c r="V58" s="16" t="s">
        <v>28</v>
      </c>
      <c r="W58" s="16">
        <v>2800</v>
      </c>
      <c r="X58" s="16" t="s">
        <v>36</v>
      </c>
      <c r="Y58" s="16" t="s">
        <v>29</v>
      </c>
      <c r="Z58" s="18">
        <v>14.736842105263158</v>
      </c>
      <c r="AA58" s="16"/>
      <c r="AB58" s="16"/>
    </row>
    <row r="59" spans="1:28">
      <c r="A59" s="16">
        <v>58</v>
      </c>
      <c r="B59" s="16" t="s">
        <v>30</v>
      </c>
      <c r="C59" s="16" t="s">
        <v>31</v>
      </c>
      <c r="D59" s="16" t="s">
        <v>32</v>
      </c>
      <c r="E59" s="16" t="s">
        <v>33</v>
      </c>
      <c r="F59" s="16" t="s">
        <v>349</v>
      </c>
      <c r="G59" s="19" t="s">
        <v>34</v>
      </c>
      <c r="H59" s="16">
        <v>17269</v>
      </c>
      <c r="I59" s="17">
        <v>46124</v>
      </c>
      <c r="J59" s="16">
        <v>15</v>
      </c>
      <c r="K59" s="16" t="s">
        <v>33</v>
      </c>
      <c r="L59" s="16" t="s">
        <v>38</v>
      </c>
      <c r="M59" s="16">
        <v>19000</v>
      </c>
      <c r="N59" s="16">
        <v>17000</v>
      </c>
      <c r="O59" s="17">
        <v>46125</v>
      </c>
      <c r="P59" s="16">
        <v>2000</v>
      </c>
      <c r="Q59" s="16" t="s">
        <v>33</v>
      </c>
      <c r="R59" s="16" t="s">
        <v>39</v>
      </c>
      <c r="S59" s="16">
        <v>21800</v>
      </c>
      <c r="T59" s="16" t="s">
        <v>33</v>
      </c>
      <c r="U59" s="16" t="s">
        <v>33</v>
      </c>
      <c r="V59" s="16" t="s">
        <v>28</v>
      </c>
      <c r="W59" s="16">
        <v>2800</v>
      </c>
      <c r="X59" s="16" t="s">
        <v>36</v>
      </c>
      <c r="Y59" s="16" t="s">
        <v>29</v>
      </c>
      <c r="Z59" s="18">
        <v>14.736842105263158</v>
      </c>
      <c r="AA59" s="16"/>
      <c r="AB59" s="16"/>
    </row>
    <row r="60" spans="1:28">
      <c r="A60" s="16">
        <v>59</v>
      </c>
      <c r="B60" s="16" t="s">
        <v>30</v>
      </c>
      <c r="C60" s="16" t="s">
        <v>31</v>
      </c>
      <c r="D60" s="16" t="s">
        <v>32</v>
      </c>
      <c r="E60" s="16" t="s">
        <v>33</v>
      </c>
      <c r="F60" s="16" t="s">
        <v>350</v>
      </c>
      <c r="G60" s="19" t="s">
        <v>34</v>
      </c>
      <c r="H60" s="16">
        <v>17270</v>
      </c>
      <c r="I60" s="17">
        <v>46124</v>
      </c>
      <c r="J60" s="16">
        <v>15</v>
      </c>
      <c r="K60" s="16" t="s">
        <v>33</v>
      </c>
      <c r="L60" s="16" t="s">
        <v>38</v>
      </c>
      <c r="M60" s="16">
        <v>19000</v>
      </c>
      <c r="N60" s="16">
        <v>17000</v>
      </c>
      <c r="O60" s="17">
        <v>46125</v>
      </c>
      <c r="P60" s="16">
        <v>2000</v>
      </c>
      <c r="Q60" s="16" t="s">
        <v>33</v>
      </c>
      <c r="R60" s="16" t="s">
        <v>39</v>
      </c>
      <c r="S60" s="16">
        <v>21800</v>
      </c>
      <c r="T60" s="16" t="s">
        <v>33</v>
      </c>
      <c r="U60" s="16" t="s">
        <v>33</v>
      </c>
      <c r="V60" s="16" t="s">
        <v>28</v>
      </c>
      <c r="W60" s="16">
        <v>2800</v>
      </c>
      <c r="X60" s="16" t="s">
        <v>36</v>
      </c>
      <c r="Y60" s="16" t="s">
        <v>29</v>
      </c>
      <c r="Z60" s="18">
        <v>14.736842105263158</v>
      </c>
      <c r="AA60" s="16"/>
      <c r="AB60" s="16"/>
    </row>
    <row r="61" spans="1:28">
      <c r="A61" s="16">
        <v>60</v>
      </c>
      <c r="B61" s="16" t="s">
        <v>30</v>
      </c>
      <c r="C61" s="16" t="s">
        <v>31</v>
      </c>
      <c r="D61" s="16" t="s">
        <v>32</v>
      </c>
      <c r="E61" s="16" t="s">
        <v>33</v>
      </c>
      <c r="F61" s="16" t="s">
        <v>343</v>
      </c>
      <c r="G61" s="19" t="s">
        <v>34</v>
      </c>
      <c r="H61" s="16">
        <v>17273</v>
      </c>
      <c r="I61" s="17">
        <v>46123</v>
      </c>
      <c r="J61" s="16">
        <v>16</v>
      </c>
      <c r="K61" s="16" t="s">
        <v>33</v>
      </c>
      <c r="L61" s="16" t="s">
        <v>273</v>
      </c>
      <c r="M61" s="16">
        <v>18000</v>
      </c>
      <c r="N61" s="16">
        <v>16000</v>
      </c>
      <c r="O61" s="17">
        <v>46125</v>
      </c>
      <c r="P61" s="16">
        <v>2000</v>
      </c>
      <c r="Q61" s="16" t="s">
        <v>33</v>
      </c>
      <c r="R61" s="16" t="s">
        <v>56</v>
      </c>
      <c r="S61" s="16">
        <v>20500</v>
      </c>
      <c r="T61" s="16" t="s">
        <v>33</v>
      </c>
      <c r="U61" s="16" t="s">
        <v>33</v>
      </c>
      <c r="V61" s="16" t="s">
        <v>28</v>
      </c>
      <c r="W61" s="16">
        <v>2500</v>
      </c>
      <c r="X61" s="16" t="s">
        <v>36</v>
      </c>
      <c r="Y61" s="16" t="s">
        <v>29</v>
      </c>
      <c r="Z61" s="18">
        <v>13.888888888888889</v>
      </c>
      <c r="AA61" s="16"/>
      <c r="AB61" s="16"/>
    </row>
    <row r="62" spans="1:28">
      <c r="A62" s="16">
        <v>61</v>
      </c>
      <c r="B62" s="16" t="s">
        <v>30</v>
      </c>
      <c r="C62" s="16" t="s">
        <v>31</v>
      </c>
      <c r="D62" s="16" t="s">
        <v>32</v>
      </c>
      <c r="E62" s="16" t="s">
        <v>33</v>
      </c>
      <c r="F62" s="16" t="s">
        <v>128</v>
      </c>
      <c r="G62" s="19" t="s">
        <v>34</v>
      </c>
      <c r="H62" s="16">
        <v>17275</v>
      </c>
      <c r="I62" s="17">
        <v>46124</v>
      </c>
      <c r="J62" s="16">
        <v>15</v>
      </c>
      <c r="K62" s="16" t="s">
        <v>33</v>
      </c>
      <c r="L62" s="16" t="s">
        <v>273</v>
      </c>
      <c r="M62" s="16">
        <v>18000</v>
      </c>
      <c r="N62" s="16">
        <v>16000</v>
      </c>
      <c r="O62" s="17">
        <v>46125</v>
      </c>
      <c r="P62" s="16">
        <v>2000</v>
      </c>
      <c r="Q62" s="16" t="s">
        <v>33</v>
      </c>
      <c r="R62" s="16" t="s">
        <v>56</v>
      </c>
      <c r="S62" s="16">
        <v>20500</v>
      </c>
      <c r="T62" s="16" t="s">
        <v>33</v>
      </c>
      <c r="U62" s="16" t="s">
        <v>33</v>
      </c>
      <c r="V62" s="16" t="s">
        <v>28</v>
      </c>
      <c r="W62" s="16">
        <v>2500</v>
      </c>
      <c r="X62" s="16" t="s">
        <v>36</v>
      </c>
      <c r="Y62" s="16" t="s">
        <v>29</v>
      </c>
      <c r="Z62" s="18">
        <v>13.888888888888889</v>
      </c>
      <c r="AA62" s="16"/>
      <c r="AB62" s="16"/>
    </row>
    <row r="63" spans="1:28">
      <c r="A63" s="16">
        <v>62</v>
      </c>
      <c r="B63" s="16" t="s">
        <v>30</v>
      </c>
      <c r="C63" s="16" t="s">
        <v>44</v>
      </c>
      <c r="D63" s="16" t="s">
        <v>32</v>
      </c>
      <c r="E63" s="16" t="s">
        <v>33</v>
      </c>
      <c r="F63" s="16" t="s">
        <v>351</v>
      </c>
      <c r="G63" s="19">
        <v>407</v>
      </c>
      <c r="H63" s="16">
        <v>17277</v>
      </c>
      <c r="I63" s="17">
        <v>46122</v>
      </c>
      <c r="J63" s="16">
        <v>17</v>
      </c>
      <c r="K63" s="16" t="s">
        <v>33</v>
      </c>
      <c r="L63" s="16" t="s">
        <v>84</v>
      </c>
      <c r="M63" s="16">
        <v>27000</v>
      </c>
      <c r="N63" s="16">
        <v>25000</v>
      </c>
      <c r="O63" s="17">
        <v>46125</v>
      </c>
      <c r="P63" s="16">
        <v>2000</v>
      </c>
      <c r="Q63" s="16" t="s">
        <v>33</v>
      </c>
      <c r="R63" s="16" t="s">
        <v>78</v>
      </c>
      <c r="S63" s="16">
        <v>29800</v>
      </c>
      <c r="T63" s="16" t="s">
        <v>33</v>
      </c>
      <c r="U63" s="16" t="s">
        <v>33</v>
      </c>
      <c r="V63" s="16" t="s">
        <v>28</v>
      </c>
      <c r="W63" s="16">
        <v>2800</v>
      </c>
      <c r="X63" s="16" t="s">
        <v>36</v>
      </c>
      <c r="Y63" s="16" t="s">
        <v>29</v>
      </c>
      <c r="Z63" s="18">
        <v>10.37037037037037</v>
      </c>
      <c r="AA63" s="16"/>
      <c r="AB63" s="16"/>
    </row>
    <row r="64" spans="1:28">
      <c r="A64" s="16">
        <v>63</v>
      </c>
      <c r="B64" s="16" t="s">
        <v>30</v>
      </c>
      <c r="C64" s="16" t="s">
        <v>44</v>
      </c>
      <c r="D64" s="16" t="s">
        <v>32</v>
      </c>
      <c r="E64" s="16" t="s">
        <v>33</v>
      </c>
      <c r="F64" s="16" t="s">
        <v>352</v>
      </c>
      <c r="G64" s="19">
        <v>407</v>
      </c>
      <c r="H64" s="16">
        <v>17278</v>
      </c>
      <c r="I64" s="17">
        <v>46124</v>
      </c>
      <c r="J64" s="16">
        <v>15</v>
      </c>
      <c r="K64" s="16" t="s">
        <v>33</v>
      </c>
      <c r="L64" s="16" t="s">
        <v>84</v>
      </c>
      <c r="M64" s="16">
        <v>27000</v>
      </c>
      <c r="N64" s="16">
        <v>25000</v>
      </c>
      <c r="O64" s="17">
        <v>46125</v>
      </c>
      <c r="P64" s="16">
        <v>2000</v>
      </c>
      <c r="Q64" s="16" t="s">
        <v>33</v>
      </c>
      <c r="R64" s="16" t="s">
        <v>78</v>
      </c>
      <c r="S64" s="16">
        <v>29800</v>
      </c>
      <c r="T64" s="16" t="s">
        <v>33</v>
      </c>
      <c r="U64" s="16" t="s">
        <v>33</v>
      </c>
      <c r="V64" s="16" t="s">
        <v>28</v>
      </c>
      <c r="W64" s="16">
        <v>2800</v>
      </c>
      <c r="X64" s="16" t="s">
        <v>36</v>
      </c>
      <c r="Y64" s="16" t="s">
        <v>29</v>
      </c>
      <c r="Z64" s="18">
        <v>10.37037037037037</v>
      </c>
      <c r="AA64" s="16"/>
      <c r="AB64" s="16"/>
    </row>
    <row r="65" spans="1:28">
      <c r="A65" s="16">
        <v>64</v>
      </c>
      <c r="B65" s="16" t="s">
        <v>30</v>
      </c>
      <c r="C65" s="16" t="s">
        <v>44</v>
      </c>
      <c r="D65" s="16" t="s">
        <v>32</v>
      </c>
      <c r="E65" s="16" t="s">
        <v>33</v>
      </c>
      <c r="F65" s="16" t="s">
        <v>353</v>
      </c>
      <c r="G65" s="19">
        <v>407</v>
      </c>
      <c r="H65" s="16">
        <v>17279</v>
      </c>
      <c r="I65" s="17">
        <v>46124</v>
      </c>
      <c r="J65" s="16">
        <v>15</v>
      </c>
      <c r="K65" s="16" t="s">
        <v>33</v>
      </c>
      <c r="L65" s="16" t="s">
        <v>84</v>
      </c>
      <c r="M65" s="16">
        <v>27000</v>
      </c>
      <c r="N65" s="16">
        <v>25000</v>
      </c>
      <c r="O65" s="17">
        <v>46125</v>
      </c>
      <c r="P65" s="16">
        <v>2000</v>
      </c>
      <c r="Q65" s="16" t="s">
        <v>33</v>
      </c>
      <c r="R65" s="16" t="s">
        <v>78</v>
      </c>
      <c r="S65" s="16">
        <v>29800</v>
      </c>
      <c r="T65" s="16" t="s">
        <v>33</v>
      </c>
      <c r="U65" s="16" t="s">
        <v>33</v>
      </c>
      <c r="V65" s="16" t="s">
        <v>28</v>
      </c>
      <c r="W65" s="16">
        <v>2800</v>
      </c>
      <c r="X65" s="16" t="s">
        <v>36</v>
      </c>
      <c r="Y65" s="16" t="s">
        <v>29</v>
      </c>
      <c r="Z65" s="18">
        <v>10.37037037037037</v>
      </c>
      <c r="AA65" s="16"/>
      <c r="AB65" s="16"/>
    </row>
    <row r="66" spans="1:28">
      <c r="A66" s="16">
        <v>65</v>
      </c>
      <c r="B66" s="16" t="s">
        <v>30</v>
      </c>
      <c r="C66" s="16" t="s">
        <v>44</v>
      </c>
      <c r="D66" s="16" t="s">
        <v>32</v>
      </c>
      <c r="E66" s="16" t="s">
        <v>33</v>
      </c>
      <c r="F66" s="16" t="s">
        <v>359</v>
      </c>
      <c r="G66" s="19">
        <v>407</v>
      </c>
      <c r="H66" s="16">
        <v>17285</v>
      </c>
      <c r="I66" s="17">
        <v>46125</v>
      </c>
      <c r="J66" s="16">
        <v>14</v>
      </c>
      <c r="K66" s="16" t="s">
        <v>33</v>
      </c>
      <c r="L66" s="16" t="s">
        <v>84</v>
      </c>
      <c r="M66" s="16">
        <v>27000</v>
      </c>
      <c r="N66" s="16">
        <v>25000</v>
      </c>
      <c r="O66" s="17">
        <v>46125</v>
      </c>
      <c r="P66" s="16">
        <v>2000</v>
      </c>
      <c r="Q66" s="16" t="s">
        <v>33</v>
      </c>
      <c r="R66" s="16" t="s">
        <v>56</v>
      </c>
      <c r="S66" s="16">
        <v>29800</v>
      </c>
      <c r="T66" s="16" t="s">
        <v>33</v>
      </c>
      <c r="U66" s="16" t="s">
        <v>33</v>
      </c>
      <c r="V66" s="16" t="s">
        <v>28</v>
      </c>
      <c r="W66" s="16">
        <v>2800</v>
      </c>
      <c r="X66" s="16" t="s">
        <v>36</v>
      </c>
      <c r="Y66" s="16" t="s">
        <v>29</v>
      </c>
      <c r="Z66" s="18">
        <v>10.37037037037037</v>
      </c>
      <c r="AA66" s="16"/>
      <c r="AB66" s="16"/>
    </row>
    <row r="67" spans="1:28">
      <c r="A67" s="16">
        <v>66</v>
      </c>
      <c r="B67" s="16" t="s">
        <v>30</v>
      </c>
      <c r="C67" s="16" t="s">
        <v>216</v>
      </c>
      <c r="D67" s="16" t="s">
        <v>32</v>
      </c>
      <c r="E67" s="16" t="s">
        <v>33</v>
      </c>
      <c r="F67" s="16" t="s">
        <v>215</v>
      </c>
      <c r="G67" s="19" t="s">
        <v>67</v>
      </c>
      <c r="H67" s="16">
        <v>17287</v>
      </c>
      <c r="I67" s="17">
        <v>46125</v>
      </c>
      <c r="J67" s="16">
        <v>14</v>
      </c>
      <c r="K67" s="16" t="s">
        <v>33</v>
      </c>
      <c r="L67" s="16" t="s">
        <v>217</v>
      </c>
      <c r="M67" s="16">
        <v>38500</v>
      </c>
      <c r="N67" s="16">
        <v>35500</v>
      </c>
      <c r="O67" s="17">
        <v>46126</v>
      </c>
      <c r="P67" s="16">
        <v>3000</v>
      </c>
      <c r="Q67" s="16" t="s">
        <v>33</v>
      </c>
      <c r="R67" s="16" t="s">
        <v>52</v>
      </c>
      <c r="S67" s="16">
        <v>42000</v>
      </c>
      <c r="T67" s="16" t="s">
        <v>33</v>
      </c>
      <c r="U67" s="16" t="s">
        <v>33</v>
      </c>
      <c r="V67" s="16" t="s">
        <v>28</v>
      </c>
      <c r="W67" s="16">
        <v>3500</v>
      </c>
      <c r="X67" s="16" t="s">
        <v>36</v>
      </c>
      <c r="Y67" s="16" t="s">
        <v>29</v>
      </c>
      <c r="Z67" s="18">
        <v>9.0909090909090917</v>
      </c>
      <c r="AA67" s="16"/>
      <c r="AB67" s="16" t="s">
        <v>320</v>
      </c>
    </row>
    <row r="68" spans="1:28">
      <c r="A68" s="16">
        <v>67</v>
      </c>
      <c r="B68" s="16" t="s">
        <v>30</v>
      </c>
      <c r="C68" s="16" t="s">
        <v>227</v>
      </c>
      <c r="D68" s="16" t="s">
        <v>32</v>
      </c>
      <c r="E68" s="16" t="s">
        <v>33</v>
      </c>
      <c r="F68" s="16" t="s">
        <v>228</v>
      </c>
      <c r="G68" s="19" t="s">
        <v>67</v>
      </c>
      <c r="H68" s="16">
        <v>17290</v>
      </c>
      <c r="I68" s="17">
        <v>46125</v>
      </c>
      <c r="J68" s="16">
        <v>14</v>
      </c>
      <c r="K68" s="16" t="s">
        <v>33</v>
      </c>
      <c r="L68" s="16" t="s">
        <v>229</v>
      </c>
      <c r="M68" s="16">
        <v>17800</v>
      </c>
      <c r="N68" s="16">
        <v>15800</v>
      </c>
      <c r="O68" s="17">
        <v>46126</v>
      </c>
      <c r="P68" s="16">
        <v>2000</v>
      </c>
      <c r="Q68" s="16" t="s">
        <v>33</v>
      </c>
      <c r="R68" s="16" t="s">
        <v>112</v>
      </c>
      <c r="S68" s="16">
        <v>20050</v>
      </c>
      <c r="T68" s="16" t="s">
        <v>33</v>
      </c>
      <c r="U68" s="16" t="s">
        <v>33</v>
      </c>
      <c r="V68" s="16" t="s">
        <v>28</v>
      </c>
      <c r="W68" s="16">
        <v>2250</v>
      </c>
      <c r="X68" s="16" t="s">
        <v>36</v>
      </c>
      <c r="Y68" s="16" t="s">
        <v>29</v>
      </c>
      <c r="Z68" s="18">
        <v>12.640449438202246</v>
      </c>
      <c r="AA68" s="16"/>
      <c r="AB68" s="16" t="s">
        <v>320</v>
      </c>
    </row>
    <row r="69" spans="1:28">
      <c r="A69" s="16">
        <v>68</v>
      </c>
      <c r="B69" s="16" t="s">
        <v>30</v>
      </c>
      <c r="C69" s="16" t="s">
        <v>31</v>
      </c>
      <c r="D69" s="16" t="s">
        <v>32</v>
      </c>
      <c r="E69" s="16" t="s">
        <v>33</v>
      </c>
      <c r="F69" s="16" t="s">
        <v>374</v>
      </c>
      <c r="G69" s="19" t="s">
        <v>34</v>
      </c>
      <c r="H69" s="16">
        <v>17295</v>
      </c>
      <c r="I69" s="17">
        <v>46126</v>
      </c>
      <c r="J69" s="16">
        <v>13</v>
      </c>
      <c r="K69" s="16" t="s">
        <v>33</v>
      </c>
      <c r="L69" s="16" t="s">
        <v>111</v>
      </c>
      <c r="M69" s="16">
        <v>11700</v>
      </c>
      <c r="N69" s="16">
        <v>10700</v>
      </c>
      <c r="O69" s="17">
        <v>46126</v>
      </c>
      <c r="P69" s="16">
        <v>1000</v>
      </c>
      <c r="Q69" s="16" t="s">
        <v>33</v>
      </c>
      <c r="R69" s="16" t="s">
        <v>112</v>
      </c>
      <c r="S69" s="16">
        <v>13500</v>
      </c>
      <c r="T69" s="16" t="s">
        <v>33</v>
      </c>
      <c r="U69" s="16" t="s">
        <v>33</v>
      </c>
      <c r="V69" s="16" t="s">
        <v>28</v>
      </c>
      <c r="W69" s="16">
        <v>1800</v>
      </c>
      <c r="X69" s="16" t="s">
        <v>36</v>
      </c>
      <c r="Y69" s="16" t="s">
        <v>29</v>
      </c>
      <c r="Z69" s="18">
        <v>15.384615384615385</v>
      </c>
      <c r="AA69" s="16"/>
      <c r="AB69" s="16"/>
    </row>
    <row r="70" spans="1:28">
      <c r="A70" s="16">
        <v>69</v>
      </c>
      <c r="B70" s="16" t="s">
        <v>30</v>
      </c>
      <c r="C70" s="16" t="s">
        <v>44</v>
      </c>
      <c r="D70" s="16" t="s">
        <v>32</v>
      </c>
      <c r="E70" s="16" t="s">
        <v>33</v>
      </c>
      <c r="F70" s="16" t="s">
        <v>378</v>
      </c>
      <c r="G70" s="19" t="s">
        <v>46</v>
      </c>
      <c r="H70" s="16">
        <v>17298</v>
      </c>
      <c r="I70" s="17">
        <v>46126</v>
      </c>
      <c r="J70" s="16">
        <v>13</v>
      </c>
      <c r="K70" s="16" t="s">
        <v>33</v>
      </c>
      <c r="L70" s="16" t="s">
        <v>47</v>
      </c>
      <c r="M70" s="16">
        <v>19000</v>
      </c>
      <c r="N70" s="16">
        <v>17000</v>
      </c>
      <c r="O70" s="17">
        <v>46126</v>
      </c>
      <c r="P70" s="16">
        <v>2000</v>
      </c>
      <c r="Q70" s="16" t="s">
        <v>33</v>
      </c>
      <c r="R70" s="16" t="s">
        <v>39</v>
      </c>
      <c r="S70" s="16">
        <v>21800</v>
      </c>
      <c r="T70" s="16" t="s">
        <v>33</v>
      </c>
      <c r="U70" s="16" t="s">
        <v>33</v>
      </c>
      <c r="V70" s="16" t="s">
        <v>28</v>
      </c>
      <c r="W70" s="16">
        <v>2800</v>
      </c>
      <c r="X70" s="16" t="s">
        <v>36</v>
      </c>
      <c r="Y70" s="16" t="s">
        <v>29</v>
      </c>
      <c r="Z70" s="18">
        <v>14.736842105263158</v>
      </c>
      <c r="AA70" s="16"/>
      <c r="AB70" s="16"/>
    </row>
    <row r="71" spans="1:28">
      <c r="A71" s="16">
        <v>70</v>
      </c>
      <c r="B71" s="16" t="s">
        <v>30</v>
      </c>
      <c r="C71" s="16" t="s">
        <v>44</v>
      </c>
      <c r="D71" s="16" t="s">
        <v>32</v>
      </c>
      <c r="E71" s="16" t="s">
        <v>33</v>
      </c>
      <c r="F71" s="16" t="s">
        <v>380</v>
      </c>
      <c r="G71" s="19">
        <v>407</v>
      </c>
      <c r="H71" s="16">
        <v>17300</v>
      </c>
      <c r="I71" s="17">
        <v>46126</v>
      </c>
      <c r="J71" s="16">
        <v>13</v>
      </c>
      <c r="K71" s="16" t="s">
        <v>33</v>
      </c>
      <c r="L71" s="16" t="s">
        <v>381</v>
      </c>
      <c r="M71" s="16">
        <v>27500</v>
      </c>
      <c r="N71" s="16">
        <v>25500</v>
      </c>
      <c r="O71" s="17">
        <v>46126</v>
      </c>
      <c r="P71" s="16">
        <v>2000</v>
      </c>
      <c r="Q71" s="16" t="s">
        <v>33</v>
      </c>
      <c r="R71" s="16" t="s">
        <v>56</v>
      </c>
      <c r="S71" s="16">
        <v>30800</v>
      </c>
      <c r="T71" s="16" t="s">
        <v>33</v>
      </c>
      <c r="U71" s="16" t="s">
        <v>33</v>
      </c>
      <c r="V71" s="16" t="s">
        <v>28</v>
      </c>
      <c r="W71" s="16">
        <v>3300</v>
      </c>
      <c r="X71" s="16" t="s">
        <v>36</v>
      </c>
      <c r="Y71" s="16" t="s">
        <v>29</v>
      </c>
      <c r="Z71" s="18">
        <v>12</v>
      </c>
      <c r="AA71" s="16"/>
      <c r="AB71" s="16"/>
    </row>
    <row r="72" spans="1:28">
      <c r="A72" s="16">
        <v>71</v>
      </c>
      <c r="B72" s="16" t="s">
        <v>30</v>
      </c>
      <c r="C72" s="16" t="s">
        <v>31</v>
      </c>
      <c r="D72" s="16" t="s">
        <v>32</v>
      </c>
      <c r="E72" s="16" t="s">
        <v>33</v>
      </c>
      <c r="F72" s="16" t="s">
        <v>382</v>
      </c>
      <c r="G72" s="19" t="s">
        <v>34</v>
      </c>
      <c r="H72" s="16" t="s">
        <v>383</v>
      </c>
      <c r="I72" s="17">
        <v>46126</v>
      </c>
      <c r="J72" s="16">
        <v>13</v>
      </c>
      <c r="K72" s="16" t="s">
        <v>33</v>
      </c>
      <c r="L72" s="16" t="s">
        <v>273</v>
      </c>
      <c r="M72" s="16">
        <v>18000</v>
      </c>
      <c r="N72" s="16">
        <v>16000</v>
      </c>
      <c r="O72" s="17">
        <v>46126</v>
      </c>
      <c r="P72" s="16">
        <v>2000</v>
      </c>
      <c r="Q72" s="16" t="s">
        <v>33</v>
      </c>
      <c r="R72" s="16" t="s">
        <v>56</v>
      </c>
      <c r="S72" s="16">
        <v>20500</v>
      </c>
      <c r="T72" s="16" t="s">
        <v>33</v>
      </c>
      <c r="U72" s="16" t="s">
        <v>33</v>
      </c>
      <c r="V72" s="16" t="s">
        <v>28</v>
      </c>
      <c r="W72" s="16">
        <v>2500</v>
      </c>
      <c r="X72" s="16" t="s">
        <v>36</v>
      </c>
      <c r="Y72" s="16" t="s">
        <v>29</v>
      </c>
      <c r="Z72" s="18">
        <v>13.888888888888889</v>
      </c>
      <c r="AA72" s="16"/>
      <c r="AB72" s="16"/>
    </row>
    <row r="73" spans="1:28">
      <c r="A73" s="16">
        <v>72</v>
      </c>
      <c r="B73" s="16" t="s">
        <v>30</v>
      </c>
      <c r="C73" s="16" t="s">
        <v>31</v>
      </c>
      <c r="D73" s="16" t="s">
        <v>32</v>
      </c>
      <c r="E73" s="16" t="s">
        <v>33</v>
      </c>
      <c r="F73" s="16" t="s">
        <v>384</v>
      </c>
      <c r="G73" s="19" t="s">
        <v>34</v>
      </c>
      <c r="H73" s="16" t="s">
        <v>385</v>
      </c>
      <c r="I73" s="17">
        <v>46126</v>
      </c>
      <c r="J73" s="16">
        <v>13</v>
      </c>
      <c r="K73" s="16" t="s">
        <v>33</v>
      </c>
      <c r="L73" s="16" t="s">
        <v>273</v>
      </c>
      <c r="M73" s="16">
        <v>18000</v>
      </c>
      <c r="N73" s="16">
        <v>16000</v>
      </c>
      <c r="O73" s="17">
        <v>46126</v>
      </c>
      <c r="P73" s="16">
        <v>2000</v>
      </c>
      <c r="Q73" s="16" t="s">
        <v>33</v>
      </c>
      <c r="R73" s="16" t="s">
        <v>56</v>
      </c>
      <c r="S73" s="16">
        <v>20500</v>
      </c>
      <c r="T73" s="16" t="s">
        <v>33</v>
      </c>
      <c r="U73" s="16" t="s">
        <v>33</v>
      </c>
      <c r="V73" s="16" t="s">
        <v>28</v>
      </c>
      <c r="W73" s="16">
        <v>2500</v>
      </c>
      <c r="X73" s="16" t="s">
        <v>36</v>
      </c>
      <c r="Y73" s="16" t="s">
        <v>29</v>
      </c>
      <c r="Z73" s="18">
        <v>13.888888888888889</v>
      </c>
      <c r="AA73" s="16"/>
      <c r="AB73" s="16"/>
    </row>
    <row r="74" spans="1:28">
      <c r="A74" s="16">
        <v>73</v>
      </c>
      <c r="B74" s="16" t="s">
        <v>30</v>
      </c>
      <c r="C74" s="16" t="s">
        <v>80</v>
      </c>
      <c r="D74" s="16" t="s">
        <v>32</v>
      </c>
      <c r="E74" s="16" t="s">
        <v>33</v>
      </c>
      <c r="F74" s="16" t="s">
        <v>386</v>
      </c>
      <c r="G74" s="19" t="s">
        <v>59</v>
      </c>
      <c r="H74" s="43" t="s">
        <v>387</v>
      </c>
      <c r="I74" s="17">
        <v>46123</v>
      </c>
      <c r="J74" s="16">
        <v>16</v>
      </c>
      <c r="K74" s="16" t="s">
        <v>33</v>
      </c>
      <c r="L74" s="16" t="s">
        <v>82</v>
      </c>
      <c r="M74" s="16">
        <v>22500</v>
      </c>
      <c r="N74" s="16">
        <v>22500</v>
      </c>
      <c r="O74" s="17">
        <v>46126</v>
      </c>
      <c r="P74" s="16">
        <v>0</v>
      </c>
      <c r="Q74" s="16" t="s">
        <v>33</v>
      </c>
      <c r="R74" s="16" t="s">
        <v>39</v>
      </c>
      <c r="S74" s="16">
        <v>25200</v>
      </c>
      <c r="T74" s="16" t="s">
        <v>33</v>
      </c>
      <c r="U74" s="16" t="s">
        <v>33</v>
      </c>
      <c r="V74" s="16" t="s">
        <v>28</v>
      </c>
      <c r="W74" s="16">
        <v>2700</v>
      </c>
      <c r="X74" s="16" t="s">
        <v>36</v>
      </c>
      <c r="Y74" s="16" t="s">
        <v>29</v>
      </c>
      <c r="Z74" s="18">
        <v>12</v>
      </c>
      <c r="AA74" s="16"/>
      <c r="AB74" s="16"/>
    </row>
    <row r="75" spans="1:28">
      <c r="A75" s="16">
        <v>74</v>
      </c>
      <c r="B75" s="16" t="s">
        <v>30</v>
      </c>
      <c r="C75" s="16" t="s">
        <v>31</v>
      </c>
      <c r="D75" s="16" t="s">
        <v>32</v>
      </c>
      <c r="E75" s="16" t="s">
        <v>33</v>
      </c>
      <c r="F75" s="16" t="s">
        <v>388</v>
      </c>
      <c r="G75" s="19" t="s">
        <v>34</v>
      </c>
      <c r="H75" s="16" t="s">
        <v>389</v>
      </c>
      <c r="I75" s="17">
        <v>46126</v>
      </c>
      <c r="J75" s="16">
        <v>13</v>
      </c>
      <c r="K75" s="16" t="s">
        <v>33</v>
      </c>
      <c r="L75" s="16" t="s">
        <v>35</v>
      </c>
      <c r="M75" s="16">
        <v>23300</v>
      </c>
      <c r="N75" s="16">
        <v>21500</v>
      </c>
      <c r="O75" s="17">
        <v>46126</v>
      </c>
      <c r="P75" s="16">
        <v>1800</v>
      </c>
      <c r="Q75" s="16" t="s">
        <v>33</v>
      </c>
      <c r="R75" s="16" t="s">
        <v>37</v>
      </c>
      <c r="S75" s="16">
        <v>26000</v>
      </c>
      <c r="T75" s="16" t="s">
        <v>33</v>
      </c>
      <c r="U75" s="16" t="s">
        <v>33</v>
      </c>
      <c r="V75" s="16" t="s">
        <v>28</v>
      </c>
      <c r="W75" s="16">
        <v>2700</v>
      </c>
      <c r="X75" s="16" t="s">
        <v>36</v>
      </c>
      <c r="Y75" s="16" t="s">
        <v>29</v>
      </c>
      <c r="Z75" s="18">
        <v>11.587982832618026</v>
      </c>
      <c r="AA75" s="16"/>
      <c r="AB75" s="16"/>
    </row>
    <row r="76" spans="1:28">
      <c r="A76" s="16">
        <v>75</v>
      </c>
      <c r="B76" s="16" t="s">
        <v>30</v>
      </c>
      <c r="C76" s="16" t="s">
        <v>44</v>
      </c>
      <c r="D76" s="16" t="s">
        <v>32</v>
      </c>
      <c r="E76" s="16" t="s">
        <v>33</v>
      </c>
      <c r="F76" s="16" t="s">
        <v>393</v>
      </c>
      <c r="G76" s="19" t="s">
        <v>46</v>
      </c>
      <c r="H76" s="16" t="s">
        <v>394</v>
      </c>
      <c r="I76" s="17">
        <v>46119</v>
      </c>
      <c r="J76" s="16">
        <v>20</v>
      </c>
      <c r="K76" s="16" t="s">
        <v>33</v>
      </c>
      <c r="L76" s="16" t="s">
        <v>181</v>
      </c>
      <c r="M76" s="16">
        <v>12500</v>
      </c>
      <c r="N76" s="16">
        <v>11500</v>
      </c>
      <c r="O76" s="17">
        <v>46126</v>
      </c>
      <c r="P76" s="16">
        <v>1000</v>
      </c>
      <c r="Q76" s="16" t="s">
        <v>33</v>
      </c>
      <c r="R76" s="16" t="s">
        <v>112</v>
      </c>
      <c r="S76" s="16">
        <v>14500</v>
      </c>
      <c r="T76" s="16" t="s">
        <v>33</v>
      </c>
      <c r="U76" s="16" t="s">
        <v>33</v>
      </c>
      <c r="V76" s="16" t="s">
        <v>28</v>
      </c>
      <c r="W76" s="16">
        <v>2000</v>
      </c>
      <c r="X76" s="16" t="s">
        <v>36</v>
      </c>
      <c r="Y76" s="16" t="s">
        <v>29</v>
      </c>
      <c r="Z76" s="18">
        <v>16</v>
      </c>
      <c r="AA76" s="16"/>
      <c r="AB76" s="16"/>
    </row>
    <row r="77" spans="1:28">
      <c r="A77" s="16">
        <v>76</v>
      </c>
      <c r="B77" s="16" t="s">
        <v>30</v>
      </c>
      <c r="C77" s="16" t="s">
        <v>31</v>
      </c>
      <c r="D77" s="16" t="s">
        <v>32</v>
      </c>
      <c r="E77" s="16" t="s">
        <v>33</v>
      </c>
      <c r="F77" s="16" t="s">
        <v>403</v>
      </c>
      <c r="G77" s="19" t="s">
        <v>34</v>
      </c>
      <c r="H77" s="16" t="s">
        <v>404</v>
      </c>
      <c r="I77" s="17">
        <v>46126</v>
      </c>
      <c r="J77" s="16">
        <v>13</v>
      </c>
      <c r="K77" s="16" t="s">
        <v>33</v>
      </c>
      <c r="L77" s="16" t="s">
        <v>273</v>
      </c>
      <c r="M77" s="16">
        <v>18000</v>
      </c>
      <c r="N77" s="16">
        <v>16000</v>
      </c>
      <c r="O77" s="17">
        <v>46127</v>
      </c>
      <c r="P77" s="16">
        <v>2000</v>
      </c>
      <c r="Q77" s="16" t="s">
        <v>33</v>
      </c>
      <c r="R77" s="16" t="s">
        <v>56</v>
      </c>
      <c r="S77" s="16">
        <v>20500</v>
      </c>
      <c r="T77" s="16" t="s">
        <v>33</v>
      </c>
      <c r="U77" s="16" t="s">
        <v>33</v>
      </c>
      <c r="V77" s="16" t="s">
        <v>28</v>
      </c>
      <c r="W77" s="16">
        <v>2500</v>
      </c>
      <c r="X77" s="16" t="s">
        <v>36</v>
      </c>
      <c r="Y77" s="16" t="s">
        <v>29</v>
      </c>
      <c r="Z77" s="18">
        <v>13.888888888888889</v>
      </c>
      <c r="AA77" s="16"/>
      <c r="AB77" s="16"/>
    </row>
    <row r="78" spans="1:28">
      <c r="A78" s="16">
        <v>77</v>
      </c>
      <c r="B78" s="16" t="s">
        <v>30</v>
      </c>
      <c r="C78" s="16" t="s">
        <v>31</v>
      </c>
      <c r="D78" s="16" t="s">
        <v>32</v>
      </c>
      <c r="E78" s="16" t="s">
        <v>33</v>
      </c>
      <c r="F78" s="16" t="s">
        <v>405</v>
      </c>
      <c r="G78" s="19" t="s">
        <v>34</v>
      </c>
      <c r="H78" s="16" t="s">
        <v>406</v>
      </c>
      <c r="I78" s="17">
        <v>46126</v>
      </c>
      <c r="J78" s="16">
        <v>13</v>
      </c>
      <c r="K78" s="16" t="s">
        <v>33</v>
      </c>
      <c r="L78" s="16" t="s">
        <v>273</v>
      </c>
      <c r="M78" s="16">
        <v>18000</v>
      </c>
      <c r="N78" s="16">
        <v>16000</v>
      </c>
      <c r="O78" s="17">
        <v>46127</v>
      </c>
      <c r="P78" s="16">
        <v>2000</v>
      </c>
      <c r="Q78" s="16" t="s">
        <v>33</v>
      </c>
      <c r="R78" s="16" t="s">
        <v>56</v>
      </c>
      <c r="S78" s="16">
        <v>20500</v>
      </c>
      <c r="T78" s="16" t="s">
        <v>33</v>
      </c>
      <c r="U78" s="16" t="s">
        <v>33</v>
      </c>
      <c r="V78" s="16" t="s">
        <v>28</v>
      </c>
      <c r="W78" s="16">
        <v>2500</v>
      </c>
      <c r="X78" s="16" t="s">
        <v>36</v>
      </c>
      <c r="Y78" s="16" t="s">
        <v>29</v>
      </c>
      <c r="Z78" s="18">
        <v>13.888888888888889</v>
      </c>
      <c r="AA78" s="16"/>
      <c r="AB78" s="16"/>
    </row>
    <row r="79" spans="1:28">
      <c r="A79" s="16">
        <v>78</v>
      </c>
      <c r="B79" s="16" t="s">
        <v>30</v>
      </c>
      <c r="C79" s="16" t="s">
        <v>31</v>
      </c>
      <c r="D79" s="16" t="s">
        <v>32</v>
      </c>
      <c r="E79" s="16" t="s">
        <v>33</v>
      </c>
      <c r="F79" s="16" t="s">
        <v>407</v>
      </c>
      <c r="G79" s="19" t="s">
        <v>34</v>
      </c>
      <c r="H79" s="16" t="s">
        <v>408</v>
      </c>
      <c r="I79" s="17">
        <v>46126</v>
      </c>
      <c r="J79" s="16">
        <v>13</v>
      </c>
      <c r="K79" s="16" t="s">
        <v>33</v>
      </c>
      <c r="L79" s="16" t="s">
        <v>273</v>
      </c>
      <c r="M79" s="16">
        <v>18000</v>
      </c>
      <c r="N79" s="16">
        <v>16000</v>
      </c>
      <c r="O79" s="17">
        <v>46127</v>
      </c>
      <c r="P79" s="16">
        <v>2000</v>
      </c>
      <c r="Q79" s="16" t="s">
        <v>33</v>
      </c>
      <c r="R79" s="16" t="s">
        <v>56</v>
      </c>
      <c r="S79" s="16">
        <v>20500</v>
      </c>
      <c r="T79" s="16" t="s">
        <v>33</v>
      </c>
      <c r="U79" s="16" t="s">
        <v>33</v>
      </c>
      <c r="V79" s="16" t="s">
        <v>28</v>
      </c>
      <c r="W79" s="16">
        <v>2500</v>
      </c>
      <c r="X79" s="16" t="s">
        <v>36</v>
      </c>
      <c r="Y79" s="16" t="s">
        <v>29</v>
      </c>
      <c r="Z79" s="18">
        <v>13.888888888888889</v>
      </c>
      <c r="AA79" s="16"/>
      <c r="AB79" s="16"/>
    </row>
    <row r="80" spans="1:28">
      <c r="A80" s="16">
        <v>79</v>
      </c>
      <c r="B80" s="16" t="s">
        <v>30</v>
      </c>
      <c r="C80" s="16" t="s">
        <v>31</v>
      </c>
      <c r="D80" s="16" t="s">
        <v>32</v>
      </c>
      <c r="E80" s="16" t="s">
        <v>33</v>
      </c>
      <c r="F80" s="16" t="s">
        <v>409</v>
      </c>
      <c r="G80" s="19" t="s">
        <v>34</v>
      </c>
      <c r="H80" s="16" t="s">
        <v>410</v>
      </c>
      <c r="I80" s="17">
        <v>46126</v>
      </c>
      <c r="J80" s="16">
        <v>13</v>
      </c>
      <c r="K80" s="16" t="s">
        <v>33</v>
      </c>
      <c r="L80" s="16" t="s">
        <v>273</v>
      </c>
      <c r="M80" s="16">
        <v>18000</v>
      </c>
      <c r="N80" s="16">
        <v>16000</v>
      </c>
      <c r="O80" s="17">
        <v>46127</v>
      </c>
      <c r="P80" s="16">
        <v>2000</v>
      </c>
      <c r="Q80" s="16" t="s">
        <v>33</v>
      </c>
      <c r="R80" s="16" t="s">
        <v>56</v>
      </c>
      <c r="S80" s="16">
        <v>20500</v>
      </c>
      <c r="T80" s="16" t="s">
        <v>33</v>
      </c>
      <c r="U80" s="16" t="s">
        <v>33</v>
      </c>
      <c r="V80" s="16" t="s">
        <v>28</v>
      </c>
      <c r="W80" s="16">
        <v>2500</v>
      </c>
      <c r="X80" s="16" t="s">
        <v>36</v>
      </c>
      <c r="Y80" s="16" t="s">
        <v>29</v>
      </c>
      <c r="Z80" s="18">
        <v>13.888888888888889</v>
      </c>
      <c r="AA80" s="16"/>
      <c r="AB80" s="16"/>
    </row>
    <row r="81" spans="1:28">
      <c r="A81" s="16">
        <v>80</v>
      </c>
      <c r="B81" s="16" t="s">
        <v>30</v>
      </c>
      <c r="C81" s="16" t="s">
        <v>31</v>
      </c>
      <c r="D81" s="16" t="s">
        <v>32</v>
      </c>
      <c r="E81" s="16" t="s">
        <v>33</v>
      </c>
      <c r="F81" s="16" t="s">
        <v>398</v>
      </c>
      <c r="G81" s="19" t="s">
        <v>34</v>
      </c>
      <c r="H81" s="16" t="s">
        <v>399</v>
      </c>
      <c r="I81" s="17">
        <v>46127</v>
      </c>
      <c r="J81" s="16">
        <v>12</v>
      </c>
      <c r="K81" s="16" t="s">
        <v>33</v>
      </c>
      <c r="L81" s="16" t="s">
        <v>400</v>
      </c>
      <c r="M81" s="16">
        <v>23300</v>
      </c>
      <c r="N81" s="16">
        <v>21500</v>
      </c>
      <c r="O81" s="17">
        <v>46127</v>
      </c>
      <c r="P81" s="16">
        <v>1800</v>
      </c>
      <c r="Q81" s="16" t="s">
        <v>33</v>
      </c>
      <c r="R81" s="16" t="s">
        <v>37</v>
      </c>
      <c r="S81" s="16">
        <v>26000</v>
      </c>
      <c r="T81" s="16" t="s">
        <v>33</v>
      </c>
      <c r="U81" s="16" t="s">
        <v>33</v>
      </c>
      <c r="V81" s="16" t="s">
        <v>28</v>
      </c>
      <c r="W81" s="16">
        <v>2700</v>
      </c>
      <c r="X81" s="16" t="s">
        <v>36</v>
      </c>
      <c r="Y81" s="16" t="s">
        <v>29</v>
      </c>
      <c r="Z81" s="18">
        <v>11.587982832618026</v>
      </c>
      <c r="AA81" s="16"/>
      <c r="AB81" s="16"/>
    </row>
    <row r="82" spans="1:28">
      <c r="A82" s="16">
        <v>81</v>
      </c>
      <c r="B82" s="16" t="s">
        <v>30</v>
      </c>
      <c r="C82" s="16" t="s">
        <v>31</v>
      </c>
      <c r="D82" s="16" t="s">
        <v>32</v>
      </c>
      <c r="E82" s="16" t="s">
        <v>33</v>
      </c>
      <c r="F82" s="16" t="s">
        <v>411</v>
      </c>
      <c r="G82" s="19" t="s">
        <v>34</v>
      </c>
      <c r="H82" s="16" t="s">
        <v>412</v>
      </c>
      <c r="I82" s="17">
        <v>46127</v>
      </c>
      <c r="J82" s="16">
        <v>12</v>
      </c>
      <c r="K82" s="16" t="s">
        <v>33</v>
      </c>
      <c r="L82" s="16" t="s">
        <v>273</v>
      </c>
      <c r="M82" s="16">
        <v>18000</v>
      </c>
      <c r="N82" s="16">
        <v>16000</v>
      </c>
      <c r="O82" s="17">
        <v>46127</v>
      </c>
      <c r="P82" s="16">
        <v>2000</v>
      </c>
      <c r="Q82" s="16" t="s">
        <v>33</v>
      </c>
      <c r="R82" s="16" t="s">
        <v>56</v>
      </c>
      <c r="S82" s="16">
        <v>20500</v>
      </c>
      <c r="T82" s="16" t="s">
        <v>33</v>
      </c>
      <c r="U82" s="16" t="s">
        <v>33</v>
      </c>
      <c r="V82" s="16" t="s">
        <v>28</v>
      </c>
      <c r="W82" s="16">
        <v>2500</v>
      </c>
      <c r="X82" s="16" t="s">
        <v>36</v>
      </c>
      <c r="Y82" s="16" t="s">
        <v>29</v>
      </c>
      <c r="Z82" s="18">
        <v>13.888888888888889</v>
      </c>
      <c r="AA82" s="16"/>
      <c r="AB82" s="16"/>
    </row>
    <row r="83" spans="1:28">
      <c r="A83" s="16">
        <v>82</v>
      </c>
      <c r="B83" s="16" t="s">
        <v>30</v>
      </c>
      <c r="C83" s="16" t="s">
        <v>44</v>
      </c>
      <c r="D83" s="16" t="s">
        <v>32</v>
      </c>
      <c r="E83" s="16" t="s">
        <v>33</v>
      </c>
      <c r="F83" s="16" t="s">
        <v>414</v>
      </c>
      <c r="G83" s="19">
        <v>407</v>
      </c>
      <c r="H83" s="16" t="s">
        <v>415</v>
      </c>
      <c r="I83" s="17">
        <v>46127</v>
      </c>
      <c r="J83" s="16">
        <v>12</v>
      </c>
      <c r="K83" s="16" t="s">
        <v>33</v>
      </c>
      <c r="L83" s="16" t="s">
        <v>381</v>
      </c>
      <c r="M83" s="16">
        <v>27500</v>
      </c>
      <c r="N83" s="16">
        <v>25500</v>
      </c>
      <c r="O83" s="17">
        <v>46127</v>
      </c>
      <c r="P83" s="16">
        <v>2000</v>
      </c>
      <c r="Q83" s="16" t="s">
        <v>33</v>
      </c>
      <c r="R83" s="16" t="s">
        <v>56</v>
      </c>
      <c r="S83" s="16">
        <v>30800</v>
      </c>
      <c r="T83" s="16" t="s">
        <v>33</v>
      </c>
      <c r="U83" s="16" t="s">
        <v>33</v>
      </c>
      <c r="V83" s="16" t="s">
        <v>28</v>
      </c>
      <c r="W83" s="16">
        <v>3300</v>
      </c>
      <c r="X83" s="16" t="s">
        <v>36</v>
      </c>
      <c r="Y83" s="16" t="s">
        <v>29</v>
      </c>
      <c r="Z83" s="18">
        <v>12</v>
      </c>
      <c r="AA83" s="16"/>
      <c r="AB83" s="16"/>
    </row>
    <row r="84" spans="1:28">
      <c r="A84" s="16">
        <v>83</v>
      </c>
      <c r="B84" s="16" t="s">
        <v>30</v>
      </c>
      <c r="C84" s="16" t="s">
        <v>31</v>
      </c>
      <c r="D84" s="16" t="s">
        <v>32</v>
      </c>
      <c r="E84" s="16" t="s">
        <v>33</v>
      </c>
      <c r="F84" s="16" t="s">
        <v>182</v>
      </c>
      <c r="G84" s="19" t="s">
        <v>34</v>
      </c>
      <c r="H84" s="16" t="s">
        <v>413</v>
      </c>
      <c r="I84" s="17">
        <v>46127</v>
      </c>
      <c r="J84" s="16">
        <v>12</v>
      </c>
      <c r="K84" s="16" t="s">
        <v>33</v>
      </c>
      <c r="L84" s="16" t="s">
        <v>273</v>
      </c>
      <c r="M84" s="16">
        <v>18000</v>
      </c>
      <c r="N84" s="16">
        <v>16000</v>
      </c>
      <c r="O84" s="17">
        <v>46127</v>
      </c>
      <c r="P84" s="16">
        <v>2000</v>
      </c>
      <c r="Q84" s="16" t="s">
        <v>33</v>
      </c>
      <c r="R84" s="16" t="s">
        <v>56</v>
      </c>
      <c r="S84" s="16">
        <v>20500</v>
      </c>
      <c r="T84" s="16" t="s">
        <v>33</v>
      </c>
      <c r="U84" s="16" t="s">
        <v>33</v>
      </c>
      <c r="V84" s="16" t="s">
        <v>28</v>
      </c>
      <c r="W84" s="16">
        <v>2500</v>
      </c>
      <c r="X84" s="16" t="s">
        <v>36</v>
      </c>
      <c r="Y84" s="16" t="s">
        <v>29</v>
      </c>
      <c r="Z84" s="18">
        <v>13.888888888888889</v>
      </c>
      <c r="AA84" s="16"/>
      <c r="AB84" s="16"/>
    </row>
    <row r="85" spans="1:28">
      <c r="A85" s="16">
        <v>84</v>
      </c>
      <c r="B85" s="16" t="s">
        <v>30</v>
      </c>
      <c r="C85" s="16" t="s">
        <v>31</v>
      </c>
      <c r="D85" s="16" t="s">
        <v>32</v>
      </c>
      <c r="E85" s="16" t="s">
        <v>33</v>
      </c>
      <c r="F85" s="16" t="s">
        <v>420</v>
      </c>
      <c r="G85" s="19" t="s">
        <v>34</v>
      </c>
      <c r="H85" s="16" t="s">
        <v>421</v>
      </c>
      <c r="I85" s="17">
        <v>46127</v>
      </c>
      <c r="J85" s="16">
        <v>12</v>
      </c>
      <c r="K85" s="16" t="s">
        <v>33</v>
      </c>
      <c r="L85" s="16" t="s">
        <v>376</v>
      </c>
      <c r="M85" s="16">
        <v>19000</v>
      </c>
      <c r="N85" s="16">
        <v>17000</v>
      </c>
      <c r="O85" s="17">
        <v>46127</v>
      </c>
      <c r="P85" s="16">
        <v>2000</v>
      </c>
      <c r="Q85" s="16" t="s">
        <v>33</v>
      </c>
      <c r="R85" s="16" t="s">
        <v>39</v>
      </c>
      <c r="S85" s="16">
        <v>21800</v>
      </c>
      <c r="T85" s="16" t="s">
        <v>33</v>
      </c>
      <c r="U85" s="16" t="s">
        <v>33</v>
      </c>
      <c r="V85" s="16" t="s">
        <v>28</v>
      </c>
      <c r="W85" s="16">
        <v>2800</v>
      </c>
      <c r="X85" s="16" t="s">
        <v>36</v>
      </c>
      <c r="Y85" s="16" t="s">
        <v>29</v>
      </c>
      <c r="Z85" s="18">
        <v>14.736842105263158</v>
      </c>
      <c r="AA85" s="16"/>
      <c r="AB85" s="16"/>
    </row>
    <row r="86" spans="1:28">
      <c r="A86" s="16">
        <v>85</v>
      </c>
      <c r="B86" s="16" t="s">
        <v>30</v>
      </c>
      <c r="C86" s="16" t="s">
        <v>44</v>
      </c>
      <c r="D86" s="16" t="s">
        <v>32</v>
      </c>
      <c r="E86" s="16" t="s">
        <v>33</v>
      </c>
      <c r="F86" s="38" t="s">
        <v>424</v>
      </c>
      <c r="G86" s="19">
        <v>407</v>
      </c>
      <c r="H86" s="38" t="s">
        <v>425</v>
      </c>
      <c r="I86" s="17">
        <v>46125</v>
      </c>
      <c r="J86" s="16">
        <v>14</v>
      </c>
      <c r="K86" s="16" t="s">
        <v>33</v>
      </c>
      <c r="L86" s="38" t="s">
        <v>84</v>
      </c>
      <c r="M86" s="16">
        <v>27000</v>
      </c>
      <c r="N86" s="16">
        <v>25000</v>
      </c>
      <c r="O86" s="17">
        <v>46127</v>
      </c>
      <c r="P86" s="16">
        <v>2000</v>
      </c>
      <c r="Q86" s="16" t="s">
        <v>33</v>
      </c>
      <c r="R86" s="16" t="s">
        <v>78</v>
      </c>
      <c r="S86" s="16">
        <v>29800</v>
      </c>
      <c r="T86" s="16" t="s">
        <v>33</v>
      </c>
      <c r="U86" s="16" t="s">
        <v>33</v>
      </c>
      <c r="V86" s="16" t="s">
        <v>28</v>
      </c>
      <c r="W86" s="16">
        <v>2800</v>
      </c>
      <c r="X86" s="16" t="s">
        <v>36</v>
      </c>
      <c r="Y86" s="16" t="s">
        <v>29</v>
      </c>
      <c r="Z86" s="18">
        <v>10.37037037037037</v>
      </c>
      <c r="AA86" s="16"/>
      <c r="AB86" s="16"/>
    </row>
    <row r="87" spans="1:28">
      <c r="A87" s="16">
        <v>86</v>
      </c>
      <c r="B87" s="16" t="s">
        <v>30</v>
      </c>
      <c r="C87" s="16" t="s">
        <v>44</v>
      </c>
      <c r="D87" s="16" t="s">
        <v>32</v>
      </c>
      <c r="E87" s="16" t="s">
        <v>33</v>
      </c>
      <c r="F87" s="38" t="s">
        <v>426</v>
      </c>
      <c r="G87" s="19">
        <v>407</v>
      </c>
      <c r="H87" s="38" t="s">
        <v>427</v>
      </c>
      <c r="I87" s="17">
        <v>46126</v>
      </c>
      <c r="J87" s="16">
        <v>13</v>
      </c>
      <c r="K87" s="16" t="s">
        <v>33</v>
      </c>
      <c r="L87" s="38" t="s">
        <v>84</v>
      </c>
      <c r="M87" s="16">
        <v>27000</v>
      </c>
      <c r="N87" s="16">
        <v>25000</v>
      </c>
      <c r="O87" s="17">
        <v>46127</v>
      </c>
      <c r="P87" s="16">
        <v>2000</v>
      </c>
      <c r="Q87" s="16" t="s">
        <v>33</v>
      </c>
      <c r="R87" s="16" t="s">
        <v>78</v>
      </c>
      <c r="S87" s="16">
        <v>29800</v>
      </c>
      <c r="T87" s="16" t="s">
        <v>33</v>
      </c>
      <c r="U87" s="16" t="s">
        <v>33</v>
      </c>
      <c r="V87" s="16" t="s">
        <v>28</v>
      </c>
      <c r="W87" s="16">
        <v>2800</v>
      </c>
      <c r="X87" s="16" t="s">
        <v>36</v>
      </c>
      <c r="Y87" s="16" t="s">
        <v>29</v>
      </c>
      <c r="Z87" s="18">
        <v>10.37037037037037</v>
      </c>
      <c r="AA87" s="16"/>
      <c r="AB87" s="16"/>
    </row>
    <row r="88" spans="1:28">
      <c r="A88" s="16">
        <v>87</v>
      </c>
      <c r="B88" s="16" t="s">
        <v>30</v>
      </c>
      <c r="C88" s="16" t="s">
        <v>44</v>
      </c>
      <c r="D88" s="16" t="s">
        <v>32</v>
      </c>
      <c r="E88" s="16" t="s">
        <v>33</v>
      </c>
      <c r="F88" s="38" t="s">
        <v>116</v>
      </c>
      <c r="G88" s="19" t="s">
        <v>46</v>
      </c>
      <c r="H88" s="38" t="s">
        <v>442</v>
      </c>
      <c r="I88" s="17">
        <v>46128</v>
      </c>
      <c r="J88" s="16">
        <v>11</v>
      </c>
      <c r="K88" s="16" t="s">
        <v>33</v>
      </c>
      <c r="L88" s="38" t="s">
        <v>441</v>
      </c>
      <c r="M88" s="16">
        <v>19000</v>
      </c>
      <c r="N88" s="16">
        <v>17000</v>
      </c>
      <c r="O88" s="17">
        <v>46128</v>
      </c>
      <c r="P88" s="16">
        <v>2000</v>
      </c>
      <c r="Q88" s="16" t="s">
        <v>33</v>
      </c>
      <c r="R88" s="16" t="s">
        <v>39</v>
      </c>
      <c r="S88" s="16">
        <v>21800</v>
      </c>
      <c r="T88" s="16" t="s">
        <v>33</v>
      </c>
      <c r="U88" s="16" t="s">
        <v>33</v>
      </c>
      <c r="V88" s="16" t="s">
        <v>28</v>
      </c>
      <c r="W88" s="16">
        <v>2800</v>
      </c>
      <c r="X88" s="16" t="s">
        <v>36</v>
      </c>
      <c r="Y88" s="16" t="s">
        <v>29</v>
      </c>
      <c r="Z88" s="18">
        <v>14.736842105263158</v>
      </c>
      <c r="AA88" s="16"/>
      <c r="AB88" s="16"/>
    </row>
    <row r="89" spans="1:28">
      <c r="A89" s="16">
        <v>88</v>
      </c>
      <c r="B89" s="16" t="s">
        <v>30</v>
      </c>
      <c r="C89" s="16" t="s">
        <v>119</v>
      </c>
      <c r="D89" s="16" t="s">
        <v>32</v>
      </c>
      <c r="E89" s="16" t="s">
        <v>33</v>
      </c>
      <c r="F89" s="38" t="s">
        <v>437</v>
      </c>
      <c r="G89" s="19" t="s">
        <v>50</v>
      </c>
      <c r="H89" s="38" t="s">
        <v>438</v>
      </c>
      <c r="I89" s="17">
        <v>46128</v>
      </c>
      <c r="J89" s="16">
        <v>11</v>
      </c>
      <c r="K89" s="16" t="s">
        <v>33</v>
      </c>
      <c r="L89" s="38" t="s">
        <v>144</v>
      </c>
      <c r="M89" s="16">
        <v>47000</v>
      </c>
      <c r="N89" s="16">
        <v>40000</v>
      </c>
      <c r="O89" s="17">
        <v>46128</v>
      </c>
      <c r="P89" s="16">
        <v>7000</v>
      </c>
      <c r="Q89" s="16" t="s">
        <v>33</v>
      </c>
      <c r="R89" s="16" t="s">
        <v>52</v>
      </c>
      <c r="S89" s="16">
        <v>53000</v>
      </c>
      <c r="T89" s="16" t="s">
        <v>33</v>
      </c>
      <c r="U89" s="16" t="s">
        <v>33</v>
      </c>
      <c r="V89" s="16" t="s">
        <v>28</v>
      </c>
      <c r="W89" s="16">
        <v>6000</v>
      </c>
      <c r="X89" s="16" t="s">
        <v>36</v>
      </c>
      <c r="Y89" s="16" t="s">
        <v>29</v>
      </c>
      <c r="Z89" s="18">
        <v>12.76595744680851</v>
      </c>
      <c r="AA89" s="16"/>
      <c r="AB89" s="16" t="s">
        <v>320</v>
      </c>
    </row>
    <row r="90" spans="1:28">
      <c r="A90" s="16">
        <v>89</v>
      </c>
      <c r="B90" s="16" t="s">
        <v>30</v>
      </c>
      <c r="C90" s="16" t="s">
        <v>44</v>
      </c>
      <c r="D90" s="16" t="s">
        <v>32</v>
      </c>
      <c r="E90" s="16" t="s">
        <v>33</v>
      </c>
      <c r="F90" s="38" t="s">
        <v>439</v>
      </c>
      <c r="G90" s="19" t="s">
        <v>46</v>
      </c>
      <c r="H90" s="38" t="s">
        <v>440</v>
      </c>
      <c r="I90" s="17">
        <v>46128</v>
      </c>
      <c r="J90" s="16">
        <v>11</v>
      </c>
      <c r="K90" s="16" t="s">
        <v>33</v>
      </c>
      <c r="L90" s="38" t="s">
        <v>441</v>
      </c>
      <c r="M90" s="16">
        <v>19000</v>
      </c>
      <c r="N90" s="16">
        <v>17000</v>
      </c>
      <c r="O90" s="17">
        <v>46128</v>
      </c>
      <c r="P90" s="16">
        <v>2000</v>
      </c>
      <c r="Q90" s="16" t="s">
        <v>33</v>
      </c>
      <c r="R90" s="16" t="s">
        <v>39</v>
      </c>
      <c r="S90" s="16">
        <v>21800</v>
      </c>
      <c r="T90" s="16" t="s">
        <v>33</v>
      </c>
      <c r="U90" s="16" t="s">
        <v>33</v>
      </c>
      <c r="V90" s="16" t="s">
        <v>28</v>
      </c>
      <c r="W90" s="16">
        <v>2800</v>
      </c>
      <c r="X90" s="16" t="s">
        <v>36</v>
      </c>
      <c r="Y90" s="16" t="s">
        <v>29</v>
      </c>
      <c r="Z90" s="18">
        <v>14.736842105263158</v>
      </c>
      <c r="AA90" s="16"/>
      <c r="AB90" s="16"/>
    </row>
    <row r="91" spans="1:28">
      <c r="A91" s="16">
        <v>90</v>
      </c>
      <c r="B91" s="16" t="s">
        <v>30</v>
      </c>
      <c r="C91" s="16" t="s">
        <v>44</v>
      </c>
      <c r="D91" s="16" t="s">
        <v>32</v>
      </c>
      <c r="E91" s="16" t="s">
        <v>33</v>
      </c>
      <c r="F91" s="38" t="s">
        <v>433</v>
      </c>
      <c r="G91" s="19">
        <v>407</v>
      </c>
      <c r="H91" s="38" t="s">
        <v>434</v>
      </c>
      <c r="I91" s="17">
        <v>46127</v>
      </c>
      <c r="J91" s="16">
        <v>12</v>
      </c>
      <c r="K91" s="16" t="s">
        <v>33</v>
      </c>
      <c r="L91" s="38" t="s">
        <v>84</v>
      </c>
      <c r="M91" s="16">
        <v>27000</v>
      </c>
      <c r="N91" s="16">
        <v>25000</v>
      </c>
      <c r="O91" s="17">
        <v>46128</v>
      </c>
      <c r="P91" s="16">
        <v>2000</v>
      </c>
      <c r="Q91" s="16" t="s">
        <v>33</v>
      </c>
      <c r="R91" s="16" t="s">
        <v>78</v>
      </c>
      <c r="S91" s="16">
        <v>29800</v>
      </c>
      <c r="T91" s="16" t="s">
        <v>33</v>
      </c>
      <c r="U91" s="16" t="s">
        <v>33</v>
      </c>
      <c r="V91" s="16" t="s">
        <v>28</v>
      </c>
      <c r="W91" s="16">
        <v>2800</v>
      </c>
      <c r="X91" s="16" t="s">
        <v>36</v>
      </c>
      <c r="Y91" s="16" t="s">
        <v>29</v>
      </c>
      <c r="Z91" s="18">
        <v>10.37037037037037</v>
      </c>
      <c r="AA91" s="16"/>
      <c r="AB91" s="16"/>
    </row>
    <row r="92" spans="1:28">
      <c r="A92" s="16">
        <v>91</v>
      </c>
      <c r="B92" s="16" t="s">
        <v>30</v>
      </c>
      <c r="C92" s="16" t="s">
        <v>31</v>
      </c>
      <c r="D92" s="16" t="s">
        <v>32</v>
      </c>
      <c r="E92" s="16" t="s">
        <v>33</v>
      </c>
      <c r="F92" s="38" t="s">
        <v>87</v>
      </c>
      <c r="G92" s="19" t="s">
        <v>34</v>
      </c>
      <c r="H92" s="38" t="s">
        <v>451</v>
      </c>
      <c r="I92" s="17">
        <v>46128</v>
      </c>
      <c r="J92" s="16">
        <v>11</v>
      </c>
      <c r="K92" s="16" t="s">
        <v>33</v>
      </c>
      <c r="L92" s="38" t="s">
        <v>355</v>
      </c>
      <c r="M92" s="16">
        <v>18000</v>
      </c>
      <c r="N92" s="16">
        <v>16000</v>
      </c>
      <c r="O92" s="17">
        <v>46128</v>
      </c>
      <c r="P92" s="16">
        <v>2000</v>
      </c>
      <c r="Q92" s="16" t="s">
        <v>33</v>
      </c>
      <c r="R92" s="16" t="s">
        <v>56</v>
      </c>
      <c r="S92" s="16">
        <v>20500</v>
      </c>
      <c r="T92" s="16" t="s">
        <v>33</v>
      </c>
      <c r="U92" s="16" t="s">
        <v>33</v>
      </c>
      <c r="V92" s="16" t="s">
        <v>28</v>
      </c>
      <c r="W92" s="16">
        <v>2500</v>
      </c>
      <c r="X92" s="16" t="s">
        <v>36</v>
      </c>
      <c r="Y92" s="16" t="s">
        <v>29</v>
      </c>
      <c r="Z92" s="18">
        <v>13.888888888888889</v>
      </c>
      <c r="AA92" s="16"/>
      <c r="AB92" s="16"/>
    </row>
    <row r="93" spans="1:28">
      <c r="A93" s="16">
        <v>92</v>
      </c>
      <c r="B93" s="16" t="s">
        <v>30</v>
      </c>
      <c r="C93" s="16" t="s">
        <v>31</v>
      </c>
      <c r="D93" s="16" t="s">
        <v>32</v>
      </c>
      <c r="E93" s="16" t="s">
        <v>33</v>
      </c>
      <c r="F93" s="38" t="s">
        <v>452</v>
      </c>
      <c r="G93" s="19" t="s">
        <v>34</v>
      </c>
      <c r="H93" s="38" t="s">
        <v>453</v>
      </c>
      <c r="I93" s="17">
        <v>46127</v>
      </c>
      <c r="J93" s="16">
        <v>12</v>
      </c>
      <c r="K93" s="16" t="s">
        <v>33</v>
      </c>
      <c r="L93" s="38" t="s">
        <v>111</v>
      </c>
      <c r="M93" s="16">
        <v>11700</v>
      </c>
      <c r="N93" s="16">
        <v>10700</v>
      </c>
      <c r="O93" s="17">
        <v>46128</v>
      </c>
      <c r="P93" s="16">
        <v>1000</v>
      </c>
      <c r="Q93" s="16" t="s">
        <v>33</v>
      </c>
      <c r="R93" s="16" t="s">
        <v>112</v>
      </c>
      <c r="S93" s="16">
        <v>13500</v>
      </c>
      <c r="T93" s="16" t="s">
        <v>33</v>
      </c>
      <c r="U93" s="16" t="s">
        <v>33</v>
      </c>
      <c r="V93" s="16" t="s">
        <v>28</v>
      </c>
      <c r="W93" s="16">
        <v>1800</v>
      </c>
      <c r="X93" s="16" t="s">
        <v>36</v>
      </c>
      <c r="Y93" s="16" t="s">
        <v>29</v>
      </c>
      <c r="Z93" s="18">
        <v>15.384615384615385</v>
      </c>
      <c r="AA93" s="16"/>
      <c r="AB93" s="16"/>
    </row>
    <row r="94" spans="1:28">
      <c r="A94" s="16">
        <v>93</v>
      </c>
      <c r="B94" s="16" t="s">
        <v>30</v>
      </c>
      <c r="C94" s="16" t="s">
        <v>76</v>
      </c>
      <c r="D94" s="16" t="s">
        <v>32</v>
      </c>
      <c r="E94" s="16" t="s">
        <v>33</v>
      </c>
      <c r="F94" s="38" t="s">
        <v>77</v>
      </c>
      <c r="G94" s="19" t="s">
        <v>67</v>
      </c>
      <c r="H94" s="38" t="s">
        <v>461</v>
      </c>
      <c r="I94" s="17">
        <v>46126</v>
      </c>
      <c r="J94" s="16">
        <v>13</v>
      </c>
      <c r="K94" s="16" t="s">
        <v>33</v>
      </c>
      <c r="L94" s="38" t="s">
        <v>302</v>
      </c>
      <c r="M94" s="16">
        <v>21500</v>
      </c>
      <c r="N94" s="16">
        <v>21500</v>
      </c>
      <c r="O94" s="17">
        <v>46128</v>
      </c>
      <c r="P94" s="16">
        <v>0</v>
      </c>
      <c r="Q94" s="16" t="s">
        <v>33</v>
      </c>
      <c r="R94" s="16" t="s">
        <v>78</v>
      </c>
      <c r="S94" s="16">
        <v>23288</v>
      </c>
      <c r="T94" s="16" t="s">
        <v>33</v>
      </c>
      <c r="U94" s="16" t="s">
        <v>33</v>
      </c>
      <c r="V94" s="16" t="s">
        <v>28</v>
      </c>
      <c r="W94" s="16">
        <v>1788</v>
      </c>
      <c r="X94" s="16" t="s">
        <v>36</v>
      </c>
      <c r="Y94" s="16" t="s">
        <v>29</v>
      </c>
      <c r="Z94" s="18">
        <v>8.3162790697674414</v>
      </c>
      <c r="AA94" s="16"/>
      <c r="AB94" s="16" t="s">
        <v>320</v>
      </c>
    </row>
    <row r="95" spans="1:28">
      <c r="A95" s="16">
        <v>94</v>
      </c>
      <c r="B95" s="16" t="s">
        <v>30</v>
      </c>
      <c r="C95" s="16" t="s">
        <v>44</v>
      </c>
      <c r="D95" s="16" t="s">
        <v>32</v>
      </c>
      <c r="E95" s="16" t="s">
        <v>33</v>
      </c>
      <c r="F95" s="38" t="s">
        <v>359</v>
      </c>
      <c r="G95" s="19">
        <v>407</v>
      </c>
      <c r="H95" s="38" t="s">
        <v>470</v>
      </c>
      <c r="I95" s="17">
        <v>46128</v>
      </c>
      <c r="J95" s="16">
        <v>11</v>
      </c>
      <c r="K95" s="16" t="s">
        <v>33</v>
      </c>
      <c r="L95" s="38" t="s">
        <v>381</v>
      </c>
      <c r="M95" s="16">
        <v>28000</v>
      </c>
      <c r="N95" s="16">
        <v>25000</v>
      </c>
      <c r="O95" s="17">
        <v>46129</v>
      </c>
      <c r="P95" s="16">
        <v>3000</v>
      </c>
      <c r="Q95" s="16" t="s">
        <v>33</v>
      </c>
      <c r="R95" s="16" t="s">
        <v>56</v>
      </c>
      <c r="S95" s="16">
        <v>30800</v>
      </c>
      <c r="T95" s="16" t="s">
        <v>33</v>
      </c>
      <c r="U95" s="16" t="s">
        <v>33</v>
      </c>
      <c r="V95" s="16" t="s">
        <v>28</v>
      </c>
      <c r="W95" s="16">
        <v>2800</v>
      </c>
      <c r="X95" s="16" t="s">
        <v>36</v>
      </c>
      <c r="Y95" s="16" t="s">
        <v>29</v>
      </c>
      <c r="Z95" s="18">
        <v>10</v>
      </c>
      <c r="AA95" s="16"/>
      <c r="AB95" s="16"/>
    </row>
    <row r="96" spans="1:28">
      <c r="A96" s="16">
        <v>95</v>
      </c>
      <c r="B96" s="16" t="s">
        <v>30</v>
      </c>
      <c r="C96" s="16" t="s">
        <v>31</v>
      </c>
      <c r="D96" s="16" t="s">
        <v>32</v>
      </c>
      <c r="E96" s="16" t="s">
        <v>33</v>
      </c>
      <c r="F96" s="38" t="s">
        <v>465</v>
      </c>
      <c r="G96" s="19" t="s">
        <v>34</v>
      </c>
      <c r="H96" s="38" t="s">
        <v>466</v>
      </c>
      <c r="I96" s="17">
        <v>46128</v>
      </c>
      <c r="J96" s="16">
        <v>11</v>
      </c>
      <c r="K96" s="16" t="s">
        <v>33</v>
      </c>
      <c r="L96" s="38" t="s">
        <v>376</v>
      </c>
      <c r="M96" s="16">
        <v>19000</v>
      </c>
      <c r="N96" s="16">
        <v>17000</v>
      </c>
      <c r="O96" s="17">
        <v>46129</v>
      </c>
      <c r="P96" s="16">
        <v>2000</v>
      </c>
      <c r="Q96" s="16" t="s">
        <v>33</v>
      </c>
      <c r="R96" s="16" t="s">
        <v>39</v>
      </c>
      <c r="S96" s="16">
        <v>21800</v>
      </c>
      <c r="T96" s="16" t="s">
        <v>33</v>
      </c>
      <c r="U96" s="16" t="s">
        <v>33</v>
      </c>
      <c r="V96" s="16" t="s">
        <v>28</v>
      </c>
      <c r="W96" s="16">
        <v>2800</v>
      </c>
      <c r="X96" s="16" t="s">
        <v>36</v>
      </c>
      <c r="Y96" s="16" t="s">
        <v>29</v>
      </c>
      <c r="Z96" s="18">
        <v>14.736842105263158</v>
      </c>
      <c r="AA96" s="16"/>
      <c r="AB96" s="16"/>
    </row>
    <row r="97" spans="1:28">
      <c r="A97" s="16">
        <v>96</v>
      </c>
      <c r="B97" s="16" t="s">
        <v>30</v>
      </c>
      <c r="C97" s="16" t="s">
        <v>31</v>
      </c>
      <c r="D97" s="16" t="s">
        <v>32</v>
      </c>
      <c r="E97" s="16" t="s">
        <v>33</v>
      </c>
      <c r="F97" s="38" t="s">
        <v>467</v>
      </c>
      <c r="G97" s="19" t="s">
        <v>34</v>
      </c>
      <c r="H97" s="38" t="s">
        <v>468</v>
      </c>
      <c r="I97" s="17">
        <v>46128</v>
      </c>
      <c r="J97" s="16">
        <v>11</v>
      </c>
      <c r="K97" s="16" t="s">
        <v>33</v>
      </c>
      <c r="L97" s="38" t="s">
        <v>273</v>
      </c>
      <c r="M97" s="16">
        <v>18000</v>
      </c>
      <c r="N97" s="16">
        <v>16000</v>
      </c>
      <c r="O97" s="17">
        <v>46129</v>
      </c>
      <c r="P97" s="16">
        <v>2000</v>
      </c>
      <c r="Q97" s="16" t="s">
        <v>33</v>
      </c>
      <c r="R97" s="16" t="s">
        <v>56</v>
      </c>
      <c r="S97" s="16">
        <v>20500</v>
      </c>
      <c r="T97" s="16" t="s">
        <v>33</v>
      </c>
      <c r="U97" s="16" t="s">
        <v>33</v>
      </c>
      <c r="V97" s="16" t="s">
        <v>28</v>
      </c>
      <c r="W97" s="16">
        <v>2500</v>
      </c>
      <c r="X97" s="16" t="s">
        <v>36</v>
      </c>
      <c r="Y97" s="16" t="s">
        <v>29</v>
      </c>
      <c r="Z97" s="18">
        <v>13.888888888888889</v>
      </c>
      <c r="AA97" s="16"/>
      <c r="AB97" s="16"/>
    </row>
    <row r="98" spans="1:28">
      <c r="A98" s="16">
        <v>97</v>
      </c>
      <c r="B98" s="16" t="s">
        <v>30</v>
      </c>
      <c r="C98" s="16" t="s">
        <v>44</v>
      </c>
      <c r="D98" s="16" t="s">
        <v>32</v>
      </c>
      <c r="E98" s="16" t="s">
        <v>33</v>
      </c>
      <c r="F98" s="38" t="s">
        <v>471</v>
      </c>
      <c r="G98" s="19">
        <v>407</v>
      </c>
      <c r="H98" s="38" t="s">
        <v>472</v>
      </c>
      <c r="I98" s="17">
        <v>46128</v>
      </c>
      <c r="J98" s="16">
        <v>11</v>
      </c>
      <c r="K98" s="16" t="s">
        <v>33</v>
      </c>
      <c r="L98" s="38" t="s">
        <v>84</v>
      </c>
      <c r="M98" s="16">
        <v>27000</v>
      </c>
      <c r="N98" s="16">
        <v>25000</v>
      </c>
      <c r="O98" s="17">
        <v>46129</v>
      </c>
      <c r="P98" s="16">
        <v>2000</v>
      </c>
      <c r="Q98" s="16" t="s">
        <v>33</v>
      </c>
      <c r="R98" s="16" t="s">
        <v>56</v>
      </c>
      <c r="S98" s="16">
        <v>29800</v>
      </c>
      <c r="T98" s="16" t="s">
        <v>33</v>
      </c>
      <c r="U98" s="16" t="s">
        <v>33</v>
      </c>
      <c r="V98" s="16" t="s">
        <v>28</v>
      </c>
      <c r="W98" s="16">
        <v>2800</v>
      </c>
      <c r="X98" s="16" t="s">
        <v>36</v>
      </c>
      <c r="Y98" s="16" t="s">
        <v>29</v>
      </c>
      <c r="Z98" s="18">
        <v>10.37037037037037</v>
      </c>
      <c r="AA98" s="16"/>
      <c r="AB98" s="16"/>
    </row>
    <row r="99" spans="1:28">
      <c r="A99" s="16">
        <v>98</v>
      </c>
      <c r="B99" s="16" t="s">
        <v>30</v>
      </c>
      <c r="C99" s="16" t="s">
        <v>31</v>
      </c>
      <c r="D99" s="16" t="s">
        <v>32</v>
      </c>
      <c r="E99" s="16" t="s">
        <v>33</v>
      </c>
      <c r="F99" s="38" t="s">
        <v>159</v>
      </c>
      <c r="G99" s="19" t="s">
        <v>34</v>
      </c>
      <c r="H99" s="38" t="s">
        <v>473</v>
      </c>
      <c r="I99" s="17">
        <v>46128</v>
      </c>
      <c r="J99" s="16">
        <v>11</v>
      </c>
      <c r="K99" s="16" t="s">
        <v>33</v>
      </c>
      <c r="L99" s="38" t="s">
        <v>474</v>
      </c>
      <c r="M99" s="16">
        <v>18300</v>
      </c>
      <c r="N99" s="16">
        <v>16500</v>
      </c>
      <c r="O99" s="17">
        <v>46129</v>
      </c>
      <c r="P99" s="16">
        <v>1800</v>
      </c>
      <c r="Q99" s="16" t="s">
        <v>33</v>
      </c>
      <c r="R99" s="16" t="s">
        <v>37</v>
      </c>
      <c r="S99" s="16">
        <v>21500</v>
      </c>
      <c r="T99" s="16" t="s">
        <v>33</v>
      </c>
      <c r="U99" s="16" t="s">
        <v>33</v>
      </c>
      <c r="V99" s="16" t="s">
        <v>28</v>
      </c>
      <c r="W99" s="16">
        <v>3200</v>
      </c>
      <c r="X99" s="16" t="s">
        <v>36</v>
      </c>
      <c r="Y99" s="16" t="s">
        <v>29</v>
      </c>
      <c r="Z99" s="18">
        <v>17.486338797814209</v>
      </c>
      <c r="AA99" s="16"/>
      <c r="AB99" s="16"/>
    </row>
    <row r="100" spans="1:28">
      <c r="A100" s="16">
        <v>99</v>
      </c>
      <c r="B100" s="16" t="s">
        <v>30</v>
      </c>
      <c r="C100" s="16" t="s">
        <v>44</v>
      </c>
      <c r="D100" s="16" t="s">
        <v>32</v>
      </c>
      <c r="E100" s="16" t="s">
        <v>33</v>
      </c>
      <c r="F100" s="38" t="s">
        <v>479</v>
      </c>
      <c r="G100" s="19">
        <v>407</v>
      </c>
      <c r="H100" s="38" t="s">
        <v>480</v>
      </c>
      <c r="I100" s="17">
        <v>46129</v>
      </c>
      <c r="J100" s="16">
        <v>10</v>
      </c>
      <c r="K100" s="16" t="s">
        <v>33</v>
      </c>
      <c r="L100" s="38" t="s">
        <v>84</v>
      </c>
      <c r="M100" s="16">
        <v>27000</v>
      </c>
      <c r="N100" s="16">
        <v>25000</v>
      </c>
      <c r="O100" s="17">
        <v>46129</v>
      </c>
      <c r="P100" s="16">
        <v>2000</v>
      </c>
      <c r="Q100" s="16" t="s">
        <v>33</v>
      </c>
      <c r="R100" s="16" t="s">
        <v>56</v>
      </c>
      <c r="S100" s="16">
        <v>29800</v>
      </c>
      <c r="T100" s="16" t="s">
        <v>33</v>
      </c>
      <c r="U100" s="16" t="s">
        <v>33</v>
      </c>
      <c r="V100" s="16" t="s">
        <v>28</v>
      </c>
      <c r="W100" s="16">
        <v>2800</v>
      </c>
      <c r="X100" s="16" t="s">
        <v>36</v>
      </c>
      <c r="Y100" s="16" t="s">
        <v>29</v>
      </c>
      <c r="Z100" s="18">
        <v>10.37037037037037</v>
      </c>
      <c r="AA100" s="16"/>
      <c r="AB100" s="16"/>
    </row>
    <row r="101" spans="1:28">
      <c r="A101" s="16">
        <v>100</v>
      </c>
      <c r="B101" s="16" t="s">
        <v>30</v>
      </c>
      <c r="C101" s="16" t="s">
        <v>31</v>
      </c>
      <c r="D101" s="16" t="s">
        <v>32</v>
      </c>
      <c r="E101" s="16" t="s">
        <v>33</v>
      </c>
      <c r="F101" s="38" t="s">
        <v>484</v>
      </c>
      <c r="G101" s="19" t="s">
        <v>34</v>
      </c>
      <c r="H101" s="38" t="s">
        <v>485</v>
      </c>
      <c r="I101" s="17">
        <v>46129</v>
      </c>
      <c r="J101" s="16">
        <v>10</v>
      </c>
      <c r="K101" s="16" t="s">
        <v>33</v>
      </c>
      <c r="L101" s="38" t="s">
        <v>273</v>
      </c>
      <c r="M101" s="16">
        <v>18000</v>
      </c>
      <c r="N101" s="16">
        <v>16000</v>
      </c>
      <c r="O101" s="17">
        <v>46129</v>
      </c>
      <c r="P101" s="16">
        <v>2000</v>
      </c>
      <c r="Q101" s="16" t="s">
        <v>33</v>
      </c>
      <c r="R101" s="16" t="s">
        <v>56</v>
      </c>
      <c r="S101" s="16">
        <v>20500</v>
      </c>
      <c r="T101" s="16" t="s">
        <v>33</v>
      </c>
      <c r="U101" s="16" t="s">
        <v>33</v>
      </c>
      <c r="V101" s="16" t="s">
        <v>28</v>
      </c>
      <c r="W101" s="16">
        <v>2500</v>
      </c>
      <c r="X101" s="16" t="s">
        <v>36</v>
      </c>
      <c r="Y101" s="16" t="s">
        <v>29</v>
      </c>
      <c r="Z101" s="18">
        <v>13.888888888888889</v>
      </c>
      <c r="AA101" s="16"/>
      <c r="AB101" s="16"/>
    </row>
    <row r="102" spans="1:28">
      <c r="A102" s="16">
        <v>101</v>
      </c>
      <c r="B102" s="16" t="s">
        <v>30</v>
      </c>
      <c r="C102" s="16" t="s">
        <v>31</v>
      </c>
      <c r="D102" s="16" t="s">
        <v>32</v>
      </c>
      <c r="E102" s="16" t="s">
        <v>33</v>
      </c>
      <c r="F102" s="38" t="s">
        <v>241</v>
      </c>
      <c r="G102" s="19" t="s">
        <v>34</v>
      </c>
      <c r="H102" s="38" t="s">
        <v>486</v>
      </c>
      <c r="I102" s="17">
        <v>46129</v>
      </c>
      <c r="J102" s="16">
        <v>10</v>
      </c>
      <c r="K102" s="16" t="s">
        <v>33</v>
      </c>
      <c r="L102" s="38" t="s">
        <v>111</v>
      </c>
      <c r="M102" s="16">
        <v>11700</v>
      </c>
      <c r="N102" s="16">
        <v>10700</v>
      </c>
      <c r="O102" s="17">
        <v>46129</v>
      </c>
      <c r="P102" s="16">
        <v>1000</v>
      </c>
      <c r="Q102" s="16" t="s">
        <v>33</v>
      </c>
      <c r="R102" s="16" t="s">
        <v>112</v>
      </c>
      <c r="S102" s="16">
        <v>13500</v>
      </c>
      <c r="T102" s="16" t="s">
        <v>33</v>
      </c>
      <c r="U102" s="16" t="s">
        <v>33</v>
      </c>
      <c r="V102" s="16" t="s">
        <v>28</v>
      </c>
      <c r="W102" s="16">
        <v>1800</v>
      </c>
      <c r="X102" s="16" t="s">
        <v>36</v>
      </c>
      <c r="Y102" s="16" t="s">
        <v>29</v>
      </c>
      <c r="Z102" s="18">
        <v>15.384615384615385</v>
      </c>
      <c r="AA102" s="16"/>
      <c r="AB102" s="16"/>
    </row>
    <row r="103" spans="1:28">
      <c r="A103" s="16">
        <v>102</v>
      </c>
      <c r="B103" s="16" t="s">
        <v>30</v>
      </c>
      <c r="C103" s="16" t="s">
        <v>284</v>
      </c>
      <c r="D103" s="16" t="s">
        <v>32</v>
      </c>
      <c r="E103" s="16" t="s">
        <v>33</v>
      </c>
      <c r="F103" s="38" t="s">
        <v>285</v>
      </c>
      <c r="G103" s="19" t="s">
        <v>50</v>
      </c>
      <c r="H103" s="38" t="s">
        <v>488</v>
      </c>
      <c r="I103" s="17">
        <v>46129</v>
      </c>
      <c r="J103" s="16">
        <v>10</v>
      </c>
      <c r="K103" s="16" t="s">
        <v>33</v>
      </c>
      <c r="L103" s="38" t="s">
        <v>489</v>
      </c>
      <c r="M103" s="16">
        <v>47000</v>
      </c>
      <c r="N103" s="16">
        <v>40000</v>
      </c>
      <c r="O103" s="17">
        <v>46129</v>
      </c>
      <c r="P103" s="16">
        <v>7000</v>
      </c>
      <c r="Q103" s="16" t="s">
        <v>33</v>
      </c>
      <c r="R103" s="16" t="s">
        <v>52</v>
      </c>
      <c r="S103" s="16">
        <v>53000</v>
      </c>
      <c r="T103" s="16" t="s">
        <v>33</v>
      </c>
      <c r="U103" s="16" t="s">
        <v>33</v>
      </c>
      <c r="V103" s="16" t="s">
        <v>28</v>
      </c>
      <c r="W103" s="16">
        <v>6000</v>
      </c>
      <c r="X103" s="16" t="s">
        <v>36</v>
      </c>
      <c r="Y103" s="16" t="s">
        <v>29</v>
      </c>
      <c r="Z103" s="18">
        <v>12.76595744680851</v>
      </c>
      <c r="AA103" s="16"/>
      <c r="AB103" s="16" t="s">
        <v>320</v>
      </c>
    </row>
    <row r="104" spans="1:28">
      <c r="A104" s="16">
        <v>103</v>
      </c>
      <c r="B104" s="16" t="s">
        <v>30</v>
      </c>
      <c r="C104" s="16" t="s">
        <v>80</v>
      </c>
      <c r="D104" s="16" t="s">
        <v>32</v>
      </c>
      <c r="E104" s="16" t="s">
        <v>33</v>
      </c>
      <c r="F104" s="38" t="s">
        <v>490</v>
      </c>
      <c r="G104" s="19" t="s">
        <v>59</v>
      </c>
      <c r="H104" s="48" t="s">
        <v>491</v>
      </c>
      <c r="I104" s="17">
        <v>46129</v>
      </c>
      <c r="J104" s="16">
        <v>10</v>
      </c>
      <c r="K104" s="16" t="s">
        <v>33</v>
      </c>
      <c r="L104" s="38" t="s">
        <v>492</v>
      </c>
      <c r="M104" s="16">
        <v>22500</v>
      </c>
      <c r="N104" s="16">
        <v>22500</v>
      </c>
      <c r="O104" s="17">
        <v>46129</v>
      </c>
      <c r="P104" s="16">
        <v>0</v>
      </c>
      <c r="Q104" s="16" t="s">
        <v>33</v>
      </c>
      <c r="R104" s="16" t="s">
        <v>39</v>
      </c>
      <c r="S104" s="16">
        <v>25200</v>
      </c>
      <c r="T104" s="16" t="s">
        <v>33</v>
      </c>
      <c r="U104" s="16" t="s">
        <v>33</v>
      </c>
      <c r="V104" s="16" t="s">
        <v>28</v>
      </c>
      <c r="W104" s="16">
        <v>2700</v>
      </c>
      <c r="X104" s="16" t="s">
        <v>36</v>
      </c>
      <c r="Y104" s="16" t="s">
        <v>29</v>
      </c>
      <c r="Z104" s="18">
        <v>12</v>
      </c>
      <c r="AA104" s="16"/>
      <c r="AB104" s="16"/>
    </row>
    <row r="105" spans="1:28">
      <c r="A105" s="16">
        <v>104</v>
      </c>
      <c r="B105" s="16" t="s">
        <v>30</v>
      </c>
      <c r="C105" s="16" t="s">
        <v>31</v>
      </c>
      <c r="D105" s="16" t="s">
        <v>32</v>
      </c>
      <c r="E105" s="16" t="s">
        <v>33</v>
      </c>
      <c r="F105" s="38" t="s">
        <v>497</v>
      </c>
      <c r="G105" s="19" t="s">
        <v>34</v>
      </c>
      <c r="H105" s="38" t="s">
        <v>498</v>
      </c>
      <c r="I105" s="17">
        <v>46129</v>
      </c>
      <c r="J105" s="16">
        <v>10</v>
      </c>
      <c r="K105" s="16" t="s">
        <v>33</v>
      </c>
      <c r="L105" s="38" t="s">
        <v>499</v>
      </c>
      <c r="M105" s="16">
        <v>18000</v>
      </c>
      <c r="N105" s="16">
        <v>16000</v>
      </c>
      <c r="O105" s="17">
        <v>46129</v>
      </c>
      <c r="P105" s="16">
        <v>2000</v>
      </c>
      <c r="Q105" s="16" t="s">
        <v>33</v>
      </c>
      <c r="R105" s="16" t="s">
        <v>56</v>
      </c>
      <c r="S105" s="16">
        <v>20500</v>
      </c>
      <c r="T105" s="16" t="s">
        <v>33</v>
      </c>
      <c r="U105" s="16" t="s">
        <v>33</v>
      </c>
      <c r="V105" s="16" t="s">
        <v>28</v>
      </c>
      <c r="W105" s="16">
        <v>2500</v>
      </c>
      <c r="X105" s="16" t="s">
        <v>36</v>
      </c>
      <c r="Y105" s="16" t="s">
        <v>29</v>
      </c>
      <c r="Z105" s="18">
        <v>13.888888888888889</v>
      </c>
      <c r="AA105" s="16"/>
      <c r="AB105" s="16"/>
    </row>
    <row r="106" spans="1:28">
      <c r="A106" s="16">
        <v>105</v>
      </c>
      <c r="B106" s="16" t="s">
        <v>30</v>
      </c>
      <c r="C106" s="16" t="s">
        <v>44</v>
      </c>
      <c r="D106" s="16" t="s">
        <v>32</v>
      </c>
      <c r="E106" s="16" t="s">
        <v>33</v>
      </c>
      <c r="F106" s="38" t="s">
        <v>502</v>
      </c>
      <c r="G106" s="19">
        <v>407</v>
      </c>
      <c r="H106" s="38" t="s">
        <v>503</v>
      </c>
      <c r="I106" s="17">
        <v>46129</v>
      </c>
      <c r="J106" s="16">
        <v>10</v>
      </c>
      <c r="K106" s="16" t="s">
        <v>33</v>
      </c>
      <c r="L106" s="38" t="s">
        <v>504</v>
      </c>
      <c r="M106" s="16">
        <v>28000</v>
      </c>
      <c r="N106" s="16">
        <v>26000</v>
      </c>
      <c r="O106" s="17">
        <v>46129</v>
      </c>
      <c r="P106" s="16">
        <v>2000</v>
      </c>
      <c r="Q106" s="16" t="s">
        <v>33</v>
      </c>
      <c r="R106" s="16" t="s">
        <v>56</v>
      </c>
      <c r="S106" s="16">
        <v>30800</v>
      </c>
      <c r="T106" s="16" t="s">
        <v>33</v>
      </c>
      <c r="U106" s="16" t="s">
        <v>33</v>
      </c>
      <c r="V106" s="16" t="s">
        <v>28</v>
      </c>
      <c r="W106" s="16">
        <v>2800</v>
      </c>
      <c r="X106" s="16" t="s">
        <v>36</v>
      </c>
      <c r="Y106" s="16" t="s">
        <v>29</v>
      </c>
      <c r="Z106" s="18">
        <v>10</v>
      </c>
      <c r="AA106" s="16"/>
      <c r="AB106" s="16"/>
    </row>
    <row r="107" spans="1:28">
      <c r="A107" s="16">
        <v>106</v>
      </c>
      <c r="B107" s="16" t="s">
        <v>30</v>
      </c>
      <c r="C107" s="16" t="s">
        <v>44</v>
      </c>
      <c r="D107" s="16" t="s">
        <v>32</v>
      </c>
      <c r="E107" s="16" t="s">
        <v>33</v>
      </c>
      <c r="F107" s="38" t="s">
        <v>511</v>
      </c>
      <c r="G107" s="19" t="s">
        <v>59</v>
      </c>
      <c r="H107" s="48" t="s">
        <v>512</v>
      </c>
      <c r="I107" s="17">
        <v>46129</v>
      </c>
      <c r="J107" s="16">
        <v>10</v>
      </c>
      <c r="K107" s="16" t="s">
        <v>33</v>
      </c>
      <c r="L107" s="38" t="s">
        <v>492</v>
      </c>
      <c r="M107" s="16">
        <v>24000</v>
      </c>
      <c r="N107" s="16">
        <v>24000</v>
      </c>
      <c r="O107" s="17">
        <v>46130</v>
      </c>
      <c r="P107" s="16">
        <v>0</v>
      </c>
      <c r="Q107" s="16" t="s">
        <v>33</v>
      </c>
      <c r="R107" s="16" t="s">
        <v>39</v>
      </c>
      <c r="S107" s="16">
        <v>25200</v>
      </c>
      <c r="T107" s="16" t="s">
        <v>33</v>
      </c>
      <c r="U107" s="16" t="s">
        <v>33</v>
      </c>
      <c r="V107" s="16" t="s">
        <v>28</v>
      </c>
      <c r="W107" s="16">
        <v>1200</v>
      </c>
      <c r="X107" s="16" t="s">
        <v>36</v>
      </c>
      <c r="Y107" s="16" t="s">
        <v>29</v>
      </c>
      <c r="Z107" s="18">
        <v>5</v>
      </c>
      <c r="AA107" s="16"/>
      <c r="AB107" s="16"/>
    </row>
    <row r="108" spans="1:28">
      <c r="A108" s="16">
        <v>107</v>
      </c>
      <c r="B108" s="16" t="s">
        <v>30</v>
      </c>
      <c r="C108" s="16" t="s">
        <v>44</v>
      </c>
      <c r="D108" s="16" t="s">
        <v>32</v>
      </c>
      <c r="E108" s="16" t="s">
        <v>33</v>
      </c>
      <c r="F108" s="38" t="s">
        <v>513</v>
      </c>
      <c r="G108" s="19">
        <v>407</v>
      </c>
      <c r="H108" s="38" t="s">
        <v>514</v>
      </c>
      <c r="I108" s="17">
        <v>46128</v>
      </c>
      <c r="J108" s="16">
        <v>11</v>
      </c>
      <c r="K108" s="16" t="s">
        <v>33</v>
      </c>
      <c r="L108" s="38" t="s">
        <v>84</v>
      </c>
      <c r="M108" s="16">
        <v>27000</v>
      </c>
      <c r="N108" s="16">
        <v>25000</v>
      </c>
      <c r="O108" s="17">
        <v>46130</v>
      </c>
      <c r="P108" s="16">
        <v>2000</v>
      </c>
      <c r="Q108" s="16" t="s">
        <v>33</v>
      </c>
      <c r="R108" s="16" t="s">
        <v>56</v>
      </c>
      <c r="S108" s="16">
        <v>29800</v>
      </c>
      <c r="T108" s="16" t="s">
        <v>33</v>
      </c>
      <c r="U108" s="16" t="s">
        <v>33</v>
      </c>
      <c r="V108" s="16" t="s">
        <v>28</v>
      </c>
      <c r="W108" s="16">
        <v>2800</v>
      </c>
      <c r="X108" s="16" t="s">
        <v>36</v>
      </c>
      <c r="Y108" s="16" t="s">
        <v>29</v>
      </c>
      <c r="Z108" s="18">
        <v>10.37037037037037</v>
      </c>
      <c r="AA108" s="16"/>
      <c r="AB108" s="16"/>
    </row>
    <row r="109" spans="1:28">
      <c r="A109" s="16">
        <v>108</v>
      </c>
      <c r="B109" s="16" t="s">
        <v>30</v>
      </c>
      <c r="C109" s="16" t="s">
        <v>31</v>
      </c>
      <c r="D109" s="16" t="s">
        <v>32</v>
      </c>
      <c r="E109" s="16" t="s">
        <v>33</v>
      </c>
      <c r="F109" s="38" t="s">
        <v>517</v>
      </c>
      <c r="G109" s="19" t="s">
        <v>34</v>
      </c>
      <c r="H109" s="38" t="s">
        <v>518</v>
      </c>
      <c r="I109" s="17">
        <v>46129</v>
      </c>
      <c r="J109" s="16">
        <v>10</v>
      </c>
      <c r="K109" s="16" t="s">
        <v>33</v>
      </c>
      <c r="L109" s="38" t="s">
        <v>519</v>
      </c>
      <c r="M109" s="16">
        <v>18300</v>
      </c>
      <c r="N109" s="16">
        <v>17000</v>
      </c>
      <c r="O109" s="17">
        <v>46130</v>
      </c>
      <c r="P109" s="16">
        <v>1300</v>
      </c>
      <c r="Q109" s="16" t="s">
        <v>33</v>
      </c>
      <c r="R109" s="16" t="s">
        <v>37</v>
      </c>
      <c r="S109" s="16">
        <v>21500</v>
      </c>
      <c r="T109" s="16" t="s">
        <v>33</v>
      </c>
      <c r="U109" s="16" t="s">
        <v>33</v>
      </c>
      <c r="V109" s="16" t="s">
        <v>28</v>
      </c>
      <c r="W109" s="16">
        <v>3200</v>
      </c>
      <c r="X109" s="16" t="s">
        <v>36</v>
      </c>
      <c r="Y109" s="16" t="s">
        <v>29</v>
      </c>
      <c r="Z109" s="18">
        <v>17.486338797814209</v>
      </c>
      <c r="AA109" s="16"/>
      <c r="AB109" s="16"/>
    </row>
    <row r="110" spans="1:28">
      <c r="A110" s="16">
        <v>109</v>
      </c>
      <c r="B110" s="16" t="s">
        <v>30</v>
      </c>
      <c r="C110" s="16" t="s">
        <v>31</v>
      </c>
      <c r="D110" s="16" t="s">
        <v>32</v>
      </c>
      <c r="E110" s="16" t="s">
        <v>33</v>
      </c>
      <c r="F110" s="38" t="s">
        <v>357</v>
      </c>
      <c r="G110" s="19" t="s">
        <v>34</v>
      </c>
      <c r="H110" s="38" t="s">
        <v>520</v>
      </c>
      <c r="I110" s="17">
        <v>46129</v>
      </c>
      <c r="J110" s="16">
        <v>10</v>
      </c>
      <c r="K110" s="16" t="s">
        <v>33</v>
      </c>
      <c r="L110" s="38" t="s">
        <v>270</v>
      </c>
      <c r="M110" s="16">
        <v>18300</v>
      </c>
      <c r="N110" s="16">
        <v>16500</v>
      </c>
      <c r="O110" s="17">
        <v>46130</v>
      </c>
      <c r="P110" s="16">
        <v>1800</v>
      </c>
      <c r="Q110" s="16" t="s">
        <v>33</v>
      </c>
      <c r="R110" s="16" t="s">
        <v>37</v>
      </c>
      <c r="S110" s="16">
        <v>21500</v>
      </c>
      <c r="T110" s="16" t="s">
        <v>33</v>
      </c>
      <c r="U110" s="16" t="s">
        <v>33</v>
      </c>
      <c r="V110" s="16" t="s">
        <v>28</v>
      </c>
      <c r="W110" s="16">
        <v>3200</v>
      </c>
      <c r="X110" s="16" t="s">
        <v>36</v>
      </c>
      <c r="Y110" s="16" t="s">
        <v>29</v>
      </c>
      <c r="Z110" s="18">
        <v>17.486338797814209</v>
      </c>
      <c r="AA110" s="16"/>
      <c r="AB110" s="16"/>
    </row>
    <row r="111" spans="1:28">
      <c r="A111" s="16">
        <v>110</v>
      </c>
      <c r="B111" s="16" t="s">
        <v>30</v>
      </c>
      <c r="C111" s="16" t="s">
        <v>31</v>
      </c>
      <c r="D111" s="16" t="s">
        <v>32</v>
      </c>
      <c r="E111" s="16" t="s">
        <v>33</v>
      </c>
      <c r="F111" s="38" t="s">
        <v>521</v>
      </c>
      <c r="G111" s="19" t="s">
        <v>34</v>
      </c>
      <c r="H111" s="38" t="s">
        <v>522</v>
      </c>
      <c r="I111" s="17">
        <v>46129</v>
      </c>
      <c r="J111" s="16">
        <v>10</v>
      </c>
      <c r="K111" s="16" t="s">
        <v>33</v>
      </c>
      <c r="L111" s="38" t="s">
        <v>523</v>
      </c>
      <c r="M111" s="16">
        <v>18000</v>
      </c>
      <c r="N111" s="16">
        <v>16000</v>
      </c>
      <c r="O111" s="17">
        <v>46130</v>
      </c>
      <c r="P111" s="16">
        <v>2000</v>
      </c>
      <c r="Q111" s="16" t="s">
        <v>33</v>
      </c>
      <c r="R111" s="16" t="s">
        <v>56</v>
      </c>
      <c r="S111" s="16">
        <v>20500</v>
      </c>
      <c r="T111" s="16" t="s">
        <v>33</v>
      </c>
      <c r="U111" s="16" t="s">
        <v>33</v>
      </c>
      <c r="V111" s="16" t="s">
        <v>28</v>
      </c>
      <c r="W111" s="16">
        <v>2500</v>
      </c>
      <c r="X111" s="16" t="s">
        <v>36</v>
      </c>
      <c r="Y111" s="16" t="s">
        <v>29</v>
      </c>
      <c r="Z111" s="18">
        <v>13.888888888888889</v>
      </c>
      <c r="AA111" s="16"/>
      <c r="AB111" s="16"/>
    </row>
    <row r="112" spans="1:28">
      <c r="A112" s="16">
        <v>111</v>
      </c>
      <c r="B112" s="16" t="s">
        <v>30</v>
      </c>
      <c r="C112" s="16" t="s">
        <v>31</v>
      </c>
      <c r="D112" s="16" t="s">
        <v>32</v>
      </c>
      <c r="E112" s="16" t="s">
        <v>33</v>
      </c>
      <c r="F112" s="38" t="s">
        <v>245</v>
      </c>
      <c r="G112" s="19" t="s">
        <v>34</v>
      </c>
      <c r="H112" s="38" t="s">
        <v>524</v>
      </c>
      <c r="I112" s="17">
        <v>46129</v>
      </c>
      <c r="J112" s="16">
        <v>10</v>
      </c>
      <c r="K112" s="16" t="s">
        <v>33</v>
      </c>
      <c r="L112" s="38" t="s">
        <v>525</v>
      </c>
      <c r="M112" s="16">
        <v>27000</v>
      </c>
      <c r="N112" s="16">
        <v>25000</v>
      </c>
      <c r="O112" s="17">
        <v>46130</v>
      </c>
      <c r="P112" s="16">
        <v>2000</v>
      </c>
      <c r="Q112" s="16" t="s">
        <v>33</v>
      </c>
      <c r="R112" s="16" t="s">
        <v>78</v>
      </c>
      <c r="S112" s="16">
        <v>29800</v>
      </c>
      <c r="T112" s="16" t="s">
        <v>33</v>
      </c>
      <c r="U112" s="16" t="s">
        <v>33</v>
      </c>
      <c r="V112" s="16" t="s">
        <v>28</v>
      </c>
      <c r="W112" s="16">
        <v>2800</v>
      </c>
      <c r="X112" s="16" t="s">
        <v>36</v>
      </c>
      <c r="Y112" s="16" t="s">
        <v>29</v>
      </c>
      <c r="Z112" s="18">
        <v>10.37037037037037</v>
      </c>
      <c r="AA112" s="16"/>
      <c r="AB112" s="16"/>
    </row>
    <row r="113" spans="1:28">
      <c r="A113" s="16">
        <v>112</v>
      </c>
      <c r="B113" s="16" t="s">
        <v>30</v>
      </c>
      <c r="C113" s="16" t="s">
        <v>31</v>
      </c>
      <c r="D113" s="16" t="s">
        <v>32</v>
      </c>
      <c r="E113" s="16" t="s">
        <v>33</v>
      </c>
      <c r="F113" s="38" t="s">
        <v>533</v>
      </c>
      <c r="G113" s="19" t="s">
        <v>34</v>
      </c>
      <c r="H113" s="38" t="s">
        <v>534</v>
      </c>
      <c r="I113" s="17">
        <v>46130</v>
      </c>
      <c r="J113" s="16">
        <v>9</v>
      </c>
      <c r="K113" s="16" t="s">
        <v>33</v>
      </c>
      <c r="L113" s="38" t="s">
        <v>535</v>
      </c>
      <c r="M113" s="16">
        <v>18000</v>
      </c>
      <c r="N113" s="16">
        <v>16000</v>
      </c>
      <c r="O113" s="17">
        <v>46130</v>
      </c>
      <c r="P113" s="16">
        <v>2000</v>
      </c>
      <c r="Q113" s="16" t="s">
        <v>33</v>
      </c>
      <c r="R113" s="16" t="s">
        <v>56</v>
      </c>
      <c r="S113" s="16">
        <v>20500</v>
      </c>
      <c r="T113" s="16" t="s">
        <v>33</v>
      </c>
      <c r="U113" s="16" t="s">
        <v>33</v>
      </c>
      <c r="V113" s="16" t="s">
        <v>28</v>
      </c>
      <c r="W113" s="16">
        <v>2500</v>
      </c>
      <c r="X113" s="16" t="s">
        <v>36</v>
      </c>
      <c r="Y113" s="16" t="s">
        <v>29</v>
      </c>
      <c r="Z113" s="18">
        <v>13.888888888888889</v>
      </c>
      <c r="AA113" s="16"/>
      <c r="AB113" s="16"/>
    </row>
    <row r="114" spans="1:28">
      <c r="A114" s="16">
        <v>113</v>
      </c>
      <c r="B114" s="16" t="s">
        <v>30</v>
      </c>
      <c r="C114" s="16" t="s">
        <v>44</v>
      </c>
      <c r="D114" s="16" t="s">
        <v>32</v>
      </c>
      <c r="E114" s="16" t="s">
        <v>33</v>
      </c>
      <c r="F114" s="38" t="s">
        <v>539</v>
      </c>
      <c r="G114" s="19">
        <v>407</v>
      </c>
      <c r="H114" s="38" t="s">
        <v>540</v>
      </c>
      <c r="I114" s="17">
        <v>46130</v>
      </c>
      <c r="J114" s="16">
        <v>9</v>
      </c>
      <c r="K114" s="16" t="s">
        <v>33</v>
      </c>
      <c r="L114" s="38" t="s">
        <v>84</v>
      </c>
      <c r="M114" s="16">
        <v>27000</v>
      </c>
      <c r="N114" s="16">
        <v>25000</v>
      </c>
      <c r="O114" s="17">
        <v>46130</v>
      </c>
      <c r="P114" s="16">
        <v>2000</v>
      </c>
      <c r="Q114" s="16" t="s">
        <v>33</v>
      </c>
      <c r="R114" s="16" t="s">
        <v>78</v>
      </c>
      <c r="S114" s="16">
        <v>29800</v>
      </c>
      <c r="T114" s="16" t="s">
        <v>33</v>
      </c>
      <c r="U114" s="16" t="s">
        <v>33</v>
      </c>
      <c r="V114" s="16" t="s">
        <v>28</v>
      </c>
      <c r="W114" s="16">
        <v>2800</v>
      </c>
      <c r="X114" s="16" t="s">
        <v>36</v>
      </c>
      <c r="Y114" s="16" t="s">
        <v>29</v>
      </c>
      <c r="Z114" s="18">
        <v>10.37037037037037</v>
      </c>
      <c r="AA114" s="16"/>
      <c r="AB114" s="16"/>
    </row>
    <row r="115" spans="1:28">
      <c r="A115" s="16">
        <v>114</v>
      </c>
      <c r="B115" s="16" t="s">
        <v>30</v>
      </c>
      <c r="C115" s="16" t="s">
        <v>44</v>
      </c>
      <c r="D115" s="16" t="s">
        <v>32</v>
      </c>
      <c r="E115" s="16" t="s">
        <v>33</v>
      </c>
      <c r="F115" s="38" t="s">
        <v>541</v>
      </c>
      <c r="G115" s="19">
        <v>407</v>
      </c>
      <c r="H115" s="38" t="s">
        <v>542</v>
      </c>
      <c r="I115" s="17">
        <v>46130</v>
      </c>
      <c r="J115" s="16">
        <v>9</v>
      </c>
      <c r="K115" s="16" t="s">
        <v>33</v>
      </c>
      <c r="L115" s="38" t="s">
        <v>543</v>
      </c>
      <c r="M115" s="16">
        <v>28000</v>
      </c>
      <c r="N115" s="16">
        <v>25000</v>
      </c>
      <c r="O115" s="17">
        <v>46130</v>
      </c>
      <c r="P115" s="16">
        <v>3000</v>
      </c>
      <c r="Q115" s="16" t="s">
        <v>33</v>
      </c>
      <c r="R115" s="16" t="s">
        <v>56</v>
      </c>
      <c r="S115" s="16">
        <v>30800</v>
      </c>
      <c r="T115" s="16" t="s">
        <v>33</v>
      </c>
      <c r="U115" s="16" t="s">
        <v>33</v>
      </c>
      <c r="V115" s="16" t="s">
        <v>28</v>
      </c>
      <c r="W115" s="16">
        <v>2800</v>
      </c>
      <c r="X115" s="16" t="s">
        <v>36</v>
      </c>
      <c r="Y115" s="16" t="s">
        <v>29</v>
      </c>
      <c r="Z115" s="18">
        <v>10</v>
      </c>
      <c r="AA115" s="16"/>
      <c r="AB115" s="16"/>
    </row>
    <row r="116" spans="1:28">
      <c r="A116" s="16">
        <v>115</v>
      </c>
      <c r="B116" s="16" t="s">
        <v>30</v>
      </c>
      <c r="C116" s="16" t="s">
        <v>44</v>
      </c>
      <c r="D116" s="16" t="s">
        <v>32</v>
      </c>
      <c r="E116" s="16" t="s">
        <v>33</v>
      </c>
      <c r="F116" s="38" t="s">
        <v>558</v>
      </c>
      <c r="G116" s="19" t="s">
        <v>34</v>
      </c>
      <c r="H116" s="38" t="s">
        <v>559</v>
      </c>
      <c r="I116" s="17">
        <v>46128</v>
      </c>
      <c r="J116" s="16">
        <v>11</v>
      </c>
      <c r="K116" s="16" t="s">
        <v>33</v>
      </c>
      <c r="L116" s="38" t="s">
        <v>560</v>
      </c>
      <c r="M116" s="16">
        <v>17500</v>
      </c>
      <c r="N116" s="16">
        <v>16500</v>
      </c>
      <c r="O116" s="17">
        <v>46132</v>
      </c>
      <c r="P116" s="16">
        <v>1000</v>
      </c>
      <c r="Q116" s="16" t="s">
        <v>33</v>
      </c>
      <c r="R116" s="16" t="s">
        <v>112</v>
      </c>
      <c r="S116" s="16">
        <v>20050</v>
      </c>
      <c r="T116" s="16" t="s">
        <v>33</v>
      </c>
      <c r="U116" s="16" t="s">
        <v>33</v>
      </c>
      <c r="V116" s="16" t="s">
        <v>28</v>
      </c>
      <c r="W116" s="16">
        <v>2550</v>
      </c>
      <c r="X116" s="16" t="s">
        <v>36</v>
      </c>
      <c r="Y116" s="16" t="s">
        <v>29</v>
      </c>
      <c r="Z116" s="18">
        <v>14.571428571428571</v>
      </c>
      <c r="AA116" s="16"/>
      <c r="AB116" s="16"/>
    </row>
    <row r="117" spans="1:28">
      <c r="A117" s="16">
        <v>116</v>
      </c>
      <c r="B117" s="16" t="s">
        <v>30</v>
      </c>
      <c r="C117" s="16" t="s">
        <v>31</v>
      </c>
      <c r="D117" s="16" t="s">
        <v>32</v>
      </c>
      <c r="E117" s="16" t="s">
        <v>33</v>
      </c>
      <c r="F117" s="38" t="s">
        <v>299</v>
      </c>
      <c r="G117" s="19" t="s">
        <v>34</v>
      </c>
      <c r="H117" s="38" t="s">
        <v>567</v>
      </c>
      <c r="I117" s="17">
        <v>46130</v>
      </c>
      <c r="J117" s="16">
        <v>9</v>
      </c>
      <c r="K117" s="16" t="s">
        <v>33</v>
      </c>
      <c r="L117" s="38" t="s">
        <v>483</v>
      </c>
      <c r="M117" s="16">
        <v>23300</v>
      </c>
      <c r="N117" s="16">
        <v>21500</v>
      </c>
      <c r="O117" s="17">
        <v>46132</v>
      </c>
      <c r="P117" s="16">
        <v>1800</v>
      </c>
      <c r="Q117" s="16" t="s">
        <v>33</v>
      </c>
      <c r="R117" s="16" t="s">
        <v>37</v>
      </c>
      <c r="S117" s="16">
        <v>26000</v>
      </c>
      <c r="T117" s="16" t="s">
        <v>33</v>
      </c>
      <c r="U117" s="16" t="s">
        <v>33</v>
      </c>
      <c r="V117" s="16" t="s">
        <v>28</v>
      </c>
      <c r="W117" s="16">
        <v>2700</v>
      </c>
      <c r="X117" s="16" t="s">
        <v>36</v>
      </c>
      <c r="Y117" s="16" t="s">
        <v>29</v>
      </c>
      <c r="Z117" s="18">
        <v>11.587982832618026</v>
      </c>
      <c r="AA117" s="16"/>
      <c r="AB117" s="16"/>
    </row>
    <row r="118" spans="1:28">
      <c r="A118" s="16">
        <v>117</v>
      </c>
      <c r="B118" s="16" t="s">
        <v>30</v>
      </c>
      <c r="C118" s="16" t="s">
        <v>31</v>
      </c>
      <c r="D118" s="16" t="s">
        <v>32</v>
      </c>
      <c r="E118" s="16" t="s">
        <v>33</v>
      </c>
      <c r="F118" s="38" t="s">
        <v>568</v>
      </c>
      <c r="G118" s="19" t="s">
        <v>34</v>
      </c>
      <c r="H118" s="38" t="s">
        <v>569</v>
      </c>
      <c r="I118" s="17">
        <v>46130</v>
      </c>
      <c r="J118" s="16">
        <v>9</v>
      </c>
      <c r="K118" s="16" t="s">
        <v>33</v>
      </c>
      <c r="L118" s="38" t="s">
        <v>273</v>
      </c>
      <c r="M118" s="16">
        <v>18000</v>
      </c>
      <c r="N118" s="16">
        <v>16000</v>
      </c>
      <c r="O118" s="17">
        <v>46132</v>
      </c>
      <c r="P118" s="16">
        <v>2000</v>
      </c>
      <c r="Q118" s="16" t="s">
        <v>33</v>
      </c>
      <c r="R118" s="16" t="s">
        <v>56</v>
      </c>
      <c r="S118" s="16">
        <v>20500</v>
      </c>
      <c r="T118" s="16" t="s">
        <v>33</v>
      </c>
      <c r="U118" s="16" t="s">
        <v>33</v>
      </c>
      <c r="V118" s="16" t="s">
        <v>28</v>
      </c>
      <c r="W118" s="16">
        <v>2500</v>
      </c>
      <c r="X118" s="16" t="s">
        <v>36</v>
      </c>
      <c r="Y118" s="16" t="s">
        <v>29</v>
      </c>
      <c r="Z118" s="18">
        <v>13.888888888888889</v>
      </c>
      <c r="AA118" s="16"/>
      <c r="AB118" s="16"/>
    </row>
    <row r="119" spans="1:28">
      <c r="A119" s="16">
        <v>118</v>
      </c>
      <c r="B119" s="16" t="s">
        <v>30</v>
      </c>
      <c r="C119" s="16" t="s">
        <v>31</v>
      </c>
      <c r="D119" s="16" t="s">
        <v>32</v>
      </c>
      <c r="E119" s="16" t="s">
        <v>33</v>
      </c>
      <c r="F119" s="38" t="s">
        <v>570</v>
      </c>
      <c r="G119" s="19" t="s">
        <v>34</v>
      </c>
      <c r="H119" s="38" t="s">
        <v>571</v>
      </c>
      <c r="I119" s="17">
        <v>46131</v>
      </c>
      <c r="J119" s="16">
        <v>8</v>
      </c>
      <c r="K119" s="16" t="s">
        <v>33</v>
      </c>
      <c r="L119" s="38" t="s">
        <v>376</v>
      </c>
      <c r="M119" s="16">
        <v>19000</v>
      </c>
      <c r="N119" s="16">
        <v>17000</v>
      </c>
      <c r="O119" s="17">
        <v>46132</v>
      </c>
      <c r="P119" s="16">
        <v>2000</v>
      </c>
      <c r="Q119" s="16" t="s">
        <v>33</v>
      </c>
      <c r="R119" s="16" t="s">
        <v>39</v>
      </c>
      <c r="S119" s="16">
        <v>21800</v>
      </c>
      <c r="T119" s="16" t="s">
        <v>33</v>
      </c>
      <c r="U119" s="16" t="s">
        <v>33</v>
      </c>
      <c r="V119" s="16" t="s">
        <v>28</v>
      </c>
      <c r="W119" s="16">
        <v>2800</v>
      </c>
      <c r="X119" s="16" t="s">
        <v>36</v>
      </c>
      <c r="Y119" s="16" t="s">
        <v>29</v>
      </c>
      <c r="Z119" s="18">
        <v>14.736842105263158</v>
      </c>
      <c r="AA119" s="16"/>
      <c r="AB119" s="16"/>
    </row>
    <row r="120" spans="1:28">
      <c r="A120" s="16">
        <v>119</v>
      </c>
      <c r="B120" s="16" t="s">
        <v>30</v>
      </c>
      <c r="C120" s="16" t="s">
        <v>31</v>
      </c>
      <c r="D120" s="16" t="s">
        <v>32</v>
      </c>
      <c r="E120" s="16" t="s">
        <v>33</v>
      </c>
      <c r="F120" s="38" t="s">
        <v>574</v>
      </c>
      <c r="G120" s="19" t="s">
        <v>34</v>
      </c>
      <c r="H120" s="38" t="s">
        <v>575</v>
      </c>
      <c r="I120" s="17">
        <v>46131</v>
      </c>
      <c r="J120" s="16">
        <v>8</v>
      </c>
      <c r="K120" s="16" t="s">
        <v>33</v>
      </c>
      <c r="L120" s="38" t="s">
        <v>376</v>
      </c>
      <c r="M120" s="16">
        <v>19000</v>
      </c>
      <c r="N120" s="16">
        <v>17000</v>
      </c>
      <c r="O120" s="17">
        <v>46132</v>
      </c>
      <c r="P120" s="16">
        <v>2000</v>
      </c>
      <c r="Q120" s="16" t="s">
        <v>33</v>
      </c>
      <c r="R120" s="16" t="s">
        <v>39</v>
      </c>
      <c r="S120" s="16">
        <v>21800</v>
      </c>
      <c r="T120" s="16" t="s">
        <v>33</v>
      </c>
      <c r="U120" s="16" t="s">
        <v>33</v>
      </c>
      <c r="V120" s="16" t="s">
        <v>28</v>
      </c>
      <c r="W120" s="16">
        <v>2800</v>
      </c>
      <c r="X120" s="16" t="s">
        <v>36</v>
      </c>
      <c r="Y120" s="16" t="s">
        <v>29</v>
      </c>
      <c r="Z120" s="18">
        <v>14.736842105263158</v>
      </c>
      <c r="AA120" s="16"/>
      <c r="AB120" s="16"/>
    </row>
    <row r="121" spans="1:28">
      <c r="A121" s="16">
        <v>120</v>
      </c>
      <c r="B121" s="16" t="s">
        <v>30</v>
      </c>
      <c r="C121" s="16" t="s">
        <v>31</v>
      </c>
      <c r="D121" s="16" t="s">
        <v>32</v>
      </c>
      <c r="E121" s="16" t="s">
        <v>33</v>
      </c>
      <c r="F121" s="38" t="s">
        <v>306</v>
      </c>
      <c r="G121" s="19" t="s">
        <v>34</v>
      </c>
      <c r="H121" s="38" t="s">
        <v>578</v>
      </c>
      <c r="I121" s="17">
        <v>46131</v>
      </c>
      <c r="J121" s="16">
        <v>8</v>
      </c>
      <c r="K121" s="16" t="s">
        <v>33</v>
      </c>
      <c r="L121" s="38" t="s">
        <v>483</v>
      </c>
      <c r="M121" s="16">
        <v>23300</v>
      </c>
      <c r="N121" s="16">
        <v>21500</v>
      </c>
      <c r="O121" s="17">
        <v>46132</v>
      </c>
      <c r="P121" s="16">
        <v>1800</v>
      </c>
      <c r="Q121" s="16" t="s">
        <v>33</v>
      </c>
      <c r="R121" s="16" t="s">
        <v>37</v>
      </c>
      <c r="S121" s="16">
        <v>26000</v>
      </c>
      <c r="T121" s="16" t="s">
        <v>33</v>
      </c>
      <c r="U121" s="16" t="s">
        <v>33</v>
      </c>
      <c r="V121" s="16" t="s">
        <v>28</v>
      </c>
      <c r="W121" s="16">
        <v>2700</v>
      </c>
      <c r="X121" s="16" t="s">
        <v>36</v>
      </c>
      <c r="Y121" s="16" t="s">
        <v>29</v>
      </c>
      <c r="Z121" s="18">
        <v>11.587982832618026</v>
      </c>
      <c r="AA121" s="16"/>
      <c r="AB121" s="16"/>
    </row>
    <row r="122" spans="1:28">
      <c r="A122" s="16">
        <v>121</v>
      </c>
      <c r="B122" s="16" t="s">
        <v>30</v>
      </c>
      <c r="C122" s="16" t="s">
        <v>44</v>
      </c>
      <c r="D122" s="16" t="s">
        <v>32</v>
      </c>
      <c r="E122" s="16" t="s">
        <v>33</v>
      </c>
      <c r="F122" s="38" t="s">
        <v>581</v>
      </c>
      <c r="G122" s="19">
        <v>407</v>
      </c>
      <c r="H122" s="38" t="s">
        <v>582</v>
      </c>
      <c r="I122" s="17">
        <v>46131</v>
      </c>
      <c r="J122" s="16">
        <v>8</v>
      </c>
      <c r="K122" s="16" t="s">
        <v>33</v>
      </c>
      <c r="L122" s="38" t="s">
        <v>543</v>
      </c>
      <c r="M122" s="16">
        <v>28000</v>
      </c>
      <c r="N122" s="16">
        <v>25000</v>
      </c>
      <c r="O122" s="17">
        <v>46132</v>
      </c>
      <c r="P122" s="16">
        <v>3000</v>
      </c>
      <c r="Q122" s="16" t="s">
        <v>33</v>
      </c>
      <c r="R122" s="16" t="s">
        <v>56</v>
      </c>
      <c r="S122" s="16">
        <v>30800</v>
      </c>
      <c r="T122" s="16" t="s">
        <v>33</v>
      </c>
      <c r="U122" s="16" t="s">
        <v>33</v>
      </c>
      <c r="V122" s="16" t="s">
        <v>28</v>
      </c>
      <c r="W122" s="16">
        <v>2800</v>
      </c>
      <c r="X122" s="16" t="s">
        <v>36</v>
      </c>
      <c r="Y122" s="16" t="s">
        <v>29</v>
      </c>
      <c r="Z122" s="18">
        <v>10</v>
      </c>
      <c r="AA122" s="16"/>
      <c r="AB122" s="16"/>
    </row>
    <row r="123" spans="1:28">
      <c r="A123" s="16">
        <v>122</v>
      </c>
      <c r="B123" s="16" t="s">
        <v>30</v>
      </c>
      <c r="C123" s="16" t="s">
        <v>31</v>
      </c>
      <c r="D123" s="16" t="s">
        <v>32</v>
      </c>
      <c r="E123" s="16" t="s">
        <v>33</v>
      </c>
      <c r="F123" s="38" t="s">
        <v>182</v>
      </c>
      <c r="G123" s="19" t="s">
        <v>34</v>
      </c>
      <c r="H123" s="38" t="s">
        <v>583</v>
      </c>
      <c r="I123" s="17">
        <v>46131</v>
      </c>
      <c r="J123" s="16">
        <v>8</v>
      </c>
      <c r="K123" s="16" t="s">
        <v>33</v>
      </c>
      <c r="L123" s="38" t="s">
        <v>273</v>
      </c>
      <c r="M123" s="16">
        <v>18000</v>
      </c>
      <c r="N123" s="16">
        <v>16000</v>
      </c>
      <c r="O123" s="17">
        <v>46132</v>
      </c>
      <c r="P123" s="16">
        <v>2000</v>
      </c>
      <c r="Q123" s="16" t="s">
        <v>33</v>
      </c>
      <c r="R123" s="16" t="s">
        <v>56</v>
      </c>
      <c r="S123" s="16">
        <v>20500</v>
      </c>
      <c r="T123" s="16" t="s">
        <v>33</v>
      </c>
      <c r="U123" s="16" t="s">
        <v>33</v>
      </c>
      <c r="V123" s="16" t="s">
        <v>28</v>
      </c>
      <c r="W123" s="16">
        <v>2500</v>
      </c>
      <c r="X123" s="16" t="s">
        <v>36</v>
      </c>
      <c r="Y123" s="16" t="s">
        <v>29</v>
      </c>
      <c r="Z123" s="18">
        <v>13.888888888888889</v>
      </c>
      <c r="AA123" s="16"/>
      <c r="AB123" s="16"/>
    </row>
    <row r="124" spans="1:28">
      <c r="A124" s="16">
        <v>123</v>
      </c>
      <c r="B124" s="16" t="s">
        <v>30</v>
      </c>
      <c r="C124" s="16" t="s">
        <v>44</v>
      </c>
      <c r="D124" s="16" t="s">
        <v>32</v>
      </c>
      <c r="E124" s="16" t="s">
        <v>33</v>
      </c>
      <c r="F124" s="38" t="s">
        <v>189</v>
      </c>
      <c r="G124" s="19" t="s">
        <v>59</v>
      </c>
      <c r="H124" s="38" t="s">
        <v>584</v>
      </c>
      <c r="I124" s="17">
        <v>46130</v>
      </c>
      <c r="J124" s="16">
        <v>9</v>
      </c>
      <c r="K124" s="16" t="s">
        <v>33</v>
      </c>
      <c r="L124" s="38" t="s">
        <v>127</v>
      </c>
      <c r="M124" s="16">
        <v>35000</v>
      </c>
      <c r="N124" s="16">
        <v>32000</v>
      </c>
      <c r="O124" s="17">
        <v>46132</v>
      </c>
      <c r="P124" s="16">
        <v>3000</v>
      </c>
      <c r="Q124" s="16" t="s">
        <v>33</v>
      </c>
      <c r="R124" s="16" t="s">
        <v>37</v>
      </c>
      <c r="S124" s="16">
        <v>38000</v>
      </c>
      <c r="T124" s="16" t="s">
        <v>33</v>
      </c>
      <c r="U124" s="16" t="s">
        <v>33</v>
      </c>
      <c r="V124" s="16" t="s">
        <v>28</v>
      </c>
      <c r="W124" s="16">
        <v>3000</v>
      </c>
      <c r="X124" s="16" t="s">
        <v>36</v>
      </c>
      <c r="Y124" s="16" t="s">
        <v>29</v>
      </c>
      <c r="Z124" s="18">
        <v>8.5714285714285712</v>
      </c>
      <c r="AA124" s="16"/>
      <c r="AB124" s="16"/>
    </row>
    <row r="125" spans="1:28">
      <c r="A125" s="16">
        <v>124</v>
      </c>
      <c r="B125" s="16" t="s">
        <v>30</v>
      </c>
      <c r="C125" s="16" t="s">
        <v>216</v>
      </c>
      <c r="D125" s="16" t="s">
        <v>32</v>
      </c>
      <c r="E125" s="16" t="s">
        <v>33</v>
      </c>
      <c r="F125" s="38" t="s">
        <v>330</v>
      </c>
      <c r="G125" s="19" t="s">
        <v>50</v>
      </c>
      <c r="H125" s="38" t="s">
        <v>585</v>
      </c>
      <c r="I125" s="17">
        <v>46131</v>
      </c>
      <c r="J125" s="16">
        <v>8</v>
      </c>
      <c r="K125" s="16" t="s">
        <v>33</v>
      </c>
      <c r="L125" s="38" t="s">
        <v>586</v>
      </c>
      <c r="M125" s="16">
        <v>47000</v>
      </c>
      <c r="N125" s="16">
        <v>40000</v>
      </c>
      <c r="O125" s="17">
        <v>46132</v>
      </c>
      <c r="P125" s="16">
        <v>7000</v>
      </c>
      <c r="Q125" s="16" t="s">
        <v>33</v>
      </c>
      <c r="R125" s="16" t="s">
        <v>52</v>
      </c>
      <c r="S125" s="16">
        <v>53000</v>
      </c>
      <c r="T125" s="16" t="s">
        <v>33</v>
      </c>
      <c r="U125" s="16" t="s">
        <v>33</v>
      </c>
      <c r="V125" s="16" t="s">
        <v>28</v>
      </c>
      <c r="W125" s="16">
        <v>6000</v>
      </c>
      <c r="X125" s="16" t="s">
        <v>36</v>
      </c>
      <c r="Y125" s="16" t="s">
        <v>29</v>
      </c>
      <c r="Z125" s="18">
        <v>12.76595744680851</v>
      </c>
      <c r="AA125" s="16"/>
      <c r="AB125" s="16" t="s">
        <v>320</v>
      </c>
    </row>
    <row r="126" spans="1:28">
      <c r="A126" s="16">
        <v>125</v>
      </c>
      <c r="B126" s="16" t="s">
        <v>30</v>
      </c>
      <c r="C126" s="16" t="s">
        <v>44</v>
      </c>
      <c r="D126" s="16" t="s">
        <v>32</v>
      </c>
      <c r="E126" s="16" t="s">
        <v>33</v>
      </c>
      <c r="F126" s="38" t="s">
        <v>587</v>
      </c>
      <c r="G126" s="19" t="s">
        <v>46</v>
      </c>
      <c r="H126" s="38" t="s">
        <v>588</v>
      </c>
      <c r="I126" s="17">
        <v>46131</v>
      </c>
      <c r="J126" s="16">
        <v>8</v>
      </c>
      <c r="K126" s="16" t="s">
        <v>33</v>
      </c>
      <c r="L126" s="38" t="s">
        <v>355</v>
      </c>
      <c r="M126" s="16">
        <v>19000</v>
      </c>
      <c r="N126" s="16">
        <v>17000</v>
      </c>
      <c r="O126" s="17">
        <v>46132</v>
      </c>
      <c r="P126" s="16">
        <v>2000</v>
      </c>
      <c r="Q126" s="16" t="s">
        <v>33</v>
      </c>
      <c r="R126" s="16" t="s">
        <v>39</v>
      </c>
      <c r="S126" s="16">
        <v>21800</v>
      </c>
      <c r="T126" s="16" t="s">
        <v>33</v>
      </c>
      <c r="U126" s="16" t="s">
        <v>33</v>
      </c>
      <c r="V126" s="16" t="s">
        <v>28</v>
      </c>
      <c r="W126" s="16">
        <v>2800</v>
      </c>
      <c r="X126" s="16" t="s">
        <v>36</v>
      </c>
      <c r="Y126" s="16" t="s">
        <v>29</v>
      </c>
      <c r="Z126" s="18">
        <v>14.736842105263158</v>
      </c>
      <c r="AA126" s="16"/>
      <c r="AB126" s="16"/>
    </row>
    <row r="127" spans="1:28">
      <c r="A127" s="16">
        <v>126</v>
      </c>
      <c r="B127" s="16" t="s">
        <v>30</v>
      </c>
      <c r="C127" s="16" t="s">
        <v>31</v>
      </c>
      <c r="D127" s="16" t="s">
        <v>32</v>
      </c>
      <c r="E127" s="16" t="s">
        <v>33</v>
      </c>
      <c r="F127" s="38" t="s">
        <v>221</v>
      </c>
      <c r="G127" s="19" t="s">
        <v>34</v>
      </c>
      <c r="H127" s="38" t="s">
        <v>589</v>
      </c>
      <c r="I127" s="17">
        <v>46131</v>
      </c>
      <c r="J127" s="16">
        <v>8</v>
      </c>
      <c r="K127" s="16" t="s">
        <v>33</v>
      </c>
      <c r="L127" s="38" t="s">
        <v>590</v>
      </c>
      <c r="M127" s="16">
        <v>18000</v>
      </c>
      <c r="N127" s="16">
        <v>16000</v>
      </c>
      <c r="O127" s="17">
        <v>46132</v>
      </c>
      <c r="P127" s="16">
        <v>2000</v>
      </c>
      <c r="Q127" s="16" t="s">
        <v>33</v>
      </c>
      <c r="R127" s="16" t="s">
        <v>56</v>
      </c>
      <c r="S127" s="16">
        <v>20500</v>
      </c>
      <c r="T127" s="16" t="s">
        <v>33</v>
      </c>
      <c r="U127" s="16" t="s">
        <v>33</v>
      </c>
      <c r="V127" s="16" t="s">
        <v>28</v>
      </c>
      <c r="W127" s="16">
        <v>2500</v>
      </c>
      <c r="X127" s="16" t="s">
        <v>36</v>
      </c>
      <c r="Y127" s="16" t="s">
        <v>29</v>
      </c>
      <c r="Z127" s="18">
        <v>13.888888888888889</v>
      </c>
      <c r="AA127" s="16"/>
      <c r="AB127" s="16"/>
    </row>
    <row r="128" spans="1:28">
      <c r="A128" s="16">
        <v>127</v>
      </c>
      <c r="B128" s="16" t="s">
        <v>30</v>
      </c>
      <c r="C128" s="16" t="s">
        <v>44</v>
      </c>
      <c r="D128" s="16" t="s">
        <v>32</v>
      </c>
      <c r="E128" s="16" t="s">
        <v>33</v>
      </c>
      <c r="F128" s="38" t="s">
        <v>378</v>
      </c>
      <c r="G128" s="19" t="s">
        <v>46</v>
      </c>
      <c r="H128" s="38" t="s">
        <v>591</v>
      </c>
      <c r="I128" s="17">
        <v>46131</v>
      </c>
      <c r="J128" s="16">
        <v>8</v>
      </c>
      <c r="K128" s="16" t="s">
        <v>33</v>
      </c>
      <c r="L128" s="38" t="s">
        <v>355</v>
      </c>
      <c r="M128" s="16">
        <v>19000</v>
      </c>
      <c r="N128" s="16">
        <v>17000</v>
      </c>
      <c r="O128" s="17">
        <v>46132</v>
      </c>
      <c r="P128" s="16">
        <v>2000</v>
      </c>
      <c r="Q128" s="16" t="s">
        <v>33</v>
      </c>
      <c r="R128" s="16" t="s">
        <v>39</v>
      </c>
      <c r="S128" s="16">
        <v>21800</v>
      </c>
      <c r="T128" s="16" t="s">
        <v>33</v>
      </c>
      <c r="U128" s="16" t="s">
        <v>33</v>
      </c>
      <c r="V128" s="16" t="s">
        <v>28</v>
      </c>
      <c r="W128" s="16">
        <v>2800</v>
      </c>
      <c r="X128" s="16" t="s">
        <v>36</v>
      </c>
      <c r="Y128" s="16" t="s">
        <v>29</v>
      </c>
      <c r="Z128" s="18">
        <v>14.736842105263158</v>
      </c>
      <c r="AA128" s="16"/>
      <c r="AB128" s="16"/>
    </row>
    <row r="129" spans="1:28">
      <c r="A129" s="16">
        <v>128</v>
      </c>
      <c r="B129" s="16" t="s">
        <v>30</v>
      </c>
      <c r="C129" s="16" t="s">
        <v>31</v>
      </c>
      <c r="D129" s="16" t="s">
        <v>32</v>
      </c>
      <c r="E129" s="16" t="s">
        <v>33</v>
      </c>
      <c r="F129" s="38" t="s">
        <v>592</v>
      </c>
      <c r="G129" s="19" t="s">
        <v>34</v>
      </c>
      <c r="H129" s="38" t="s">
        <v>593</v>
      </c>
      <c r="I129" s="17">
        <v>46131</v>
      </c>
      <c r="J129" s="16">
        <v>8</v>
      </c>
      <c r="K129" s="16" t="s">
        <v>33</v>
      </c>
      <c r="L129" s="38" t="s">
        <v>590</v>
      </c>
      <c r="M129" s="16">
        <v>18000</v>
      </c>
      <c r="N129" s="16">
        <v>16000</v>
      </c>
      <c r="O129" s="17">
        <v>46132</v>
      </c>
      <c r="P129" s="16">
        <v>2000</v>
      </c>
      <c r="Q129" s="16" t="s">
        <v>33</v>
      </c>
      <c r="R129" s="16" t="s">
        <v>56</v>
      </c>
      <c r="S129" s="16">
        <v>20500</v>
      </c>
      <c r="T129" s="16" t="s">
        <v>33</v>
      </c>
      <c r="U129" s="16" t="s">
        <v>33</v>
      </c>
      <c r="V129" s="16" t="s">
        <v>28</v>
      </c>
      <c r="W129" s="16">
        <v>2500</v>
      </c>
      <c r="X129" s="16" t="s">
        <v>36</v>
      </c>
      <c r="Y129" s="16" t="s">
        <v>29</v>
      </c>
      <c r="Z129" s="18">
        <v>13.888888888888889</v>
      </c>
      <c r="AA129" s="16"/>
      <c r="AB129" s="16"/>
    </row>
    <row r="130" spans="1:28">
      <c r="A130" s="16">
        <v>129</v>
      </c>
      <c r="B130" s="16" t="s">
        <v>30</v>
      </c>
      <c r="C130" s="16" t="s">
        <v>44</v>
      </c>
      <c r="D130" s="16" t="s">
        <v>32</v>
      </c>
      <c r="E130" s="16" t="s">
        <v>33</v>
      </c>
      <c r="F130" s="38" t="s">
        <v>471</v>
      </c>
      <c r="G130" s="19">
        <v>407</v>
      </c>
      <c r="H130" s="38" t="s">
        <v>594</v>
      </c>
      <c r="I130" s="17">
        <v>46131</v>
      </c>
      <c r="J130" s="16">
        <v>8</v>
      </c>
      <c r="K130" s="16" t="s">
        <v>33</v>
      </c>
      <c r="L130" s="38" t="s">
        <v>84</v>
      </c>
      <c r="M130" s="16">
        <v>27000</v>
      </c>
      <c r="N130" s="16">
        <v>25000</v>
      </c>
      <c r="O130" s="17">
        <v>46132</v>
      </c>
      <c r="P130" s="16">
        <v>2000</v>
      </c>
      <c r="Q130" s="16" t="s">
        <v>33</v>
      </c>
      <c r="R130" s="16" t="s">
        <v>56</v>
      </c>
      <c r="S130" s="16">
        <v>29800</v>
      </c>
      <c r="T130" s="16" t="s">
        <v>33</v>
      </c>
      <c r="U130" s="16" t="s">
        <v>33</v>
      </c>
      <c r="V130" s="16" t="s">
        <v>28</v>
      </c>
      <c r="W130" s="16">
        <v>2800</v>
      </c>
      <c r="X130" s="16" t="s">
        <v>36</v>
      </c>
      <c r="Y130" s="16" t="s">
        <v>29</v>
      </c>
      <c r="Z130" s="18">
        <v>10.37037037037037</v>
      </c>
      <c r="AA130" s="16"/>
      <c r="AB130" s="16"/>
    </row>
    <row r="131" spans="1:28">
      <c r="A131" s="16">
        <v>130</v>
      </c>
      <c r="B131" s="16" t="s">
        <v>30</v>
      </c>
      <c r="C131" s="16" t="s">
        <v>31</v>
      </c>
      <c r="D131" s="16" t="s">
        <v>32</v>
      </c>
      <c r="E131" s="16" t="s">
        <v>33</v>
      </c>
      <c r="F131" s="38" t="s">
        <v>85</v>
      </c>
      <c r="G131" s="19" t="s">
        <v>34</v>
      </c>
      <c r="H131" s="38" t="s">
        <v>595</v>
      </c>
      <c r="I131" s="17">
        <v>46132</v>
      </c>
      <c r="J131" s="16">
        <v>7</v>
      </c>
      <c r="K131" s="16" t="s">
        <v>33</v>
      </c>
      <c r="L131" s="38" t="s">
        <v>590</v>
      </c>
      <c r="M131" s="16">
        <v>18000</v>
      </c>
      <c r="N131" s="16">
        <v>16000</v>
      </c>
      <c r="O131" s="17">
        <v>46132</v>
      </c>
      <c r="P131" s="16">
        <v>2000</v>
      </c>
      <c r="Q131" s="16" t="s">
        <v>33</v>
      </c>
      <c r="R131" s="16" t="s">
        <v>56</v>
      </c>
      <c r="S131" s="16">
        <v>20500</v>
      </c>
      <c r="T131" s="16" t="s">
        <v>33</v>
      </c>
      <c r="U131" s="16" t="s">
        <v>33</v>
      </c>
      <c r="V131" s="16" t="s">
        <v>28</v>
      </c>
      <c r="W131" s="16">
        <v>2500</v>
      </c>
      <c r="X131" s="16" t="s">
        <v>36</v>
      </c>
      <c r="Y131" s="16" t="s">
        <v>29</v>
      </c>
      <c r="Z131" s="18">
        <v>13.888888888888889</v>
      </c>
      <c r="AA131" s="16"/>
      <c r="AB131" s="16"/>
    </row>
    <row r="132" spans="1:28">
      <c r="A132" s="16">
        <v>131</v>
      </c>
      <c r="B132" s="16" t="s">
        <v>30</v>
      </c>
      <c r="C132" s="16" t="s">
        <v>31</v>
      </c>
      <c r="D132" s="16" t="s">
        <v>32</v>
      </c>
      <c r="E132" s="16" t="s">
        <v>33</v>
      </c>
      <c r="F132" s="38" t="s">
        <v>115</v>
      </c>
      <c r="G132" s="19" t="s">
        <v>34</v>
      </c>
      <c r="H132" s="38" t="s">
        <v>596</v>
      </c>
      <c r="I132" s="17">
        <v>46132</v>
      </c>
      <c r="J132" s="16">
        <v>7</v>
      </c>
      <c r="K132" s="16" t="s">
        <v>33</v>
      </c>
      <c r="L132" s="38" t="s">
        <v>376</v>
      </c>
      <c r="M132" s="16">
        <v>19000</v>
      </c>
      <c r="N132" s="16">
        <v>17000</v>
      </c>
      <c r="O132" s="17">
        <v>46132</v>
      </c>
      <c r="P132" s="16">
        <v>2000</v>
      </c>
      <c r="Q132" s="16" t="s">
        <v>33</v>
      </c>
      <c r="R132" s="16" t="s">
        <v>39</v>
      </c>
      <c r="S132" s="16">
        <v>21800</v>
      </c>
      <c r="T132" s="16" t="s">
        <v>33</v>
      </c>
      <c r="U132" s="16" t="s">
        <v>33</v>
      </c>
      <c r="V132" s="16" t="s">
        <v>28</v>
      </c>
      <c r="W132" s="16">
        <v>2800</v>
      </c>
      <c r="X132" s="16" t="s">
        <v>36</v>
      </c>
      <c r="Y132" s="16" t="s">
        <v>29</v>
      </c>
      <c r="Z132" s="18">
        <v>14.736842105263158</v>
      </c>
      <c r="AA132" s="16"/>
      <c r="AB132" s="16"/>
    </row>
    <row r="133" spans="1:28">
      <c r="A133" s="16">
        <v>132</v>
      </c>
      <c r="B133" s="16" t="s">
        <v>30</v>
      </c>
      <c r="C133" s="16" t="s">
        <v>31</v>
      </c>
      <c r="D133" s="16" t="s">
        <v>32</v>
      </c>
      <c r="E133" s="16" t="s">
        <v>33</v>
      </c>
      <c r="F133" s="38" t="s">
        <v>133</v>
      </c>
      <c r="G133" s="19" t="s">
        <v>34</v>
      </c>
      <c r="H133" s="38" t="s">
        <v>597</v>
      </c>
      <c r="I133" s="17">
        <v>46132</v>
      </c>
      <c r="J133" s="16">
        <v>7</v>
      </c>
      <c r="K133" s="16" t="s">
        <v>33</v>
      </c>
      <c r="L133" s="38" t="s">
        <v>598</v>
      </c>
      <c r="M133" s="16">
        <v>18300</v>
      </c>
      <c r="N133" s="16">
        <v>16500</v>
      </c>
      <c r="O133" s="17">
        <v>46132</v>
      </c>
      <c r="P133" s="16">
        <v>1800</v>
      </c>
      <c r="Q133" s="16" t="s">
        <v>33</v>
      </c>
      <c r="R133" s="16" t="s">
        <v>37</v>
      </c>
      <c r="S133" s="16">
        <v>21500</v>
      </c>
      <c r="T133" s="16" t="s">
        <v>33</v>
      </c>
      <c r="U133" s="16" t="s">
        <v>33</v>
      </c>
      <c r="V133" s="16" t="s">
        <v>28</v>
      </c>
      <c r="W133" s="16">
        <v>3200</v>
      </c>
      <c r="X133" s="16" t="s">
        <v>36</v>
      </c>
      <c r="Y133" s="16" t="s">
        <v>29</v>
      </c>
      <c r="Z133" s="18">
        <v>17.486338797814209</v>
      </c>
      <c r="AA133" s="16"/>
      <c r="AB133" s="16"/>
    </row>
    <row r="134" spans="1:28">
      <c r="A134" s="16">
        <v>133</v>
      </c>
      <c r="B134" s="16" t="s">
        <v>30</v>
      </c>
      <c r="C134" s="16" t="s">
        <v>31</v>
      </c>
      <c r="D134" s="16" t="s">
        <v>32</v>
      </c>
      <c r="E134" s="16" t="s">
        <v>33</v>
      </c>
      <c r="F134" s="38" t="s">
        <v>149</v>
      </c>
      <c r="G134" s="19" t="s">
        <v>34</v>
      </c>
      <c r="H134" s="38" t="s">
        <v>599</v>
      </c>
      <c r="I134" s="17">
        <v>46132</v>
      </c>
      <c r="J134" s="16">
        <v>7</v>
      </c>
      <c r="K134" s="16" t="s">
        <v>33</v>
      </c>
      <c r="L134" s="38" t="s">
        <v>376</v>
      </c>
      <c r="M134" s="16">
        <v>19000</v>
      </c>
      <c r="N134" s="16">
        <v>17000</v>
      </c>
      <c r="O134" s="17">
        <v>46132</v>
      </c>
      <c r="P134" s="16">
        <v>2000</v>
      </c>
      <c r="Q134" s="16" t="s">
        <v>33</v>
      </c>
      <c r="R134" s="16" t="s">
        <v>39</v>
      </c>
      <c r="S134" s="16">
        <v>21800</v>
      </c>
      <c r="T134" s="16" t="s">
        <v>33</v>
      </c>
      <c r="U134" s="16" t="s">
        <v>33</v>
      </c>
      <c r="V134" s="16" t="s">
        <v>28</v>
      </c>
      <c r="W134" s="16">
        <v>2800</v>
      </c>
      <c r="X134" s="16" t="s">
        <v>36</v>
      </c>
      <c r="Y134" s="16" t="s">
        <v>29</v>
      </c>
      <c r="Z134" s="18">
        <v>14.736842105263158</v>
      </c>
      <c r="AA134" s="16"/>
      <c r="AB134" s="16"/>
    </row>
    <row r="135" spans="1:28">
      <c r="A135" s="16">
        <v>134</v>
      </c>
      <c r="B135" s="16" t="s">
        <v>30</v>
      </c>
      <c r="C135" s="16" t="s">
        <v>48</v>
      </c>
      <c r="D135" s="16" t="s">
        <v>32</v>
      </c>
      <c r="E135" s="16" t="s">
        <v>33</v>
      </c>
      <c r="F135" s="38" t="s">
        <v>49</v>
      </c>
      <c r="G135" s="19" t="s">
        <v>50</v>
      </c>
      <c r="H135" s="38" t="s">
        <v>600</v>
      </c>
      <c r="I135" s="17">
        <v>46132</v>
      </c>
      <c r="J135" s="16">
        <v>7</v>
      </c>
      <c r="K135" s="16" t="s">
        <v>33</v>
      </c>
      <c r="L135" s="38" t="s">
        <v>51</v>
      </c>
      <c r="M135" s="16">
        <v>44000</v>
      </c>
      <c r="N135" s="16">
        <v>40000</v>
      </c>
      <c r="O135" s="17">
        <v>46132</v>
      </c>
      <c r="P135" s="16">
        <v>4000</v>
      </c>
      <c r="Q135" s="16" t="s">
        <v>33</v>
      </c>
      <c r="R135" s="16" t="s">
        <v>52</v>
      </c>
      <c r="S135" s="16">
        <v>48000</v>
      </c>
      <c r="T135" s="16" t="s">
        <v>33</v>
      </c>
      <c r="U135" s="16" t="s">
        <v>33</v>
      </c>
      <c r="V135" s="16" t="s">
        <v>28</v>
      </c>
      <c r="W135" s="16">
        <v>4000</v>
      </c>
      <c r="X135" s="16" t="s">
        <v>36</v>
      </c>
      <c r="Y135" s="16" t="s">
        <v>29</v>
      </c>
      <c r="Z135" s="18">
        <v>9.0909090909090917</v>
      </c>
      <c r="AA135" s="16"/>
      <c r="AB135" s="16" t="s">
        <v>320</v>
      </c>
    </row>
    <row r="136" spans="1:28">
      <c r="A136" s="16">
        <v>135</v>
      </c>
      <c r="B136" s="16" t="s">
        <v>30</v>
      </c>
      <c r="C136" s="16" t="s">
        <v>31</v>
      </c>
      <c r="D136" s="16" t="s">
        <v>32</v>
      </c>
      <c r="E136" s="16" t="s">
        <v>33</v>
      </c>
      <c r="F136" s="38" t="s">
        <v>601</v>
      </c>
      <c r="G136" s="19" t="s">
        <v>34</v>
      </c>
      <c r="H136" s="38" t="s">
        <v>602</v>
      </c>
      <c r="I136" s="17">
        <v>46131</v>
      </c>
      <c r="J136" s="16">
        <v>8</v>
      </c>
      <c r="K136" s="16" t="s">
        <v>33</v>
      </c>
      <c r="L136" s="38" t="s">
        <v>376</v>
      </c>
      <c r="M136" s="16">
        <v>19000</v>
      </c>
      <c r="N136" s="16">
        <v>17000</v>
      </c>
      <c r="O136" s="17">
        <v>46132</v>
      </c>
      <c r="P136" s="16">
        <v>2000</v>
      </c>
      <c r="Q136" s="16" t="s">
        <v>33</v>
      </c>
      <c r="R136" s="16" t="s">
        <v>39</v>
      </c>
      <c r="S136" s="16">
        <v>21800</v>
      </c>
      <c r="T136" s="16" t="s">
        <v>33</v>
      </c>
      <c r="U136" s="16" t="s">
        <v>33</v>
      </c>
      <c r="V136" s="16" t="s">
        <v>28</v>
      </c>
      <c r="W136" s="16">
        <v>2800</v>
      </c>
      <c r="X136" s="16" t="s">
        <v>36</v>
      </c>
      <c r="Y136" s="16" t="s">
        <v>29</v>
      </c>
      <c r="Z136" s="18">
        <v>14.736842105263158</v>
      </c>
      <c r="AA136" s="16"/>
      <c r="AB136" s="16"/>
    </row>
    <row r="137" spans="1:28">
      <c r="A137" s="16">
        <v>136</v>
      </c>
      <c r="B137" s="16" t="s">
        <v>30</v>
      </c>
      <c r="C137" s="16" t="s">
        <v>44</v>
      </c>
      <c r="D137" s="16" t="s">
        <v>32</v>
      </c>
      <c r="E137" s="16" t="s">
        <v>33</v>
      </c>
      <c r="F137" s="38" t="s">
        <v>414</v>
      </c>
      <c r="G137" s="19">
        <v>407</v>
      </c>
      <c r="H137" s="38" t="s">
        <v>603</v>
      </c>
      <c r="I137" s="17">
        <v>46130</v>
      </c>
      <c r="J137" s="16">
        <v>9</v>
      </c>
      <c r="K137" s="16" t="s">
        <v>33</v>
      </c>
      <c r="L137" s="38" t="s">
        <v>381</v>
      </c>
      <c r="M137" s="16">
        <v>27000</v>
      </c>
      <c r="N137" s="16">
        <v>25000</v>
      </c>
      <c r="O137" s="17">
        <v>46132</v>
      </c>
      <c r="P137" s="16">
        <v>2000</v>
      </c>
      <c r="Q137" s="16" t="s">
        <v>33</v>
      </c>
      <c r="R137" s="16" t="s">
        <v>78</v>
      </c>
      <c r="S137" s="16">
        <v>29800</v>
      </c>
      <c r="T137" s="16" t="s">
        <v>33</v>
      </c>
      <c r="U137" s="16" t="s">
        <v>33</v>
      </c>
      <c r="V137" s="16" t="s">
        <v>28</v>
      </c>
      <c r="W137" s="16">
        <v>2800</v>
      </c>
      <c r="X137" s="16" t="s">
        <v>36</v>
      </c>
      <c r="Y137" s="16" t="s">
        <v>29</v>
      </c>
      <c r="Z137" s="18">
        <v>10.37037037037037</v>
      </c>
      <c r="AA137" s="16"/>
      <c r="AB137" s="16"/>
    </row>
    <row r="138" spans="1:28">
      <c r="A138" s="16">
        <v>137</v>
      </c>
      <c r="B138" s="16" t="s">
        <v>30</v>
      </c>
      <c r="C138" s="16" t="s">
        <v>31</v>
      </c>
      <c r="D138" s="16" t="s">
        <v>32</v>
      </c>
      <c r="E138" s="16" t="s">
        <v>33</v>
      </c>
      <c r="F138" s="38" t="s">
        <v>230</v>
      </c>
      <c r="G138" s="19" t="s">
        <v>34</v>
      </c>
      <c r="H138" s="38" t="s">
        <v>604</v>
      </c>
      <c r="I138" s="17">
        <v>46132</v>
      </c>
      <c r="J138" s="16">
        <v>7</v>
      </c>
      <c r="K138" s="16" t="s">
        <v>33</v>
      </c>
      <c r="L138" s="38" t="s">
        <v>605</v>
      </c>
      <c r="M138" s="16">
        <v>19000</v>
      </c>
      <c r="N138" s="16">
        <v>17000</v>
      </c>
      <c r="O138" s="17">
        <v>46132</v>
      </c>
      <c r="P138" s="16">
        <v>2000</v>
      </c>
      <c r="Q138" s="16" t="s">
        <v>33</v>
      </c>
      <c r="R138" s="16" t="s">
        <v>112</v>
      </c>
      <c r="S138" s="16">
        <v>24000</v>
      </c>
      <c r="T138" s="16" t="s">
        <v>33</v>
      </c>
      <c r="U138" s="16" t="s">
        <v>33</v>
      </c>
      <c r="V138" s="16" t="s">
        <v>28</v>
      </c>
      <c r="W138" s="16">
        <v>5000</v>
      </c>
      <c r="X138" s="16" t="s">
        <v>36</v>
      </c>
      <c r="Y138" s="16" t="s">
        <v>29</v>
      </c>
      <c r="Z138" s="18">
        <v>26.315789473684209</v>
      </c>
      <c r="AA138" s="16"/>
      <c r="AB138" s="16"/>
    </row>
    <row r="139" spans="1:28">
      <c r="A139" s="16">
        <v>138</v>
      </c>
      <c r="B139" s="16" t="s">
        <v>30</v>
      </c>
      <c r="C139" s="16" t="s">
        <v>44</v>
      </c>
      <c r="D139" s="16" t="s">
        <v>32</v>
      </c>
      <c r="E139" s="16" t="s">
        <v>33</v>
      </c>
      <c r="F139" s="38" t="s">
        <v>606</v>
      </c>
      <c r="G139" s="19" t="s">
        <v>607</v>
      </c>
      <c r="H139" s="38" t="s">
        <v>608</v>
      </c>
      <c r="I139" s="17">
        <v>46131</v>
      </c>
      <c r="J139" s="16">
        <v>8</v>
      </c>
      <c r="K139" s="16" t="s">
        <v>33</v>
      </c>
      <c r="L139" s="38" t="s">
        <v>609</v>
      </c>
      <c r="M139" s="16">
        <v>38500</v>
      </c>
      <c r="N139" s="16">
        <v>35500</v>
      </c>
      <c r="O139" s="17">
        <v>46132</v>
      </c>
      <c r="P139" s="16">
        <v>3000</v>
      </c>
      <c r="Q139" s="16" t="s">
        <v>33</v>
      </c>
      <c r="R139" s="16" t="s">
        <v>52</v>
      </c>
      <c r="S139" s="16">
        <v>41500</v>
      </c>
      <c r="T139" s="16" t="s">
        <v>33</v>
      </c>
      <c r="U139" s="16" t="s">
        <v>33</v>
      </c>
      <c r="V139" s="16" t="s">
        <v>28</v>
      </c>
      <c r="W139" s="16">
        <v>3000</v>
      </c>
      <c r="X139" s="16" t="s">
        <v>36</v>
      </c>
      <c r="Y139" s="16" t="s">
        <v>29</v>
      </c>
      <c r="Z139" s="18">
        <v>7.7922077922077921</v>
      </c>
      <c r="AA139" s="16"/>
      <c r="AB139" s="16"/>
    </row>
    <row r="140" spans="1:28">
      <c r="A140" s="16">
        <v>139</v>
      </c>
      <c r="B140" s="16" t="s">
        <v>30</v>
      </c>
      <c r="C140" s="16" t="s">
        <v>31</v>
      </c>
      <c r="D140" s="16" t="s">
        <v>32</v>
      </c>
      <c r="E140" s="16" t="s">
        <v>33</v>
      </c>
      <c r="F140" s="38" t="s">
        <v>405</v>
      </c>
      <c r="G140" s="19" t="s">
        <v>34</v>
      </c>
      <c r="H140" s="38" t="s">
        <v>610</v>
      </c>
      <c r="I140" s="17">
        <v>46132</v>
      </c>
      <c r="J140" s="16">
        <v>7</v>
      </c>
      <c r="K140" s="16" t="s">
        <v>33</v>
      </c>
      <c r="L140" s="38" t="s">
        <v>611</v>
      </c>
      <c r="M140" s="16">
        <v>18000</v>
      </c>
      <c r="N140" s="16">
        <v>16000</v>
      </c>
      <c r="O140" s="17">
        <v>46132</v>
      </c>
      <c r="P140" s="16">
        <v>2000</v>
      </c>
      <c r="Q140" s="16" t="s">
        <v>33</v>
      </c>
      <c r="R140" s="16" t="s">
        <v>56</v>
      </c>
      <c r="S140" s="16">
        <v>20500</v>
      </c>
      <c r="T140" s="16" t="s">
        <v>33</v>
      </c>
      <c r="U140" s="16" t="s">
        <v>33</v>
      </c>
      <c r="V140" s="16" t="s">
        <v>28</v>
      </c>
      <c r="W140" s="16">
        <v>2500</v>
      </c>
      <c r="X140" s="16" t="s">
        <v>36</v>
      </c>
      <c r="Y140" s="16" t="s">
        <v>29</v>
      </c>
      <c r="Z140" s="18">
        <v>13.888888888888889</v>
      </c>
      <c r="AA140" s="16"/>
      <c r="AB140" s="16"/>
    </row>
    <row r="141" spans="1:28">
      <c r="A141" s="16">
        <v>140</v>
      </c>
      <c r="B141" s="16" t="s">
        <v>30</v>
      </c>
      <c r="C141" s="16" t="s">
        <v>31</v>
      </c>
      <c r="D141" s="16" t="s">
        <v>32</v>
      </c>
      <c r="E141" s="16" t="s">
        <v>33</v>
      </c>
      <c r="F141" s="38" t="s">
        <v>401</v>
      </c>
      <c r="G141" s="19" t="s">
        <v>34</v>
      </c>
      <c r="H141" s="38" t="s">
        <v>612</v>
      </c>
      <c r="I141" s="17">
        <v>46132</v>
      </c>
      <c r="J141" s="16">
        <v>7</v>
      </c>
      <c r="K141" s="16" t="s">
        <v>33</v>
      </c>
      <c r="L141" s="38" t="s">
        <v>400</v>
      </c>
      <c r="M141" s="16">
        <v>23300</v>
      </c>
      <c r="N141" s="16">
        <v>21500</v>
      </c>
      <c r="O141" s="17">
        <v>46132</v>
      </c>
      <c r="P141" s="16">
        <v>1800</v>
      </c>
      <c r="Q141" s="16" t="s">
        <v>33</v>
      </c>
      <c r="R141" s="16" t="s">
        <v>37</v>
      </c>
      <c r="S141" s="16">
        <v>26000</v>
      </c>
      <c r="T141" s="16" t="s">
        <v>33</v>
      </c>
      <c r="U141" s="16" t="s">
        <v>33</v>
      </c>
      <c r="V141" s="16" t="s">
        <v>28</v>
      </c>
      <c r="W141" s="16">
        <v>2700</v>
      </c>
      <c r="X141" s="16" t="s">
        <v>36</v>
      </c>
      <c r="Y141" s="16" t="s">
        <v>29</v>
      </c>
      <c r="Z141" s="18">
        <v>11.587982832618026</v>
      </c>
      <c r="AA141" s="16"/>
      <c r="AB141" s="16"/>
    </row>
    <row r="142" spans="1:28">
      <c r="A142" s="16">
        <v>141</v>
      </c>
      <c r="B142" s="16" t="s">
        <v>30</v>
      </c>
      <c r="C142" s="16" t="s">
        <v>31</v>
      </c>
      <c r="D142" s="16" t="s">
        <v>32</v>
      </c>
      <c r="E142" s="16" t="s">
        <v>33</v>
      </c>
      <c r="F142" s="38" t="s">
        <v>435</v>
      </c>
      <c r="G142" s="19" t="s">
        <v>34</v>
      </c>
      <c r="H142" s="38" t="s">
        <v>621</v>
      </c>
      <c r="I142" s="17">
        <v>46132</v>
      </c>
      <c r="J142" s="16">
        <v>7</v>
      </c>
      <c r="K142" s="16" t="s">
        <v>33</v>
      </c>
      <c r="L142" s="38" t="s">
        <v>376</v>
      </c>
      <c r="M142" s="16">
        <v>19000</v>
      </c>
      <c r="N142" s="16">
        <v>17000</v>
      </c>
      <c r="O142" s="17">
        <v>46132</v>
      </c>
      <c r="P142" s="16">
        <v>2000</v>
      </c>
      <c r="Q142" s="16" t="s">
        <v>33</v>
      </c>
      <c r="R142" s="16" t="s">
        <v>39</v>
      </c>
      <c r="S142" s="16">
        <v>21800</v>
      </c>
      <c r="T142" s="16" t="s">
        <v>33</v>
      </c>
      <c r="U142" s="16" t="s">
        <v>33</v>
      </c>
      <c r="V142" s="16" t="s">
        <v>28</v>
      </c>
      <c r="W142" s="16">
        <v>2800</v>
      </c>
      <c r="X142" s="16" t="s">
        <v>36</v>
      </c>
      <c r="Y142" s="16" t="s">
        <v>29</v>
      </c>
      <c r="Z142" s="18">
        <v>14.736842105263158</v>
      </c>
      <c r="AA142" s="16"/>
      <c r="AB142" s="16"/>
    </row>
    <row r="143" spans="1:28">
      <c r="A143" s="16">
        <v>142</v>
      </c>
      <c r="B143" s="16" t="s">
        <v>30</v>
      </c>
      <c r="C143" s="16" t="s">
        <v>31</v>
      </c>
      <c r="D143" s="16" t="s">
        <v>32</v>
      </c>
      <c r="E143" s="16" t="s">
        <v>33</v>
      </c>
      <c r="F143" s="38" t="s">
        <v>622</v>
      </c>
      <c r="G143" s="19" t="s">
        <v>34</v>
      </c>
      <c r="H143" s="38" t="s">
        <v>623</v>
      </c>
      <c r="I143" s="17">
        <v>46132</v>
      </c>
      <c r="J143" s="16">
        <v>7</v>
      </c>
      <c r="K143" s="16" t="s">
        <v>33</v>
      </c>
      <c r="L143" s="38" t="s">
        <v>611</v>
      </c>
      <c r="M143" s="16">
        <v>18000</v>
      </c>
      <c r="N143" s="16">
        <v>16000</v>
      </c>
      <c r="O143" s="17">
        <v>46132</v>
      </c>
      <c r="P143" s="16">
        <v>2000</v>
      </c>
      <c r="Q143" s="16" t="s">
        <v>33</v>
      </c>
      <c r="R143" s="16" t="s">
        <v>56</v>
      </c>
      <c r="S143" s="16">
        <v>20500</v>
      </c>
      <c r="T143" s="16" t="s">
        <v>33</v>
      </c>
      <c r="U143" s="16" t="s">
        <v>33</v>
      </c>
      <c r="V143" s="16" t="s">
        <v>28</v>
      </c>
      <c r="W143" s="16">
        <v>2500</v>
      </c>
      <c r="X143" s="16" t="s">
        <v>36</v>
      </c>
      <c r="Y143" s="16" t="s">
        <v>29</v>
      </c>
      <c r="Z143" s="18">
        <v>13.888888888888889</v>
      </c>
      <c r="AA143" s="16"/>
      <c r="AB143" s="16"/>
    </row>
    <row r="144" spans="1:28">
      <c r="A144" s="16">
        <v>143</v>
      </c>
      <c r="B144" s="16" t="s">
        <v>30</v>
      </c>
      <c r="C144" s="16" t="s">
        <v>31</v>
      </c>
      <c r="D144" s="16" t="s">
        <v>32</v>
      </c>
      <c r="E144" s="16" t="s">
        <v>33</v>
      </c>
      <c r="F144" s="38" t="s">
        <v>201</v>
      </c>
      <c r="G144" s="19" t="s">
        <v>34</v>
      </c>
      <c r="H144" s="38" t="s">
        <v>624</v>
      </c>
      <c r="I144" s="17">
        <v>46132</v>
      </c>
      <c r="J144" s="16">
        <v>7</v>
      </c>
      <c r="K144" s="16" t="s">
        <v>33</v>
      </c>
      <c r="L144" s="38" t="s">
        <v>270</v>
      </c>
      <c r="M144" s="16">
        <v>18300</v>
      </c>
      <c r="N144" s="16">
        <v>16500</v>
      </c>
      <c r="O144" s="17">
        <v>46132</v>
      </c>
      <c r="P144" s="16">
        <v>1800</v>
      </c>
      <c r="Q144" s="16" t="s">
        <v>33</v>
      </c>
      <c r="R144" s="16" t="s">
        <v>37</v>
      </c>
      <c r="S144" s="16">
        <v>21500</v>
      </c>
      <c r="T144" s="16" t="s">
        <v>33</v>
      </c>
      <c r="U144" s="16" t="s">
        <v>33</v>
      </c>
      <c r="V144" s="16" t="s">
        <v>28</v>
      </c>
      <c r="W144" s="16">
        <v>3200</v>
      </c>
      <c r="X144" s="16" t="s">
        <v>36</v>
      </c>
      <c r="Y144" s="16" t="s">
        <v>29</v>
      </c>
      <c r="Z144" s="18">
        <v>17.486338797814209</v>
      </c>
      <c r="AA144" s="16"/>
      <c r="AB144" s="16"/>
    </row>
    <row r="145" spans="1:28">
      <c r="A145" s="16">
        <v>144</v>
      </c>
      <c r="B145" s="16" t="s">
        <v>30</v>
      </c>
      <c r="C145" s="16" t="s">
        <v>31</v>
      </c>
      <c r="D145" s="16" t="s">
        <v>32</v>
      </c>
      <c r="E145" s="16" t="s">
        <v>33</v>
      </c>
      <c r="F145" s="38" t="s">
        <v>627</v>
      </c>
      <c r="G145" s="19" t="s">
        <v>34</v>
      </c>
      <c r="H145" s="38" t="s">
        <v>628</v>
      </c>
      <c r="I145" s="17">
        <v>46132</v>
      </c>
      <c r="J145" s="16">
        <v>7</v>
      </c>
      <c r="K145" s="16" t="s">
        <v>33</v>
      </c>
      <c r="L145" s="38" t="s">
        <v>355</v>
      </c>
      <c r="M145" s="16">
        <v>19000</v>
      </c>
      <c r="N145" s="16">
        <v>17000</v>
      </c>
      <c r="O145" s="17">
        <v>46133</v>
      </c>
      <c r="P145" s="16">
        <v>2000</v>
      </c>
      <c r="Q145" s="16" t="s">
        <v>33</v>
      </c>
      <c r="R145" s="16" t="s">
        <v>39</v>
      </c>
      <c r="S145" s="16">
        <v>21800</v>
      </c>
      <c r="T145" s="16" t="s">
        <v>33</v>
      </c>
      <c r="U145" s="16" t="s">
        <v>33</v>
      </c>
      <c r="V145" s="16" t="s">
        <v>28</v>
      </c>
      <c r="W145" s="16">
        <v>2800</v>
      </c>
      <c r="X145" s="16" t="s">
        <v>36</v>
      </c>
      <c r="Y145" s="16" t="s">
        <v>29</v>
      </c>
      <c r="Z145" s="18">
        <v>14.736842105263158</v>
      </c>
      <c r="AA145" s="16"/>
      <c r="AB145" s="16"/>
    </row>
    <row r="146" spans="1:28">
      <c r="A146" s="16">
        <v>145</v>
      </c>
      <c r="B146" s="16" t="s">
        <v>30</v>
      </c>
      <c r="C146" s="16" t="s">
        <v>31</v>
      </c>
      <c r="D146" s="16" t="s">
        <v>32</v>
      </c>
      <c r="E146" s="16" t="s">
        <v>33</v>
      </c>
      <c r="F146" s="38" t="s">
        <v>629</v>
      </c>
      <c r="G146" s="19" t="s">
        <v>631</v>
      </c>
      <c r="H146" s="38" t="s">
        <v>630</v>
      </c>
      <c r="I146" s="17">
        <v>46132</v>
      </c>
      <c r="J146" s="16">
        <v>7</v>
      </c>
      <c r="K146" s="16" t="s">
        <v>33</v>
      </c>
      <c r="L146" s="38" t="s">
        <v>632</v>
      </c>
      <c r="M146" s="16">
        <v>28000</v>
      </c>
      <c r="N146" s="16">
        <v>26000</v>
      </c>
      <c r="O146" s="17">
        <v>46133</v>
      </c>
      <c r="P146" s="16">
        <v>2000</v>
      </c>
      <c r="Q146" s="16" t="s">
        <v>33</v>
      </c>
      <c r="R146" s="16" t="s">
        <v>118</v>
      </c>
      <c r="S146" s="16">
        <v>30500</v>
      </c>
      <c r="T146" s="16" t="s">
        <v>33</v>
      </c>
      <c r="U146" s="16" t="s">
        <v>33</v>
      </c>
      <c r="V146" s="16" t="s">
        <v>28</v>
      </c>
      <c r="W146" s="16">
        <v>2500</v>
      </c>
      <c r="X146" s="16" t="s">
        <v>36</v>
      </c>
      <c r="Y146" s="16" t="s">
        <v>29</v>
      </c>
      <c r="Z146" s="18">
        <v>8.9285714285714288</v>
      </c>
      <c r="AA146" s="16"/>
      <c r="AB146" s="16"/>
    </row>
    <row r="147" spans="1:28">
      <c r="A147" s="16">
        <v>146</v>
      </c>
      <c r="B147" s="16" t="s">
        <v>30</v>
      </c>
      <c r="C147" s="16" t="s">
        <v>44</v>
      </c>
      <c r="D147" s="16" t="s">
        <v>32</v>
      </c>
      <c r="E147" s="16" t="s">
        <v>33</v>
      </c>
      <c r="F147" s="38" t="s">
        <v>281</v>
      </c>
      <c r="G147" s="19">
        <v>407</v>
      </c>
      <c r="H147" s="38" t="s">
        <v>633</v>
      </c>
      <c r="I147" s="17">
        <v>46132</v>
      </c>
      <c r="J147" s="16">
        <v>7</v>
      </c>
      <c r="K147" s="16" t="s">
        <v>33</v>
      </c>
      <c r="L147" s="38" t="s">
        <v>381</v>
      </c>
      <c r="M147" s="16">
        <v>27000</v>
      </c>
      <c r="N147" s="16">
        <v>25000</v>
      </c>
      <c r="O147" s="17">
        <v>46133</v>
      </c>
      <c r="P147" s="16">
        <v>2000</v>
      </c>
      <c r="Q147" s="16" t="s">
        <v>33</v>
      </c>
      <c r="R147" s="16" t="s">
        <v>78</v>
      </c>
      <c r="S147" s="16">
        <v>29800</v>
      </c>
      <c r="T147" s="16" t="s">
        <v>33</v>
      </c>
      <c r="U147" s="16" t="s">
        <v>33</v>
      </c>
      <c r="V147" s="16" t="s">
        <v>28</v>
      </c>
      <c r="W147" s="16">
        <v>2800</v>
      </c>
      <c r="X147" s="16" t="s">
        <v>36</v>
      </c>
      <c r="Y147" s="16" t="s">
        <v>29</v>
      </c>
      <c r="Z147" s="18">
        <v>10.37037037037037</v>
      </c>
      <c r="AA147" s="16"/>
      <c r="AB147" s="16"/>
    </row>
    <row r="148" spans="1:28">
      <c r="A148" s="16">
        <v>147</v>
      </c>
      <c r="B148" s="16" t="s">
        <v>30</v>
      </c>
      <c r="C148" s="16" t="s">
        <v>31</v>
      </c>
      <c r="D148" s="16" t="s">
        <v>32</v>
      </c>
      <c r="E148" s="16" t="s">
        <v>33</v>
      </c>
      <c r="F148" s="38" t="s">
        <v>257</v>
      </c>
      <c r="G148" s="19" t="s">
        <v>34</v>
      </c>
      <c r="H148" s="38" t="s">
        <v>635</v>
      </c>
      <c r="I148" s="17">
        <v>46133</v>
      </c>
      <c r="J148" s="16">
        <v>6</v>
      </c>
      <c r="K148" s="16" t="s">
        <v>33</v>
      </c>
      <c r="L148" s="38" t="s">
        <v>355</v>
      </c>
      <c r="M148" s="16">
        <v>19000</v>
      </c>
      <c r="N148" s="16">
        <v>17000</v>
      </c>
      <c r="O148" s="17">
        <v>46133</v>
      </c>
      <c r="P148" s="16">
        <v>2000</v>
      </c>
      <c r="Q148" s="16" t="s">
        <v>33</v>
      </c>
      <c r="R148" s="16" t="s">
        <v>39</v>
      </c>
      <c r="S148" s="16">
        <v>21800</v>
      </c>
      <c r="T148" s="16" t="s">
        <v>33</v>
      </c>
      <c r="U148" s="16" t="s">
        <v>33</v>
      </c>
      <c r="V148" s="16" t="s">
        <v>28</v>
      </c>
      <c r="W148" s="16">
        <v>2800</v>
      </c>
      <c r="X148" s="16" t="s">
        <v>36</v>
      </c>
      <c r="Y148" s="16" t="s">
        <v>29</v>
      </c>
      <c r="Z148" s="18">
        <v>14.736842105263158</v>
      </c>
      <c r="AA148" s="16"/>
      <c r="AB148" s="16"/>
    </row>
    <row r="149" spans="1:28">
      <c r="A149" s="16">
        <v>148</v>
      </c>
      <c r="B149" s="16" t="s">
        <v>30</v>
      </c>
      <c r="C149" s="16" t="s">
        <v>31</v>
      </c>
      <c r="D149" s="16" t="s">
        <v>32</v>
      </c>
      <c r="E149" s="16" t="s">
        <v>33</v>
      </c>
      <c r="F149" s="38" t="s">
        <v>231</v>
      </c>
      <c r="G149" s="19" t="s">
        <v>34</v>
      </c>
      <c r="H149" s="38" t="s">
        <v>636</v>
      </c>
      <c r="I149" s="17">
        <v>46133</v>
      </c>
      <c r="J149" s="16">
        <v>6</v>
      </c>
      <c r="K149" s="16" t="s">
        <v>33</v>
      </c>
      <c r="L149" s="38" t="s">
        <v>355</v>
      </c>
      <c r="M149" s="16">
        <v>19000</v>
      </c>
      <c r="N149" s="16">
        <v>17000</v>
      </c>
      <c r="O149" s="17">
        <v>46133</v>
      </c>
      <c r="P149" s="16">
        <v>2000</v>
      </c>
      <c r="Q149" s="16" t="s">
        <v>33</v>
      </c>
      <c r="R149" s="16" t="s">
        <v>39</v>
      </c>
      <c r="S149" s="16">
        <v>21800</v>
      </c>
      <c r="T149" s="16" t="s">
        <v>33</v>
      </c>
      <c r="U149" s="16" t="s">
        <v>33</v>
      </c>
      <c r="V149" s="16" t="s">
        <v>28</v>
      </c>
      <c r="W149" s="16">
        <v>2800</v>
      </c>
      <c r="X149" s="16" t="s">
        <v>36</v>
      </c>
      <c r="Y149" s="16" t="s">
        <v>29</v>
      </c>
      <c r="Z149" s="18">
        <v>14.736842105263158</v>
      </c>
      <c r="AA149" s="16"/>
      <c r="AB149" s="16"/>
    </row>
    <row r="150" spans="1:28">
      <c r="A150" s="16">
        <v>149</v>
      </c>
      <c r="B150" s="16" t="s">
        <v>30</v>
      </c>
      <c r="C150" s="16" t="s">
        <v>31</v>
      </c>
      <c r="D150" s="16" t="s">
        <v>32</v>
      </c>
      <c r="E150" s="16" t="s">
        <v>33</v>
      </c>
      <c r="F150" s="38" t="s">
        <v>637</v>
      </c>
      <c r="G150" s="19" t="s">
        <v>34</v>
      </c>
      <c r="H150" s="38" t="s">
        <v>638</v>
      </c>
      <c r="I150" s="17">
        <v>46133</v>
      </c>
      <c r="J150" s="16">
        <v>6</v>
      </c>
      <c r="K150" s="16" t="s">
        <v>33</v>
      </c>
      <c r="L150" s="38" t="s">
        <v>639</v>
      </c>
      <c r="M150" s="16">
        <v>18300</v>
      </c>
      <c r="N150" s="16">
        <v>16500</v>
      </c>
      <c r="O150" s="17">
        <v>46133</v>
      </c>
      <c r="P150" s="16">
        <v>1800</v>
      </c>
      <c r="Q150" s="16" t="s">
        <v>33</v>
      </c>
      <c r="R150" s="16" t="s">
        <v>37</v>
      </c>
      <c r="S150" s="16">
        <v>21500</v>
      </c>
      <c r="T150" s="16" t="s">
        <v>33</v>
      </c>
      <c r="U150" s="16" t="s">
        <v>33</v>
      </c>
      <c r="V150" s="16" t="s">
        <v>28</v>
      </c>
      <c r="W150" s="16">
        <v>3200</v>
      </c>
      <c r="X150" s="16" t="s">
        <v>36</v>
      </c>
      <c r="Y150" s="16" t="s">
        <v>29</v>
      </c>
      <c r="Z150" s="18">
        <v>17.486338797814209</v>
      </c>
      <c r="AA150" s="16"/>
      <c r="AB150" s="16"/>
    </row>
    <row r="151" spans="1:28">
      <c r="A151" s="16">
        <v>150</v>
      </c>
      <c r="B151" s="16" t="s">
        <v>30</v>
      </c>
      <c r="C151" s="16" t="s">
        <v>156</v>
      </c>
      <c r="D151" s="16" t="s">
        <v>32</v>
      </c>
      <c r="E151" s="16" t="s">
        <v>33</v>
      </c>
      <c r="F151" s="38" t="s">
        <v>164</v>
      </c>
      <c r="G151" s="19" t="s">
        <v>67</v>
      </c>
      <c r="H151" s="38" t="s">
        <v>640</v>
      </c>
      <c r="I151" s="17">
        <v>46133</v>
      </c>
      <c r="J151" s="16">
        <v>6</v>
      </c>
      <c r="K151" s="16" t="s">
        <v>33</v>
      </c>
      <c r="L151" s="38" t="s">
        <v>620</v>
      </c>
      <c r="M151" s="16">
        <v>41500</v>
      </c>
      <c r="N151" s="16">
        <v>35500</v>
      </c>
      <c r="O151" s="17">
        <v>46133</v>
      </c>
      <c r="P151" s="16">
        <v>6000</v>
      </c>
      <c r="Q151" s="16" t="s">
        <v>33</v>
      </c>
      <c r="R151" s="16" t="s">
        <v>52</v>
      </c>
      <c r="S151" s="16">
        <v>47000</v>
      </c>
      <c r="T151" s="16" t="s">
        <v>33</v>
      </c>
      <c r="U151" s="16" t="s">
        <v>33</v>
      </c>
      <c r="V151" s="16" t="s">
        <v>28</v>
      </c>
      <c r="W151" s="16">
        <v>5500</v>
      </c>
      <c r="X151" s="16" t="s">
        <v>36</v>
      </c>
      <c r="Y151" s="16" t="s">
        <v>29</v>
      </c>
      <c r="Z151" s="18">
        <v>13.253012048192771</v>
      </c>
      <c r="AA151" s="16"/>
      <c r="AB151" s="16" t="s">
        <v>320</v>
      </c>
    </row>
    <row r="152" spans="1:28">
      <c r="A152" s="16">
        <v>151</v>
      </c>
      <c r="B152" s="16" t="s">
        <v>30</v>
      </c>
      <c r="C152" s="16" t="s">
        <v>31</v>
      </c>
      <c r="D152" s="16" t="s">
        <v>32</v>
      </c>
      <c r="E152" s="16" t="s">
        <v>33</v>
      </c>
      <c r="F152" s="38" t="s">
        <v>641</v>
      </c>
      <c r="G152" s="19" t="s">
        <v>34</v>
      </c>
      <c r="H152" s="38" t="s">
        <v>642</v>
      </c>
      <c r="I152" s="17">
        <v>46133</v>
      </c>
      <c r="J152" s="16">
        <v>6</v>
      </c>
      <c r="K152" s="16" t="s">
        <v>33</v>
      </c>
      <c r="L152" s="38" t="s">
        <v>643</v>
      </c>
      <c r="M152" s="16">
        <v>18000</v>
      </c>
      <c r="N152" s="16">
        <v>16000</v>
      </c>
      <c r="O152" s="17">
        <v>46133</v>
      </c>
      <c r="P152" s="16">
        <v>2000</v>
      </c>
      <c r="Q152" s="16" t="s">
        <v>33</v>
      </c>
      <c r="R152" s="16" t="s">
        <v>56</v>
      </c>
      <c r="S152" s="16">
        <v>20500</v>
      </c>
      <c r="T152" s="16" t="s">
        <v>33</v>
      </c>
      <c r="U152" s="16" t="s">
        <v>33</v>
      </c>
      <c r="V152" s="16" t="s">
        <v>28</v>
      </c>
      <c r="W152" s="16">
        <v>2500</v>
      </c>
      <c r="X152" s="16" t="s">
        <v>36</v>
      </c>
      <c r="Y152" s="16" t="s">
        <v>29</v>
      </c>
      <c r="Z152" s="18">
        <v>13.888888888888889</v>
      </c>
      <c r="AA152" s="16"/>
      <c r="AB152" s="16"/>
    </row>
    <row r="153" spans="1:28">
      <c r="A153" s="16">
        <v>152</v>
      </c>
      <c r="B153" s="16" t="s">
        <v>30</v>
      </c>
      <c r="C153" s="16" t="s">
        <v>31</v>
      </c>
      <c r="D153" s="16" t="s">
        <v>32</v>
      </c>
      <c r="E153" s="16" t="s">
        <v>33</v>
      </c>
      <c r="F153" s="38" t="s">
        <v>647</v>
      </c>
      <c r="G153" s="19" t="s">
        <v>34</v>
      </c>
      <c r="H153" s="38" t="s">
        <v>648</v>
      </c>
      <c r="I153" s="17">
        <v>46133</v>
      </c>
      <c r="J153" s="16">
        <v>6</v>
      </c>
      <c r="K153" s="16" t="s">
        <v>33</v>
      </c>
      <c r="L153" s="38" t="s">
        <v>376</v>
      </c>
      <c r="M153" s="16">
        <v>19000</v>
      </c>
      <c r="N153" s="16">
        <v>17000</v>
      </c>
      <c r="O153" s="17">
        <v>46133</v>
      </c>
      <c r="P153" s="16">
        <v>2000</v>
      </c>
      <c r="Q153" s="16" t="s">
        <v>33</v>
      </c>
      <c r="R153" s="16" t="s">
        <v>39</v>
      </c>
      <c r="S153" s="16">
        <v>21800</v>
      </c>
      <c r="T153" s="16" t="s">
        <v>33</v>
      </c>
      <c r="U153" s="16" t="s">
        <v>33</v>
      </c>
      <c r="V153" s="16" t="s">
        <v>28</v>
      </c>
      <c r="W153" s="16">
        <v>2800</v>
      </c>
      <c r="X153" s="16" t="s">
        <v>36</v>
      </c>
      <c r="Y153" s="16" t="s">
        <v>29</v>
      </c>
      <c r="Z153" s="18">
        <v>14.736842105263158</v>
      </c>
      <c r="AA153" s="16"/>
      <c r="AB153" s="16"/>
    </row>
    <row r="154" spans="1:28">
      <c r="A154" s="16">
        <v>153</v>
      </c>
      <c r="B154" s="16" t="s">
        <v>30</v>
      </c>
      <c r="C154" s="16" t="s">
        <v>44</v>
      </c>
      <c r="D154" s="16" t="s">
        <v>32</v>
      </c>
      <c r="E154" s="16" t="s">
        <v>33</v>
      </c>
      <c r="F154" s="38" t="s">
        <v>359</v>
      </c>
      <c r="G154" s="19">
        <v>407</v>
      </c>
      <c r="H154" s="38" t="s">
        <v>634</v>
      </c>
      <c r="I154" s="17">
        <v>46132</v>
      </c>
      <c r="J154" s="16">
        <v>7</v>
      </c>
      <c r="K154" s="16" t="s">
        <v>33</v>
      </c>
      <c r="L154" s="38" t="s">
        <v>381</v>
      </c>
      <c r="M154" s="16">
        <v>27000</v>
      </c>
      <c r="N154" s="16">
        <v>25000</v>
      </c>
      <c r="O154" s="17">
        <v>46133</v>
      </c>
      <c r="P154" s="16">
        <v>2000</v>
      </c>
      <c r="Q154" s="16" t="s">
        <v>33</v>
      </c>
      <c r="R154" s="16" t="s">
        <v>78</v>
      </c>
      <c r="S154" s="16">
        <v>29800</v>
      </c>
      <c r="T154" s="16" t="s">
        <v>33</v>
      </c>
      <c r="U154" s="16" t="s">
        <v>33</v>
      </c>
      <c r="V154" s="16" t="s">
        <v>28</v>
      </c>
      <c r="W154" s="16">
        <v>2800</v>
      </c>
      <c r="X154" s="16" t="s">
        <v>36</v>
      </c>
      <c r="Y154" s="16" t="s">
        <v>29</v>
      </c>
      <c r="Z154" s="18">
        <v>10.37037037037037</v>
      </c>
      <c r="AA154" s="16"/>
      <c r="AB154" s="16"/>
    </row>
    <row r="155" spans="1:28">
      <c r="A155" s="16">
        <v>154</v>
      </c>
      <c r="B155" s="16" t="s">
        <v>30</v>
      </c>
      <c r="C155" s="16" t="s">
        <v>44</v>
      </c>
      <c r="D155" s="16" t="s">
        <v>32</v>
      </c>
      <c r="E155" s="16" t="s">
        <v>33</v>
      </c>
      <c r="F155" s="38" t="s">
        <v>352</v>
      </c>
      <c r="G155" s="19">
        <v>407</v>
      </c>
      <c r="H155" s="38" t="s">
        <v>649</v>
      </c>
      <c r="I155" s="17">
        <v>46133</v>
      </c>
      <c r="J155" s="16">
        <v>6</v>
      </c>
      <c r="K155" s="16" t="s">
        <v>33</v>
      </c>
      <c r="L155" s="38" t="s">
        <v>381</v>
      </c>
      <c r="M155" s="16">
        <v>28000</v>
      </c>
      <c r="N155" s="16">
        <v>25000</v>
      </c>
      <c r="O155" s="17">
        <v>46133</v>
      </c>
      <c r="P155" s="16">
        <v>3000</v>
      </c>
      <c r="Q155" s="16" t="s">
        <v>33</v>
      </c>
      <c r="R155" s="16" t="s">
        <v>56</v>
      </c>
      <c r="S155" s="16">
        <v>30800</v>
      </c>
      <c r="T155" s="16" t="s">
        <v>33</v>
      </c>
      <c r="U155" s="16" t="s">
        <v>33</v>
      </c>
      <c r="V155" s="16" t="s">
        <v>28</v>
      </c>
      <c r="W155" s="16">
        <v>2800</v>
      </c>
      <c r="X155" s="16" t="s">
        <v>36</v>
      </c>
      <c r="Y155" s="16" t="s">
        <v>29</v>
      </c>
      <c r="Z155" s="18">
        <v>10</v>
      </c>
      <c r="AA155" s="16"/>
      <c r="AB155" s="16"/>
    </row>
    <row r="156" spans="1:28">
      <c r="A156" s="16">
        <v>155</v>
      </c>
      <c r="B156" s="16" t="s">
        <v>30</v>
      </c>
      <c r="C156" s="16" t="s">
        <v>31</v>
      </c>
      <c r="D156" s="16" t="s">
        <v>32</v>
      </c>
      <c r="E156" s="16" t="s">
        <v>33</v>
      </c>
      <c r="F156" s="38" t="s">
        <v>650</v>
      </c>
      <c r="G156" s="19" t="s">
        <v>34</v>
      </c>
      <c r="H156" s="38" t="s">
        <v>651</v>
      </c>
      <c r="I156" s="17">
        <v>46133</v>
      </c>
      <c r="J156" s="16">
        <v>6</v>
      </c>
      <c r="K156" s="16" t="s">
        <v>33</v>
      </c>
      <c r="L156" s="38" t="s">
        <v>519</v>
      </c>
      <c r="M156" s="16">
        <v>18300</v>
      </c>
      <c r="N156" s="16">
        <v>16500</v>
      </c>
      <c r="O156" s="17">
        <v>46133</v>
      </c>
      <c r="P156" s="16">
        <v>1800</v>
      </c>
      <c r="Q156" s="16" t="s">
        <v>33</v>
      </c>
      <c r="R156" s="16" t="s">
        <v>37</v>
      </c>
      <c r="S156" s="16">
        <v>21500</v>
      </c>
      <c r="T156" s="16" t="s">
        <v>33</v>
      </c>
      <c r="U156" s="16" t="s">
        <v>33</v>
      </c>
      <c r="V156" s="16" t="s">
        <v>28</v>
      </c>
      <c r="W156" s="16">
        <v>3200</v>
      </c>
      <c r="X156" s="16" t="s">
        <v>36</v>
      </c>
      <c r="Y156" s="16" t="s">
        <v>29</v>
      </c>
      <c r="Z156" s="18">
        <v>17.486338797814209</v>
      </c>
      <c r="AA156" s="16"/>
      <c r="AB156" s="16"/>
    </row>
    <row r="157" spans="1:28">
      <c r="A157" s="16">
        <v>156</v>
      </c>
      <c r="B157" s="16" t="s">
        <v>30</v>
      </c>
      <c r="C157" s="16" t="s">
        <v>31</v>
      </c>
      <c r="D157" s="16" t="s">
        <v>32</v>
      </c>
      <c r="E157" s="16" t="s">
        <v>33</v>
      </c>
      <c r="F157" s="38" t="s">
        <v>666</v>
      </c>
      <c r="G157" s="19" t="s">
        <v>34</v>
      </c>
      <c r="H157" s="38" t="s">
        <v>667</v>
      </c>
      <c r="I157" s="17">
        <v>46132</v>
      </c>
      <c r="J157" s="16">
        <v>7</v>
      </c>
      <c r="K157" s="16" t="s">
        <v>33</v>
      </c>
      <c r="L157" s="38" t="s">
        <v>668</v>
      </c>
      <c r="M157" s="16">
        <v>18000</v>
      </c>
      <c r="N157" s="16">
        <v>16000</v>
      </c>
      <c r="O157" s="17">
        <v>46134</v>
      </c>
      <c r="P157" s="16">
        <v>2000</v>
      </c>
      <c r="Q157" s="16" t="s">
        <v>33</v>
      </c>
      <c r="R157" s="16" t="s">
        <v>56</v>
      </c>
      <c r="S157" s="16">
        <v>20500</v>
      </c>
      <c r="T157" s="16" t="s">
        <v>33</v>
      </c>
      <c r="U157" s="16" t="s">
        <v>33</v>
      </c>
      <c r="V157" s="16" t="s">
        <v>28</v>
      </c>
      <c r="W157" s="16">
        <v>2500</v>
      </c>
      <c r="X157" s="16" t="s">
        <v>36</v>
      </c>
      <c r="Y157" s="16" t="s">
        <v>29</v>
      </c>
      <c r="Z157" s="18">
        <v>13.888888888888889</v>
      </c>
      <c r="AA157" s="16"/>
      <c r="AB157" s="16"/>
    </row>
    <row r="158" spans="1:28">
      <c r="A158" s="16">
        <v>157</v>
      </c>
      <c r="B158" s="16" t="s">
        <v>30</v>
      </c>
      <c r="C158" s="16" t="s">
        <v>44</v>
      </c>
      <c r="D158" s="16" t="s">
        <v>32</v>
      </c>
      <c r="E158" s="16" t="s">
        <v>33</v>
      </c>
      <c r="F158" s="38" t="s">
        <v>669</v>
      </c>
      <c r="G158" s="19" t="s">
        <v>46</v>
      </c>
      <c r="H158" s="38" t="s">
        <v>670</v>
      </c>
      <c r="I158" s="17">
        <v>46133</v>
      </c>
      <c r="J158" s="16">
        <v>6</v>
      </c>
      <c r="K158" s="16" t="s">
        <v>33</v>
      </c>
      <c r="L158" s="38" t="s">
        <v>397</v>
      </c>
      <c r="M158" s="16">
        <v>18300</v>
      </c>
      <c r="N158" s="16">
        <v>16300</v>
      </c>
      <c r="O158" s="17">
        <v>46134</v>
      </c>
      <c r="P158" s="16">
        <v>2000</v>
      </c>
      <c r="Q158" s="16" t="s">
        <v>33</v>
      </c>
      <c r="R158" s="16" t="s">
        <v>37</v>
      </c>
      <c r="S158" s="16">
        <v>21500</v>
      </c>
      <c r="T158" s="16" t="s">
        <v>33</v>
      </c>
      <c r="U158" s="16" t="s">
        <v>33</v>
      </c>
      <c r="V158" s="16" t="s">
        <v>28</v>
      </c>
      <c r="W158" s="16">
        <v>3200</v>
      </c>
      <c r="X158" s="16" t="s">
        <v>36</v>
      </c>
      <c r="Y158" s="16" t="s">
        <v>29</v>
      </c>
      <c r="Z158" s="18">
        <v>17.486338797814209</v>
      </c>
      <c r="AA158" s="16"/>
      <c r="AB158" s="16"/>
    </row>
    <row r="159" spans="1:28">
      <c r="A159" s="16">
        <v>158</v>
      </c>
      <c r="B159" s="16" t="s">
        <v>30</v>
      </c>
      <c r="C159" s="16" t="s">
        <v>31</v>
      </c>
      <c r="D159" s="16" t="s">
        <v>32</v>
      </c>
      <c r="E159" s="16" t="s">
        <v>33</v>
      </c>
      <c r="F159" s="38" t="s">
        <v>671</v>
      </c>
      <c r="G159" s="19" t="s">
        <v>34</v>
      </c>
      <c r="H159" s="38" t="s">
        <v>672</v>
      </c>
      <c r="I159" s="17">
        <v>46133</v>
      </c>
      <c r="J159" s="16">
        <v>6</v>
      </c>
      <c r="K159" s="16" t="s">
        <v>33</v>
      </c>
      <c r="L159" s="38" t="s">
        <v>400</v>
      </c>
      <c r="M159" s="16">
        <v>23300</v>
      </c>
      <c r="N159" s="16">
        <v>21500</v>
      </c>
      <c r="O159" s="17">
        <v>46134</v>
      </c>
      <c r="P159" s="16">
        <v>1800</v>
      </c>
      <c r="Q159" s="16" t="s">
        <v>33</v>
      </c>
      <c r="R159" s="16" t="s">
        <v>37</v>
      </c>
      <c r="S159" s="16">
        <v>26000</v>
      </c>
      <c r="T159" s="16" t="s">
        <v>33</v>
      </c>
      <c r="U159" s="16" t="s">
        <v>33</v>
      </c>
      <c r="V159" s="16" t="s">
        <v>28</v>
      </c>
      <c r="W159" s="16">
        <v>2700</v>
      </c>
      <c r="X159" s="16" t="s">
        <v>36</v>
      </c>
      <c r="Y159" s="16" t="s">
        <v>29</v>
      </c>
      <c r="Z159" s="18">
        <v>11.587982832618026</v>
      </c>
      <c r="AA159" s="16"/>
      <c r="AB159" s="16"/>
    </row>
    <row r="160" spans="1:28">
      <c r="A160" s="16">
        <v>159</v>
      </c>
      <c r="B160" s="16" t="s">
        <v>30</v>
      </c>
      <c r="C160" s="16" t="s">
        <v>44</v>
      </c>
      <c r="D160" s="16" t="s">
        <v>32</v>
      </c>
      <c r="E160" s="16" t="s">
        <v>33</v>
      </c>
      <c r="F160" s="38" t="s">
        <v>240</v>
      </c>
      <c r="G160" s="19" t="s">
        <v>46</v>
      </c>
      <c r="H160" s="38" t="s">
        <v>673</v>
      </c>
      <c r="I160" s="17">
        <v>46133</v>
      </c>
      <c r="J160" s="16">
        <v>6</v>
      </c>
      <c r="K160" s="16" t="s">
        <v>33</v>
      </c>
      <c r="L160" s="38" t="s">
        <v>47</v>
      </c>
      <c r="M160" s="16">
        <v>19000</v>
      </c>
      <c r="N160" s="16">
        <v>17000</v>
      </c>
      <c r="O160" s="17">
        <v>46134</v>
      </c>
      <c r="P160" s="16">
        <v>2000</v>
      </c>
      <c r="Q160" s="16" t="s">
        <v>33</v>
      </c>
      <c r="R160" s="16" t="s">
        <v>39</v>
      </c>
      <c r="S160" s="16">
        <v>21800</v>
      </c>
      <c r="T160" s="16" t="s">
        <v>33</v>
      </c>
      <c r="U160" s="16" t="s">
        <v>33</v>
      </c>
      <c r="V160" s="16" t="s">
        <v>28</v>
      </c>
      <c r="W160" s="16">
        <v>2800</v>
      </c>
      <c r="X160" s="16" t="s">
        <v>36</v>
      </c>
      <c r="Y160" s="16" t="s">
        <v>29</v>
      </c>
      <c r="Z160" s="18">
        <v>14.736842105263158</v>
      </c>
      <c r="AA160" s="16"/>
      <c r="AB160" s="16"/>
    </row>
    <row r="161" spans="1:28">
      <c r="A161" s="16">
        <v>160</v>
      </c>
      <c r="B161" s="16" t="s">
        <v>30</v>
      </c>
      <c r="C161" s="16" t="s">
        <v>31</v>
      </c>
      <c r="D161" s="16" t="s">
        <v>32</v>
      </c>
      <c r="E161" s="16" t="s">
        <v>33</v>
      </c>
      <c r="F161" s="38" t="s">
        <v>674</v>
      </c>
      <c r="G161" s="19" t="s">
        <v>34</v>
      </c>
      <c r="H161" s="38" t="s">
        <v>675</v>
      </c>
      <c r="I161" s="17">
        <v>46133</v>
      </c>
      <c r="J161" s="16">
        <v>6</v>
      </c>
      <c r="K161" s="16" t="s">
        <v>33</v>
      </c>
      <c r="L161" s="38" t="s">
        <v>668</v>
      </c>
      <c r="M161" s="16">
        <v>18000</v>
      </c>
      <c r="N161" s="16">
        <v>16000</v>
      </c>
      <c r="O161" s="17">
        <v>46134</v>
      </c>
      <c r="P161" s="16">
        <v>2000</v>
      </c>
      <c r="Q161" s="16" t="s">
        <v>33</v>
      </c>
      <c r="R161" s="16" t="s">
        <v>56</v>
      </c>
      <c r="S161" s="16">
        <v>20500</v>
      </c>
      <c r="T161" s="16" t="s">
        <v>33</v>
      </c>
      <c r="U161" s="16" t="s">
        <v>33</v>
      </c>
      <c r="V161" s="16" t="s">
        <v>28</v>
      </c>
      <c r="W161" s="16">
        <v>2500</v>
      </c>
      <c r="X161" s="16" t="s">
        <v>36</v>
      </c>
      <c r="Y161" s="16" t="s">
        <v>29</v>
      </c>
      <c r="Z161" s="18">
        <v>13.888888888888889</v>
      </c>
      <c r="AA161" s="16"/>
      <c r="AB161" s="16"/>
    </row>
    <row r="162" spans="1:28">
      <c r="A162" s="16">
        <v>161</v>
      </c>
      <c r="B162" s="16" t="s">
        <v>30</v>
      </c>
      <c r="C162" s="16" t="s">
        <v>31</v>
      </c>
      <c r="D162" s="16" t="s">
        <v>32</v>
      </c>
      <c r="E162" s="16" t="s">
        <v>33</v>
      </c>
      <c r="F162" s="38" t="s">
        <v>676</v>
      </c>
      <c r="G162" s="19" t="s">
        <v>34</v>
      </c>
      <c r="H162" s="38" t="s">
        <v>677</v>
      </c>
      <c r="I162" s="17">
        <v>46133</v>
      </c>
      <c r="J162" s="16">
        <v>6</v>
      </c>
      <c r="K162" s="16" t="s">
        <v>33</v>
      </c>
      <c r="L162" s="38" t="s">
        <v>678</v>
      </c>
      <c r="M162" s="16">
        <v>18000</v>
      </c>
      <c r="N162" s="16">
        <v>16000</v>
      </c>
      <c r="O162" s="17">
        <v>46134</v>
      </c>
      <c r="P162" s="16">
        <v>2000</v>
      </c>
      <c r="Q162" s="16" t="s">
        <v>33</v>
      </c>
      <c r="R162" s="16" t="s">
        <v>56</v>
      </c>
      <c r="S162" s="16">
        <v>20500</v>
      </c>
      <c r="T162" s="16" t="s">
        <v>33</v>
      </c>
      <c r="U162" s="16" t="s">
        <v>33</v>
      </c>
      <c r="V162" s="16" t="s">
        <v>28</v>
      </c>
      <c r="W162" s="16">
        <v>2500</v>
      </c>
      <c r="X162" s="16" t="s">
        <v>36</v>
      </c>
      <c r="Y162" s="16" t="s">
        <v>29</v>
      </c>
      <c r="Z162" s="18">
        <v>13.888888888888889</v>
      </c>
      <c r="AA162" s="16"/>
      <c r="AB162" s="16"/>
    </row>
    <row r="163" spans="1:28">
      <c r="A163" s="16">
        <v>162</v>
      </c>
      <c r="B163" s="16" t="s">
        <v>30</v>
      </c>
      <c r="C163" s="16" t="s">
        <v>31</v>
      </c>
      <c r="D163" s="16" t="s">
        <v>32</v>
      </c>
      <c r="E163" s="16" t="s">
        <v>33</v>
      </c>
      <c r="F163" s="38" t="s">
        <v>148</v>
      </c>
      <c r="G163" s="19" t="s">
        <v>34</v>
      </c>
      <c r="H163" s="38" t="s">
        <v>679</v>
      </c>
      <c r="I163" s="17">
        <v>46133</v>
      </c>
      <c r="J163" s="16">
        <v>6</v>
      </c>
      <c r="K163" s="16" t="s">
        <v>33</v>
      </c>
      <c r="L163" s="38" t="s">
        <v>376</v>
      </c>
      <c r="M163" s="16">
        <v>19000</v>
      </c>
      <c r="N163" s="16">
        <v>17000</v>
      </c>
      <c r="O163" s="17">
        <v>46134</v>
      </c>
      <c r="P163" s="16">
        <v>2000</v>
      </c>
      <c r="Q163" s="16" t="s">
        <v>33</v>
      </c>
      <c r="R163" s="16" t="s">
        <v>39</v>
      </c>
      <c r="S163" s="16">
        <v>21800</v>
      </c>
      <c r="T163" s="16" t="s">
        <v>33</v>
      </c>
      <c r="U163" s="16" t="s">
        <v>33</v>
      </c>
      <c r="V163" s="16" t="s">
        <v>28</v>
      </c>
      <c r="W163" s="16">
        <v>2800</v>
      </c>
      <c r="X163" s="16" t="s">
        <v>36</v>
      </c>
      <c r="Y163" s="16" t="s">
        <v>29</v>
      </c>
      <c r="Z163" s="18">
        <v>14.736842105263158</v>
      </c>
      <c r="AA163" s="16"/>
      <c r="AB163" s="16"/>
    </row>
    <row r="164" spans="1:28">
      <c r="A164" s="16">
        <v>163</v>
      </c>
      <c r="B164" s="16" t="s">
        <v>30</v>
      </c>
      <c r="C164" s="16" t="s">
        <v>185</v>
      </c>
      <c r="D164" s="16" t="s">
        <v>32</v>
      </c>
      <c r="E164" s="16" t="s">
        <v>33</v>
      </c>
      <c r="F164" s="38" t="s">
        <v>183</v>
      </c>
      <c r="G164" s="19" t="s">
        <v>50</v>
      </c>
      <c r="H164" s="38" t="s">
        <v>680</v>
      </c>
      <c r="I164" s="17">
        <v>46133</v>
      </c>
      <c r="J164" s="16">
        <v>6</v>
      </c>
      <c r="K164" s="16" t="s">
        <v>33</v>
      </c>
      <c r="L164" s="38" t="s">
        <v>79</v>
      </c>
      <c r="M164" s="16">
        <v>47000</v>
      </c>
      <c r="N164" s="16">
        <v>40000</v>
      </c>
      <c r="O164" s="17">
        <v>46134</v>
      </c>
      <c r="P164" s="16">
        <v>7000</v>
      </c>
      <c r="Q164" s="16" t="s">
        <v>33</v>
      </c>
      <c r="R164" s="16" t="s">
        <v>52</v>
      </c>
      <c r="S164" s="16">
        <v>53000</v>
      </c>
      <c r="T164" s="16" t="s">
        <v>33</v>
      </c>
      <c r="U164" s="16" t="s">
        <v>33</v>
      </c>
      <c r="V164" s="16" t="s">
        <v>28</v>
      </c>
      <c r="W164" s="16">
        <v>6000</v>
      </c>
      <c r="X164" s="16" t="s">
        <v>36</v>
      </c>
      <c r="Y164" s="16" t="s">
        <v>29</v>
      </c>
      <c r="Z164" s="18">
        <v>12.76595744680851</v>
      </c>
      <c r="AA164" s="16"/>
      <c r="AB164" s="16" t="s">
        <v>320</v>
      </c>
    </row>
    <row r="165" spans="1:28">
      <c r="A165" s="16">
        <v>164</v>
      </c>
      <c r="B165" s="16" t="s">
        <v>30</v>
      </c>
      <c r="C165" s="16" t="s">
        <v>44</v>
      </c>
      <c r="D165" s="16" t="s">
        <v>32</v>
      </c>
      <c r="E165" s="16" t="s">
        <v>33</v>
      </c>
      <c r="F165" s="38" t="s">
        <v>681</v>
      </c>
      <c r="G165" s="19">
        <v>407</v>
      </c>
      <c r="H165" s="38" t="s">
        <v>682</v>
      </c>
      <c r="I165" s="17">
        <v>46133</v>
      </c>
      <c r="J165" s="16">
        <v>6</v>
      </c>
      <c r="K165" s="16" t="s">
        <v>33</v>
      </c>
      <c r="L165" s="38" t="s">
        <v>84</v>
      </c>
      <c r="M165" s="16">
        <v>27000</v>
      </c>
      <c r="N165" s="16">
        <v>25000</v>
      </c>
      <c r="O165" s="17">
        <v>46134</v>
      </c>
      <c r="P165" s="16">
        <v>2000</v>
      </c>
      <c r="Q165" s="16" t="s">
        <v>33</v>
      </c>
      <c r="R165" s="16" t="s">
        <v>78</v>
      </c>
      <c r="S165" s="16">
        <v>29800</v>
      </c>
      <c r="T165" s="16" t="s">
        <v>33</v>
      </c>
      <c r="U165" s="16" t="s">
        <v>33</v>
      </c>
      <c r="V165" s="16" t="s">
        <v>28</v>
      </c>
      <c r="W165" s="16">
        <v>2800</v>
      </c>
      <c r="X165" s="16" t="s">
        <v>36</v>
      </c>
      <c r="Y165" s="16" t="s">
        <v>29</v>
      </c>
      <c r="Z165" s="18">
        <v>10.37037037037037</v>
      </c>
      <c r="AA165" s="16"/>
      <c r="AB165" s="16"/>
    </row>
    <row r="166" spans="1:28">
      <c r="A166" s="16">
        <v>165</v>
      </c>
      <c r="B166" s="16" t="s">
        <v>30</v>
      </c>
      <c r="C166" s="16" t="s">
        <v>31</v>
      </c>
      <c r="D166" s="16" t="s">
        <v>32</v>
      </c>
      <c r="E166" s="16" t="s">
        <v>33</v>
      </c>
      <c r="F166" s="38" t="s">
        <v>205</v>
      </c>
      <c r="G166" s="19" t="s">
        <v>34</v>
      </c>
      <c r="H166" s="38" t="s">
        <v>683</v>
      </c>
      <c r="I166" s="17">
        <v>46134</v>
      </c>
      <c r="J166" s="16">
        <v>5</v>
      </c>
      <c r="K166" s="16" t="s">
        <v>33</v>
      </c>
      <c r="L166" s="38" t="s">
        <v>376</v>
      </c>
      <c r="M166" s="16">
        <v>19000</v>
      </c>
      <c r="N166" s="16">
        <v>17000</v>
      </c>
      <c r="O166" s="17">
        <v>46134</v>
      </c>
      <c r="P166" s="16">
        <v>2000</v>
      </c>
      <c r="Q166" s="16" t="s">
        <v>33</v>
      </c>
      <c r="R166" s="16" t="s">
        <v>39</v>
      </c>
      <c r="S166" s="16">
        <v>21800</v>
      </c>
      <c r="T166" s="16" t="s">
        <v>33</v>
      </c>
      <c r="U166" s="16" t="s">
        <v>33</v>
      </c>
      <c r="V166" s="16" t="s">
        <v>28</v>
      </c>
      <c r="W166" s="16">
        <v>2800</v>
      </c>
      <c r="X166" s="16" t="s">
        <v>36</v>
      </c>
      <c r="Y166" s="16" t="s">
        <v>29</v>
      </c>
      <c r="Z166" s="18">
        <v>14.736842105263158</v>
      </c>
      <c r="AA166" s="16"/>
      <c r="AB166" s="16"/>
    </row>
    <row r="167" spans="1:28">
      <c r="A167" s="16">
        <v>166</v>
      </c>
      <c r="B167" s="16" t="s">
        <v>30</v>
      </c>
      <c r="C167" s="16" t="s">
        <v>44</v>
      </c>
      <c r="D167" s="16" t="s">
        <v>32</v>
      </c>
      <c r="E167" s="16" t="s">
        <v>33</v>
      </c>
      <c r="F167" s="38" t="s">
        <v>684</v>
      </c>
      <c r="G167" s="19" t="s">
        <v>46</v>
      </c>
      <c r="H167" s="38" t="s">
        <v>685</v>
      </c>
      <c r="I167" s="17">
        <v>46134</v>
      </c>
      <c r="J167" s="16">
        <v>5</v>
      </c>
      <c r="K167" s="16" t="s">
        <v>33</v>
      </c>
      <c r="L167" s="38" t="s">
        <v>397</v>
      </c>
      <c r="M167" s="16">
        <v>18300</v>
      </c>
      <c r="N167" s="16">
        <v>16300</v>
      </c>
      <c r="O167" s="17">
        <v>46134</v>
      </c>
      <c r="P167" s="16">
        <v>2000</v>
      </c>
      <c r="Q167" s="16" t="s">
        <v>33</v>
      </c>
      <c r="R167" s="16" t="s">
        <v>37</v>
      </c>
      <c r="S167" s="16">
        <v>21500</v>
      </c>
      <c r="T167" s="16" t="s">
        <v>33</v>
      </c>
      <c r="U167" s="16" t="s">
        <v>33</v>
      </c>
      <c r="V167" s="16" t="s">
        <v>28</v>
      </c>
      <c r="W167" s="16">
        <v>3200</v>
      </c>
      <c r="X167" s="16" t="s">
        <v>36</v>
      </c>
      <c r="Y167" s="16" t="s">
        <v>29</v>
      </c>
      <c r="Z167" s="18">
        <v>17.486338797814209</v>
      </c>
      <c r="AA167" s="16"/>
      <c r="AB167" s="16"/>
    </row>
    <row r="168" spans="1:28">
      <c r="A168" s="16">
        <v>167</v>
      </c>
      <c r="B168" s="16" t="s">
        <v>30</v>
      </c>
      <c r="C168" s="16" t="s">
        <v>44</v>
      </c>
      <c r="D168" s="16" t="s">
        <v>32</v>
      </c>
      <c r="E168" s="16" t="s">
        <v>33</v>
      </c>
      <c r="F168" s="38" t="s">
        <v>331</v>
      </c>
      <c r="G168" s="19">
        <v>407</v>
      </c>
      <c r="H168" s="38" t="s">
        <v>686</v>
      </c>
      <c r="I168" s="17">
        <v>46134</v>
      </c>
      <c r="J168" s="16">
        <v>5</v>
      </c>
      <c r="K168" s="16" t="s">
        <v>33</v>
      </c>
      <c r="L168" s="38" t="s">
        <v>687</v>
      </c>
      <c r="M168" s="16">
        <v>29500</v>
      </c>
      <c r="N168" s="16">
        <v>27500</v>
      </c>
      <c r="O168" s="17">
        <v>46134</v>
      </c>
      <c r="P168" s="16">
        <v>2000</v>
      </c>
      <c r="Q168" s="16" t="s">
        <v>33</v>
      </c>
      <c r="R168" s="16" t="s">
        <v>52</v>
      </c>
      <c r="S168" s="16">
        <v>33000</v>
      </c>
      <c r="T168" s="16" t="s">
        <v>33</v>
      </c>
      <c r="U168" s="16" t="s">
        <v>33</v>
      </c>
      <c r="V168" s="16" t="s">
        <v>28</v>
      </c>
      <c r="W168" s="16">
        <v>3500</v>
      </c>
      <c r="X168" s="16" t="s">
        <v>36</v>
      </c>
      <c r="Y168" s="16" t="s">
        <v>29</v>
      </c>
      <c r="Z168" s="18">
        <v>11.864406779661017</v>
      </c>
      <c r="AA168" s="16"/>
      <c r="AB168" s="16"/>
    </row>
    <row r="169" spans="1:28">
      <c r="A169" s="16">
        <v>168</v>
      </c>
      <c r="B169" s="16" t="s">
        <v>30</v>
      </c>
      <c r="C169" s="16" t="s">
        <v>31</v>
      </c>
      <c r="D169" s="16" t="s">
        <v>32</v>
      </c>
      <c r="E169" s="16" t="s">
        <v>33</v>
      </c>
      <c r="F169" s="38" t="s">
        <v>255</v>
      </c>
      <c r="G169" s="19" t="s">
        <v>34</v>
      </c>
      <c r="H169" s="38" t="s">
        <v>688</v>
      </c>
      <c r="I169" s="17">
        <v>46134</v>
      </c>
      <c r="J169" s="16">
        <v>5</v>
      </c>
      <c r="K169" s="16" t="s">
        <v>33</v>
      </c>
      <c r="L169" s="38" t="s">
        <v>376</v>
      </c>
      <c r="M169" s="16">
        <v>19000</v>
      </c>
      <c r="N169" s="16">
        <v>17000</v>
      </c>
      <c r="O169" s="17">
        <v>46134</v>
      </c>
      <c r="P169" s="16">
        <v>2000</v>
      </c>
      <c r="Q169" s="16" t="s">
        <v>33</v>
      </c>
      <c r="R169" s="16" t="s">
        <v>39</v>
      </c>
      <c r="S169" s="16">
        <v>21800</v>
      </c>
      <c r="T169" s="16" t="s">
        <v>33</v>
      </c>
      <c r="U169" s="16" t="s">
        <v>33</v>
      </c>
      <c r="V169" s="16" t="s">
        <v>28</v>
      </c>
      <c r="W169" s="16">
        <v>2800</v>
      </c>
      <c r="X169" s="16" t="s">
        <v>36</v>
      </c>
      <c r="Y169" s="16" t="s">
        <v>29</v>
      </c>
      <c r="Z169" s="18">
        <v>14.736842105263158</v>
      </c>
      <c r="AA169" s="16"/>
      <c r="AB169" s="16"/>
    </row>
    <row r="170" spans="1:28">
      <c r="A170" s="16">
        <v>169</v>
      </c>
      <c r="B170" s="16" t="s">
        <v>30</v>
      </c>
      <c r="C170" s="16" t="s">
        <v>31</v>
      </c>
      <c r="D170" s="16" t="s">
        <v>32</v>
      </c>
      <c r="E170" s="16" t="s">
        <v>33</v>
      </c>
      <c r="F170" s="38" t="s">
        <v>419</v>
      </c>
      <c r="G170" s="19" t="s">
        <v>34</v>
      </c>
      <c r="H170" s="38" t="s">
        <v>689</v>
      </c>
      <c r="I170" s="17">
        <v>46134</v>
      </c>
      <c r="J170" s="16">
        <v>5</v>
      </c>
      <c r="K170" s="16" t="s">
        <v>33</v>
      </c>
      <c r="L170" s="38" t="s">
        <v>376</v>
      </c>
      <c r="M170" s="16">
        <v>19000</v>
      </c>
      <c r="N170" s="16">
        <v>17000</v>
      </c>
      <c r="O170" s="17">
        <v>46134</v>
      </c>
      <c r="P170" s="16">
        <v>2000</v>
      </c>
      <c r="Q170" s="16" t="s">
        <v>33</v>
      </c>
      <c r="R170" s="16" t="s">
        <v>39</v>
      </c>
      <c r="S170" s="16">
        <v>21800</v>
      </c>
      <c r="T170" s="16" t="s">
        <v>33</v>
      </c>
      <c r="U170" s="16" t="s">
        <v>33</v>
      </c>
      <c r="V170" s="16" t="s">
        <v>28</v>
      </c>
      <c r="W170" s="16">
        <v>2800</v>
      </c>
      <c r="X170" s="16" t="s">
        <v>36</v>
      </c>
      <c r="Y170" s="16" t="s">
        <v>29</v>
      </c>
      <c r="Z170" s="18">
        <v>14.736842105263158</v>
      </c>
      <c r="AA170" s="16"/>
      <c r="AB170" s="16"/>
    </row>
    <row r="171" spans="1:28">
      <c r="A171" s="16">
        <v>170</v>
      </c>
      <c r="B171" s="16" t="s">
        <v>30</v>
      </c>
      <c r="C171" s="16" t="s">
        <v>44</v>
      </c>
      <c r="D171" s="16" t="s">
        <v>32</v>
      </c>
      <c r="E171" s="16" t="s">
        <v>33</v>
      </c>
      <c r="F171" s="38" t="s">
        <v>81</v>
      </c>
      <c r="G171" s="19" t="s">
        <v>59</v>
      </c>
      <c r="H171" s="48" t="s">
        <v>690</v>
      </c>
      <c r="I171" s="17">
        <v>46134</v>
      </c>
      <c r="J171" s="16">
        <v>5</v>
      </c>
      <c r="K171" s="16" t="s">
        <v>33</v>
      </c>
      <c r="L171" s="38" t="s">
        <v>492</v>
      </c>
      <c r="M171" s="16">
        <v>23000</v>
      </c>
      <c r="N171" s="16">
        <v>23000</v>
      </c>
      <c r="O171" s="17">
        <v>46134</v>
      </c>
      <c r="P171" s="16">
        <v>0</v>
      </c>
      <c r="Q171" s="16" t="s">
        <v>33</v>
      </c>
      <c r="R171" s="16" t="s">
        <v>39</v>
      </c>
      <c r="S171" s="16">
        <v>25200</v>
      </c>
      <c r="T171" s="16" t="s">
        <v>33</v>
      </c>
      <c r="U171" s="16" t="s">
        <v>33</v>
      </c>
      <c r="V171" s="16" t="s">
        <v>28</v>
      </c>
      <c r="W171" s="16">
        <v>2200</v>
      </c>
      <c r="X171" s="16" t="s">
        <v>36</v>
      </c>
      <c r="Y171" s="16" t="s">
        <v>29</v>
      </c>
      <c r="Z171" s="18">
        <v>9.5652173913043477</v>
      </c>
      <c r="AA171" s="16"/>
      <c r="AB171" s="16"/>
    </row>
    <row r="172" spans="1:28">
      <c r="A172" s="16">
        <v>171</v>
      </c>
      <c r="B172" s="16" t="s">
        <v>30</v>
      </c>
      <c r="C172" s="16" t="s">
        <v>31</v>
      </c>
      <c r="D172" s="16" t="s">
        <v>32</v>
      </c>
      <c r="E172" s="16" t="s">
        <v>33</v>
      </c>
      <c r="F172" s="38" t="s">
        <v>465</v>
      </c>
      <c r="G172" s="19" t="s">
        <v>34</v>
      </c>
      <c r="H172" s="38" t="s">
        <v>691</v>
      </c>
      <c r="I172" s="17">
        <v>46134</v>
      </c>
      <c r="J172" s="16">
        <v>5</v>
      </c>
      <c r="K172" s="16" t="s">
        <v>33</v>
      </c>
      <c r="L172" s="38" t="s">
        <v>519</v>
      </c>
      <c r="M172" s="16">
        <v>18300</v>
      </c>
      <c r="N172" s="16">
        <v>16500</v>
      </c>
      <c r="O172" s="17">
        <v>46134</v>
      </c>
      <c r="P172" s="16">
        <v>1800</v>
      </c>
      <c r="Q172" s="16" t="s">
        <v>33</v>
      </c>
      <c r="R172" s="16" t="s">
        <v>37</v>
      </c>
      <c r="S172" s="16">
        <v>21500</v>
      </c>
      <c r="T172" s="16" t="s">
        <v>33</v>
      </c>
      <c r="U172" s="16" t="s">
        <v>33</v>
      </c>
      <c r="V172" s="16" t="s">
        <v>28</v>
      </c>
      <c r="W172" s="16">
        <v>3200</v>
      </c>
      <c r="X172" s="16" t="s">
        <v>36</v>
      </c>
      <c r="Y172" s="16" t="s">
        <v>29</v>
      </c>
      <c r="Z172" s="18">
        <v>17.486338797814209</v>
      </c>
      <c r="AA172" s="16"/>
      <c r="AB172" s="16"/>
    </row>
    <row r="173" spans="1:28">
      <c r="A173" s="16">
        <v>172</v>
      </c>
      <c r="B173" s="16" t="s">
        <v>30</v>
      </c>
      <c r="C173" s="16" t="s">
        <v>692</v>
      </c>
      <c r="D173" s="16" t="s">
        <v>32</v>
      </c>
      <c r="E173" s="16" t="s">
        <v>33</v>
      </c>
      <c r="F173" s="38" t="s">
        <v>693</v>
      </c>
      <c r="G173" s="19" t="s">
        <v>59</v>
      </c>
      <c r="H173" s="38" t="s">
        <v>694</v>
      </c>
      <c r="I173" s="17">
        <v>46134</v>
      </c>
      <c r="J173" s="16">
        <v>5</v>
      </c>
      <c r="K173" s="16" t="s">
        <v>33</v>
      </c>
      <c r="L173" s="38" t="s">
        <v>695</v>
      </c>
      <c r="M173" s="16">
        <v>65000</v>
      </c>
      <c r="N173" s="16">
        <v>60000</v>
      </c>
      <c r="O173" s="17">
        <v>46134</v>
      </c>
      <c r="P173" s="16">
        <v>5000</v>
      </c>
      <c r="Q173" s="16" t="s">
        <v>33</v>
      </c>
      <c r="R173" s="16" t="s">
        <v>112</v>
      </c>
      <c r="S173" s="16">
        <v>74000</v>
      </c>
      <c r="T173" s="16" t="s">
        <v>33</v>
      </c>
      <c r="U173" s="16" t="s">
        <v>33</v>
      </c>
      <c r="V173" s="16" t="s">
        <v>28</v>
      </c>
      <c r="W173" s="16">
        <v>9000</v>
      </c>
      <c r="X173" s="16" t="s">
        <v>36</v>
      </c>
      <c r="Y173" s="16" t="s">
        <v>29</v>
      </c>
      <c r="Z173" s="18">
        <v>13.846153846153847</v>
      </c>
      <c r="AA173" s="16"/>
      <c r="AB173" s="16"/>
    </row>
    <row r="174" spans="1:28">
      <c r="A174" s="16">
        <v>173</v>
      </c>
      <c r="B174" s="16" t="s">
        <v>30</v>
      </c>
      <c r="C174" s="16" t="s">
        <v>31</v>
      </c>
      <c r="D174" s="16" t="s">
        <v>32</v>
      </c>
      <c r="E174" s="16" t="s">
        <v>33</v>
      </c>
      <c r="F174" s="38" t="s">
        <v>696</v>
      </c>
      <c r="G174" s="19" t="s">
        <v>34</v>
      </c>
      <c r="H174" s="38" t="s">
        <v>697</v>
      </c>
      <c r="I174" s="17">
        <v>46134</v>
      </c>
      <c r="J174" s="16">
        <v>5</v>
      </c>
      <c r="K174" s="16" t="s">
        <v>33</v>
      </c>
      <c r="L174" s="38" t="s">
        <v>698</v>
      </c>
      <c r="M174" s="16">
        <v>18000</v>
      </c>
      <c r="N174" s="16">
        <v>16000</v>
      </c>
      <c r="O174" s="17">
        <v>46134</v>
      </c>
      <c r="P174" s="16">
        <v>2000</v>
      </c>
      <c r="Q174" s="16" t="s">
        <v>33</v>
      </c>
      <c r="R174" s="16" t="s">
        <v>56</v>
      </c>
      <c r="S174" s="16">
        <v>20500</v>
      </c>
      <c r="T174" s="16" t="s">
        <v>33</v>
      </c>
      <c r="U174" s="16" t="s">
        <v>33</v>
      </c>
      <c r="V174" s="16" t="s">
        <v>28</v>
      </c>
      <c r="W174" s="16">
        <v>2500</v>
      </c>
      <c r="X174" s="16" t="s">
        <v>36</v>
      </c>
      <c r="Y174" s="16" t="s">
        <v>29</v>
      </c>
      <c r="Z174" s="18">
        <v>13.888888888888889</v>
      </c>
      <c r="AA174" s="16"/>
      <c r="AB174" s="16"/>
    </row>
    <row r="175" spans="1:28">
      <c r="A175" s="16">
        <v>174</v>
      </c>
      <c r="B175" s="16" t="s">
        <v>30</v>
      </c>
      <c r="C175" s="16" t="s">
        <v>31</v>
      </c>
      <c r="D175" s="16" t="s">
        <v>32</v>
      </c>
      <c r="E175" s="16" t="s">
        <v>33</v>
      </c>
      <c r="F175" s="38" t="s">
        <v>699</v>
      </c>
      <c r="G175" s="19" t="s">
        <v>34</v>
      </c>
      <c r="H175" s="38" t="s">
        <v>700</v>
      </c>
      <c r="I175" s="17">
        <v>46134</v>
      </c>
      <c r="J175" s="16">
        <v>5</v>
      </c>
      <c r="K175" s="16" t="s">
        <v>33</v>
      </c>
      <c r="L175" s="38" t="s">
        <v>355</v>
      </c>
      <c r="M175" s="16">
        <v>19000</v>
      </c>
      <c r="N175" s="16">
        <v>17000</v>
      </c>
      <c r="O175" s="17">
        <v>46134</v>
      </c>
      <c r="P175" s="16">
        <v>2000</v>
      </c>
      <c r="Q175" s="16" t="s">
        <v>33</v>
      </c>
      <c r="R175" s="16" t="s">
        <v>39</v>
      </c>
      <c r="S175" s="16">
        <v>21800</v>
      </c>
      <c r="T175" s="16" t="s">
        <v>33</v>
      </c>
      <c r="U175" s="16" t="s">
        <v>33</v>
      </c>
      <c r="V175" s="16" t="s">
        <v>28</v>
      </c>
      <c r="W175" s="16">
        <v>2800</v>
      </c>
      <c r="X175" s="16" t="s">
        <v>36</v>
      </c>
      <c r="Y175" s="16" t="s">
        <v>29</v>
      </c>
      <c r="Z175" s="18">
        <v>14.736842105263158</v>
      </c>
      <c r="AA175" s="16"/>
      <c r="AB175" s="16"/>
    </row>
    <row r="176" spans="1:28">
      <c r="A176" s="16">
        <v>175</v>
      </c>
      <c r="B176" s="16" t="s">
        <v>30</v>
      </c>
      <c r="C176" s="16" t="s">
        <v>31</v>
      </c>
      <c r="D176" s="16" t="s">
        <v>32</v>
      </c>
      <c r="E176" s="16" t="s">
        <v>33</v>
      </c>
      <c r="F176" s="38" t="s">
        <v>709</v>
      </c>
      <c r="G176" s="19" t="s">
        <v>34</v>
      </c>
      <c r="H176" s="38" t="s">
        <v>710</v>
      </c>
      <c r="I176" s="17">
        <v>46134</v>
      </c>
      <c r="J176" s="16">
        <v>5</v>
      </c>
      <c r="K176" s="16" t="s">
        <v>33</v>
      </c>
      <c r="L176" s="38" t="s">
        <v>698</v>
      </c>
      <c r="M176" s="16">
        <v>18000</v>
      </c>
      <c r="N176" s="16">
        <v>16000</v>
      </c>
      <c r="O176" s="17">
        <v>46135</v>
      </c>
      <c r="P176" s="16">
        <v>2000</v>
      </c>
      <c r="Q176" s="16" t="s">
        <v>33</v>
      </c>
      <c r="R176" s="16" t="s">
        <v>56</v>
      </c>
      <c r="S176" s="16">
        <v>20500</v>
      </c>
      <c r="T176" s="16" t="s">
        <v>33</v>
      </c>
      <c r="U176" s="16" t="s">
        <v>33</v>
      </c>
      <c r="V176" s="16" t="s">
        <v>28</v>
      </c>
      <c r="W176" s="16">
        <v>2500</v>
      </c>
      <c r="X176" s="16" t="s">
        <v>36</v>
      </c>
      <c r="Y176" s="16" t="s">
        <v>29</v>
      </c>
      <c r="Z176" s="18">
        <v>13.888888888888889</v>
      </c>
      <c r="AA176" s="16"/>
      <c r="AB176" s="16"/>
    </row>
    <row r="177" spans="1:28">
      <c r="A177" s="16">
        <v>176</v>
      </c>
      <c r="B177" s="16" t="s">
        <v>30</v>
      </c>
      <c r="C177" s="16" t="s">
        <v>31</v>
      </c>
      <c r="D177" s="16" t="s">
        <v>32</v>
      </c>
      <c r="E177" s="16" t="s">
        <v>33</v>
      </c>
      <c r="F177" s="38" t="s">
        <v>707</v>
      </c>
      <c r="G177" s="19" t="s">
        <v>34</v>
      </c>
      <c r="H177" s="38" t="s">
        <v>708</v>
      </c>
      <c r="I177" s="17">
        <v>46134</v>
      </c>
      <c r="J177" s="16">
        <v>5</v>
      </c>
      <c r="K177" s="16" t="s">
        <v>33</v>
      </c>
      <c r="L177" s="38" t="s">
        <v>355</v>
      </c>
      <c r="M177" s="16">
        <v>18300</v>
      </c>
      <c r="N177" s="16">
        <v>16500</v>
      </c>
      <c r="O177" s="17">
        <v>46135</v>
      </c>
      <c r="P177" s="16">
        <v>1800</v>
      </c>
      <c r="Q177" s="16" t="s">
        <v>33</v>
      </c>
      <c r="R177" s="16" t="s">
        <v>39</v>
      </c>
      <c r="S177" s="16">
        <v>21500</v>
      </c>
      <c r="T177" s="16" t="s">
        <v>33</v>
      </c>
      <c r="U177" s="16" t="s">
        <v>33</v>
      </c>
      <c r="V177" s="16" t="s">
        <v>28</v>
      </c>
      <c r="W177" s="16">
        <v>3200</v>
      </c>
      <c r="X177" s="16" t="s">
        <v>36</v>
      </c>
      <c r="Y177" s="16" t="s">
        <v>29</v>
      </c>
      <c r="Z177" s="18">
        <v>17.486338797814209</v>
      </c>
      <c r="AA177" s="16"/>
      <c r="AB177" s="16"/>
    </row>
    <row r="178" spans="1:28">
      <c r="A178" s="16">
        <v>177</v>
      </c>
      <c r="B178" s="16" t="s">
        <v>30</v>
      </c>
      <c r="C178" s="16" t="s">
        <v>227</v>
      </c>
      <c r="D178" s="16" t="s">
        <v>32</v>
      </c>
      <c r="E178" s="16" t="s">
        <v>33</v>
      </c>
      <c r="F178" s="38" t="s">
        <v>228</v>
      </c>
      <c r="G178" s="19" t="s">
        <v>34</v>
      </c>
      <c r="H178" s="38" t="s">
        <v>711</v>
      </c>
      <c r="I178" s="17">
        <v>46134</v>
      </c>
      <c r="J178" s="16">
        <v>5</v>
      </c>
      <c r="K178" s="16" t="s">
        <v>33</v>
      </c>
      <c r="L178" s="38" t="s">
        <v>229</v>
      </c>
      <c r="M178" s="16">
        <v>17800</v>
      </c>
      <c r="N178" s="16">
        <v>15800</v>
      </c>
      <c r="O178" s="17">
        <v>46135</v>
      </c>
      <c r="P178" s="16">
        <v>2000</v>
      </c>
      <c r="Q178" s="16" t="s">
        <v>33</v>
      </c>
      <c r="R178" s="16" t="s">
        <v>112</v>
      </c>
      <c r="S178" s="16">
        <v>20050</v>
      </c>
      <c r="T178" s="16" t="s">
        <v>33</v>
      </c>
      <c r="U178" s="16" t="s">
        <v>33</v>
      </c>
      <c r="V178" s="16" t="s">
        <v>28</v>
      </c>
      <c r="W178" s="16">
        <v>2250</v>
      </c>
      <c r="X178" s="16" t="s">
        <v>36</v>
      </c>
      <c r="Y178" s="16" t="s">
        <v>29</v>
      </c>
      <c r="Z178" s="18">
        <v>12.640449438202246</v>
      </c>
      <c r="AA178" s="16"/>
      <c r="AB178" s="16" t="s">
        <v>320</v>
      </c>
    </row>
    <row r="179" spans="1:28">
      <c r="A179" s="16">
        <v>178</v>
      </c>
      <c r="B179" s="16" t="s">
        <v>30</v>
      </c>
      <c r="C179" s="16" t="s">
        <v>31</v>
      </c>
      <c r="D179" s="16" t="s">
        <v>32</v>
      </c>
      <c r="E179" s="16" t="s">
        <v>33</v>
      </c>
      <c r="F179" s="38" t="s">
        <v>712</v>
      </c>
      <c r="G179" s="19" t="s">
        <v>34</v>
      </c>
      <c r="H179" s="38" t="s">
        <v>713</v>
      </c>
      <c r="I179" s="17">
        <v>46134</v>
      </c>
      <c r="J179" s="16">
        <v>5</v>
      </c>
      <c r="K179" s="16" t="s">
        <v>33</v>
      </c>
      <c r="L179" s="38" t="s">
        <v>355</v>
      </c>
      <c r="M179" s="16">
        <v>19000</v>
      </c>
      <c r="N179" s="16">
        <v>17000</v>
      </c>
      <c r="O179" s="17">
        <v>46135</v>
      </c>
      <c r="P179" s="16">
        <v>2000</v>
      </c>
      <c r="Q179" s="16" t="s">
        <v>33</v>
      </c>
      <c r="R179" s="16" t="s">
        <v>39</v>
      </c>
      <c r="S179" s="16">
        <v>21800</v>
      </c>
      <c r="T179" s="16" t="s">
        <v>33</v>
      </c>
      <c r="U179" s="16" t="s">
        <v>33</v>
      </c>
      <c r="V179" s="16" t="s">
        <v>28</v>
      </c>
      <c r="W179" s="16">
        <v>2800</v>
      </c>
      <c r="X179" s="16" t="s">
        <v>36</v>
      </c>
      <c r="Y179" s="16" t="s">
        <v>29</v>
      </c>
      <c r="Z179" s="18">
        <v>14.736842105263158</v>
      </c>
      <c r="AA179" s="16"/>
      <c r="AB179" s="16"/>
    </row>
    <row r="180" spans="1:28">
      <c r="A180" s="16">
        <v>179</v>
      </c>
      <c r="B180" s="16" t="s">
        <v>30</v>
      </c>
      <c r="C180" s="16" t="s">
        <v>31</v>
      </c>
      <c r="D180" s="16" t="s">
        <v>32</v>
      </c>
      <c r="E180" s="16" t="s">
        <v>33</v>
      </c>
      <c r="F180" s="38" t="s">
        <v>85</v>
      </c>
      <c r="G180" s="19" t="s">
        <v>34</v>
      </c>
      <c r="H180" s="38" t="s">
        <v>714</v>
      </c>
      <c r="I180" s="17">
        <v>46134</v>
      </c>
      <c r="J180" s="16">
        <v>5</v>
      </c>
      <c r="K180" s="16" t="s">
        <v>33</v>
      </c>
      <c r="L180" s="38" t="s">
        <v>698</v>
      </c>
      <c r="M180" s="16">
        <v>18000</v>
      </c>
      <c r="N180" s="16">
        <v>16000</v>
      </c>
      <c r="O180" s="17">
        <v>46135</v>
      </c>
      <c r="P180" s="16">
        <v>2000</v>
      </c>
      <c r="Q180" s="16" t="s">
        <v>33</v>
      </c>
      <c r="R180" s="16" t="s">
        <v>56</v>
      </c>
      <c r="S180" s="16">
        <v>20500</v>
      </c>
      <c r="T180" s="16" t="s">
        <v>33</v>
      </c>
      <c r="U180" s="16" t="s">
        <v>33</v>
      </c>
      <c r="V180" s="16" t="s">
        <v>28</v>
      </c>
      <c r="W180" s="16">
        <v>2500</v>
      </c>
      <c r="X180" s="16" t="s">
        <v>36</v>
      </c>
      <c r="Y180" s="16" t="s">
        <v>29</v>
      </c>
      <c r="Z180" s="18">
        <v>13.888888888888889</v>
      </c>
      <c r="AA180" s="16"/>
      <c r="AB180" s="16"/>
    </row>
    <row r="181" spans="1:28">
      <c r="A181" s="16">
        <v>180</v>
      </c>
      <c r="B181" s="16" t="s">
        <v>30</v>
      </c>
      <c r="C181" s="16" t="s">
        <v>44</v>
      </c>
      <c r="D181" s="16" t="s">
        <v>32</v>
      </c>
      <c r="E181" s="16" t="s">
        <v>33</v>
      </c>
      <c r="F181" s="38" t="s">
        <v>211</v>
      </c>
      <c r="G181" s="19">
        <v>407</v>
      </c>
      <c r="H181" s="38" t="s">
        <v>715</v>
      </c>
      <c r="I181" s="17">
        <v>46134</v>
      </c>
      <c r="J181" s="16">
        <v>5</v>
      </c>
      <c r="K181" s="16" t="s">
        <v>33</v>
      </c>
      <c r="L181" s="38" t="s">
        <v>543</v>
      </c>
      <c r="M181" s="16">
        <v>28000</v>
      </c>
      <c r="N181" s="16">
        <v>25000</v>
      </c>
      <c r="O181" s="17">
        <v>46135</v>
      </c>
      <c r="P181" s="16">
        <v>3000</v>
      </c>
      <c r="Q181" s="16" t="s">
        <v>33</v>
      </c>
      <c r="R181" s="16" t="s">
        <v>56</v>
      </c>
      <c r="S181" s="16">
        <v>30800</v>
      </c>
      <c r="T181" s="16" t="s">
        <v>33</v>
      </c>
      <c r="U181" s="16" t="s">
        <v>33</v>
      </c>
      <c r="V181" s="16" t="s">
        <v>28</v>
      </c>
      <c r="W181" s="16">
        <v>2800</v>
      </c>
      <c r="X181" s="16" t="s">
        <v>36</v>
      </c>
      <c r="Y181" s="16" t="s">
        <v>29</v>
      </c>
      <c r="Z181" s="18">
        <v>10</v>
      </c>
      <c r="AA181" s="16"/>
      <c r="AB181" s="16"/>
    </row>
    <row r="182" spans="1:28">
      <c r="A182" s="16">
        <v>181</v>
      </c>
      <c r="B182" s="16" t="s">
        <v>30</v>
      </c>
      <c r="C182" s="16" t="s">
        <v>94</v>
      </c>
      <c r="D182" s="16" t="s">
        <v>32</v>
      </c>
      <c r="E182" s="16" t="s">
        <v>33</v>
      </c>
      <c r="F182" s="38" t="s">
        <v>95</v>
      </c>
      <c r="G182" s="19" t="s">
        <v>67</v>
      </c>
      <c r="H182" s="38" t="s">
        <v>716</v>
      </c>
      <c r="I182" s="17">
        <v>46135</v>
      </c>
      <c r="J182" s="16">
        <v>4</v>
      </c>
      <c r="K182" s="16" t="s">
        <v>33</v>
      </c>
      <c r="L182" s="38" t="s">
        <v>188</v>
      </c>
      <c r="M182" s="16">
        <v>41500</v>
      </c>
      <c r="N182" s="16">
        <v>35500</v>
      </c>
      <c r="O182" s="17">
        <v>46135</v>
      </c>
      <c r="P182" s="16">
        <v>6000</v>
      </c>
      <c r="Q182" s="16" t="s">
        <v>33</v>
      </c>
      <c r="R182" s="16" t="s">
        <v>174</v>
      </c>
      <c r="S182" s="16">
        <v>47000</v>
      </c>
      <c r="T182" s="16" t="s">
        <v>33</v>
      </c>
      <c r="U182" s="16" t="s">
        <v>33</v>
      </c>
      <c r="V182" s="16" t="s">
        <v>28</v>
      </c>
      <c r="W182" s="16">
        <v>5500</v>
      </c>
      <c r="X182" s="16" t="s">
        <v>36</v>
      </c>
      <c r="Y182" s="16" t="s">
        <v>29</v>
      </c>
      <c r="Z182" s="18">
        <v>13.253012048192771</v>
      </c>
      <c r="AA182" s="16"/>
      <c r="AB182" s="16" t="s">
        <v>320</v>
      </c>
    </row>
    <row r="183" spans="1:28">
      <c r="A183" s="16">
        <v>182</v>
      </c>
      <c r="B183" s="16" t="s">
        <v>30</v>
      </c>
      <c r="C183" s="16" t="s">
        <v>31</v>
      </c>
      <c r="D183" s="16" t="s">
        <v>32</v>
      </c>
      <c r="E183" s="16" t="s">
        <v>33</v>
      </c>
      <c r="F183" s="38" t="s">
        <v>221</v>
      </c>
      <c r="G183" s="19" t="s">
        <v>34</v>
      </c>
      <c r="H183" s="38" t="s">
        <v>717</v>
      </c>
      <c r="I183" s="17">
        <v>46135</v>
      </c>
      <c r="J183" s="16">
        <v>4</v>
      </c>
      <c r="K183" s="16" t="s">
        <v>33</v>
      </c>
      <c r="L183" s="38" t="s">
        <v>355</v>
      </c>
      <c r="M183" s="16">
        <v>19000</v>
      </c>
      <c r="N183" s="16">
        <v>17000</v>
      </c>
      <c r="O183" s="17">
        <v>46135</v>
      </c>
      <c r="P183" s="16">
        <v>2000</v>
      </c>
      <c r="Q183" s="16" t="s">
        <v>33</v>
      </c>
      <c r="R183" s="16" t="s">
        <v>39</v>
      </c>
      <c r="S183" s="16">
        <v>21800</v>
      </c>
      <c r="T183" s="16" t="s">
        <v>33</v>
      </c>
      <c r="U183" s="16" t="s">
        <v>33</v>
      </c>
      <c r="V183" s="16" t="s">
        <v>28</v>
      </c>
      <c r="W183" s="16">
        <v>2800</v>
      </c>
      <c r="X183" s="16" t="s">
        <v>36</v>
      </c>
      <c r="Y183" s="16" t="s">
        <v>29</v>
      </c>
      <c r="Z183" s="18">
        <v>14.736842105263158</v>
      </c>
      <c r="AA183" s="16"/>
      <c r="AB183" s="16"/>
    </row>
    <row r="184" spans="1:28">
      <c r="A184" s="16">
        <v>183</v>
      </c>
      <c r="B184" s="16" t="s">
        <v>30</v>
      </c>
      <c r="C184" s="16" t="s">
        <v>31</v>
      </c>
      <c r="D184" s="16" t="s">
        <v>32</v>
      </c>
      <c r="E184" s="16" t="s">
        <v>33</v>
      </c>
      <c r="F184" s="38" t="s">
        <v>718</v>
      </c>
      <c r="G184" s="19" t="s">
        <v>34</v>
      </c>
      <c r="H184" s="38" t="s">
        <v>719</v>
      </c>
      <c r="I184" s="17">
        <v>46135</v>
      </c>
      <c r="J184" s="16">
        <v>4</v>
      </c>
      <c r="K184" s="16" t="s">
        <v>33</v>
      </c>
      <c r="L184" s="38" t="s">
        <v>270</v>
      </c>
      <c r="M184" s="16">
        <v>18300</v>
      </c>
      <c r="N184" s="16">
        <v>16500</v>
      </c>
      <c r="O184" s="17">
        <v>46135</v>
      </c>
      <c r="P184" s="16">
        <v>1800</v>
      </c>
      <c r="Q184" s="16" t="s">
        <v>33</v>
      </c>
      <c r="R184" s="16" t="s">
        <v>37</v>
      </c>
      <c r="S184" s="16">
        <v>21500</v>
      </c>
      <c r="T184" s="16" t="s">
        <v>33</v>
      </c>
      <c r="U184" s="16" t="s">
        <v>33</v>
      </c>
      <c r="V184" s="16" t="s">
        <v>28</v>
      </c>
      <c r="W184" s="16">
        <v>3200</v>
      </c>
      <c r="X184" s="16" t="s">
        <v>36</v>
      </c>
      <c r="Y184" s="16" t="s">
        <v>29</v>
      </c>
      <c r="Z184" s="18">
        <v>17.486338797814209</v>
      </c>
      <c r="AA184" s="16"/>
      <c r="AB184" s="16"/>
    </row>
    <row r="185" spans="1:28">
      <c r="A185" s="16">
        <v>184</v>
      </c>
      <c r="B185" s="16" t="s">
        <v>30</v>
      </c>
      <c r="C185" s="16" t="s">
        <v>31</v>
      </c>
      <c r="D185" s="16" t="s">
        <v>32</v>
      </c>
      <c r="E185" s="16" t="s">
        <v>33</v>
      </c>
      <c r="F185" s="38" t="s">
        <v>720</v>
      </c>
      <c r="G185" s="19" t="s">
        <v>34</v>
      </c>
      <c r="H185" s="38" t="s">
        <v>721</v>
      </c>
      <c r="I185" s="17">
        <v>46135</v>
      </c>
      <c r="J185" s="16">
        <v>4</v>
      </c>
      <c r="K185" s="16" t="s">
        <v>33</v>
      </c>
      <c r="L185" s="38" t="s">
        <v>273</v>
      </c>
      <c r="M185" s="16">
        <v>18000</v>
      </c>
      <c r="N185" s="16">
        <v>16000</v>
      </c>
      <c r="O185" s="17">
        <v>46135</v>
      </c>
      <c r="P185" s="16">
        <v>2000</v>
      </c>
      <c r="Q185" s="16" t="s">
        <v>33</v>
      </c>
      <c r="R185" s="16" t="s">
        <v>56</v>
      </c>
      <c r="S185" s="16">
        <v>20500</v>
      </c>
      <c r="T185" s="16" t="s">
        <v>33</v>
      </c>
      <c r="U185" s="16" t="s">
        <v>33</v>
      </c>
      <c r="V185" s="16" t="s">
        <v>28</v>
      </c>
      <c r="W185" s="16">
        <v>2500</v>
      </c>
      <c r="X185" s="16" t="s">
        <v>36</v>
      </c>
      <c r="Y185" s="16" t="s">
        <v>29</v>
      </c>
      <c r="Z185" s="18">
        <v>13.888888888888889</v>
      </c>
      <c r="AA185" s="16"/>
      <c r="AB185" s="16"/>
    </row>
    <row r="186" spans="1:28">
      <c r="A186" s="16">
        <v>185</v>
      </c>
      <c r="B186" s="16" t="s">
        <v>30</v>
      </c>
      <c r="C186" s="16" t="s">
        <v>44</v>
      </c>
      <c r="D186" s="16" t="s">
        <v>32</v>
      </c>
      <c r="E186" s="16" t="s">
        <v>33</v>
      </c>
      <c r="F186" s="38" t="s">
        <v>722</v>
      </c>
      <c r="G186" s="19">
        <v>407</v>
      </c>
      <c r="H186" s="38" t="s">
        <v>723</v>
      </c>
      <c r="I186" s="17">
        <v>46135</v>
      </c>
      <c r="J186" s="16">
        <v>4</v>
      </c>
      <c r="K186" s="16" t="s">
        <v>33</v>
      </c>
      <c r="L186" s="38" t="s">
        <v>687</v>
      </c>
      <c r="M186" s="16">
        <v>29500</v>
      </c>
      <c r="N186" s="16">
        <v>27500</v>
      </c>
      <c r="O186" s="17">
        <v>46135</v>
      </c>
      <c r="P186" s="16">
        <v>2000</v>
      </c>
      <c r="Q186" s="16" t="s">
        <v>33</v>
      </c>
      <c r="R186" s="16" t="s">
        <v>52</v>
      </c>
      <c r="S186" s="16">
        <v>33000</v>
      </c>
      <c r="T186" s="16" t="s">
        <v>33</v>
      </c>
      <c r="U186" s="16" t="s">
        <v>33</v>
      </c>
      <c r="V186" s="16" t="s">
        <v>28</v>
      </c>
      <c r="W186" s="16">
        <v>3500</v>
      </c>
      <c r="X186" s="16" t="s">
        <v>36</v>
      </c>
      <c r="Y186" s="16" t="s">
        <v>29</v>
      </c>
      <c r="Z186" s="18">
        <v>11.864406779661017</v>
      </c>
      <c r="AA186" s="16"/>
      <c r="AB186" s="16"/>
    </row>
    <row r="187" spans="1:28">
      <c r="A187" s="16">
        <v>186</v>
      </c>
      <c r="B187" s="16" t="s">
        <v>30</v>
      </c>
      <c r="C187" s="16" t="s">
        <v>31</v>
      </c>
      <c r="D187" s="16" t="s">
        <v>32</v>
      </c>
      <c r="E187" s="16" t="s">
        <v>33</v>
      </c>
      <c r="F187" s="38" t="s">
        <v>256</v>
      </c>
      <c r="G187" s="19" t="s">
        <v>34</v>
      </c>
      <c r="H187" s="38" t="s">
        <v>724</v>
      </c>
      <c r="I187" s="17">
        <v>46135</v>
      </c>
      <c r="J187" s="16">
        <v>4</v>
      </c>
      <c r="K187" s="16" t="s">
        <v>33</v>
      </c>
      <c r="L187" s="38" t="s">
        <v>355</v>
      </c>
      <c r="M187" s="16">
        <v>19000</v>
      </c>
      <c r="N187" s="16">
        <v>17000</v>
      </c>
      <c r="O187" s="17">
        <v>46135</v>
      </c>
      <c r="P187" s="16">
        <v>2000</v>
      </c>
      <c r="Q187" s="16" t="s">
        <v>33</v>
      </c>
      <c r="R187" s="16" t="s">
        <v>39</v>
      </c>
      <c r="S187" s="16">
        <v>21800</v>
      </c>
      <c r="T187" s="16" t="s">
        <v>33</v>
      </c>
      <c r="U187" s="16" t="s">
        <v>33</v>
      </c>
      <c r="V187" s="16" t="s">
        <v>28</v>
      </c>
      <c r="W187" s="16">
        <v>2800</v>
      </c>
      <c r="X187" s="16" t="s">
        <v>36</v>
      </c>
      <c r="Y187" s="16" t="s">
        <v>29</v>
      </c>
      <c r="Z187" s="18">
        <v>14.736842105263158</v>
      </c>
      <c r="AA187" s="16"/>
      <c r="AB187" s="16"/>
    </row>
    <row r="188" spans="1:28">
      <c r="A188" s="16">
        <v>187</v>
      </c>
      <c r="B188" s="16" t="s">
        <v>30</v>
      </c>
      <c r="C188" s="16" t="s">
        <v>44</v>
      </c>
      <c r="D188" s="16" t="s">
        <v>32</v>
      </c>
      <c r="E188" s="16" t="s">
        <v>33</v>
      </c>
      <c r="F188" s="38" t="s">
        <v>281</v>
      </c>
      <c r="G188" s="19">
        <v>407</v>
      </c>
      <c r="H188" s="38" t="s">
        <v>725</v>
      </c>
      <c r="I188" s="17">
        <v>46135</v>
      </c>
      <c r="J188" s="16">
        <v>4</v>
      </c>
      <c r="K188" s="16" t="s">
        <v>33</v>
      </c>
      <c r="L188" s="38" t="s">
        <v>381</v>
      </c>
      <c r="M188" s="16">
        <v>27000</v>
      </c>
      <c r="N188" s="16">
        <v>25000</v>
      </c>
      <c r="O188" s="17">
        <v>46135</v>
      </c>
      <c r="P188" s="16">
        <v>2000</v>
      </c>
      <c r="Q188" s="16" t="s">
        <v>33</v>
      </c>
      <c r="R188" s="16" t="s">
        <v>78</v>
      </c>
      <c r="S188" s="16">
        <v>29800</v>
      </c>
      <c r="T188" s="16" t="s">
        <v>33</v>
      </c>
      <c r="U188" s="16" t="s">
        <v>33</v>
      </c>
      <c r="V188" s="16" t="s">
        <v>28</v>
      </c>
      <c r="W188" s="16">
        <v>2800</v>
      </c>
      <c r="X188" s="16" t="s">
        <v>36</v>
      </c>
      <c r="Y188" s="16" t="s">
        <v>29</v>
      </c>
      <c r="Z188" s="18">
        <v>10.37037037037037</v>
      </c>
      <c r="AA188" s="16"/>
      <c r="AB188" s="16"/>
    </row>
    <row r="189" spans="1:28">
      <c r="A189" s="16">
        <v>188</v>
      </c>
      <c r="B189" s="16" t="s">
        <v>30</v>
      </c>
      <c r="C189" s="16" t="s">
        <v>216</v>
      </c>
      <c r="D189" s="16" t="s">
        <v>32</v>
      </c>
      <c r="E189" s="16" t="s">
        <v>33</v>
      </c>
      <c r="F189" s="38" t="s">
        <v>218</v>
      </c>
      <c r="G189" s="19" t="s">
        <v>50</v>
      </c>
      <c r="H189" s="38" t="s">
        <v>726</v>
      </c>
      <c r="I189" s="17">
        <v>46135</v>
      </c>
      <c r="J189" s="16">
        <v>4</v>
      </c>
      <c r="K189" s="16" t="s">
        <v>33</v>
      </c>
      <c r="L189" s="38" t="s">
        <v>219</v>
      </c>
      <c r="M189" s="16">
        <v>47000</v>
      </c>
      <c r="N189" s="16">
        <v>40000</v>
      </c>
      <c r="O189" s="17">
        <v>46135</v>
      </c>
      <c r="P189" s="16">
        <v>7000</v>
      </c>
      <c r="Q189" s="16" t="s">
        <v>33</v>
      </c>
      <c r="R189" s="16" t="s">
        <v>52</v>
      </c>
      <c r="S189" s="16">
        <v>53000</v>
      </c>
      <c r="T189" s="16" t="s">
        <v>33</v>
      </c>
      <c r="U189" s="16" t="s">
        <v>33</v>
      </c>
      <c r="V189" s="16" t="s">
        <v>28</v>
      </c>
      <c r="W189" s="16">
        <v>6000</v>
      </c>
      <c r="X189" s="16" t="s">
        <v>36</v>
      </c>
      <c r="Y189" s="16" t="s">
        <v>29</v>
      </c>
      <c r="Z189" s="18">
        <v>12.76595744680851</v>
      </c>
      <c r="AA189" s="16"/>
      <c r="AB189" s="16" t="s">
        <v>320</v>
      </c>
    </row>
    <row r="190" spans="1:28">
      <c r="A190" s="16">
        <v>189</v>
      </c>
      <c r="B190" s="16" t="s">
        <v>30</v>
      </c>
      <c r="C190" s="16" t="s">
        <v>44</v>
      </c>
      <c r="D190" s="16" t="s">
        <v>32</v>
      </c>
      <c r="E190" s="16" t="s">
        <v>33</v>
      </c>
      <c r="F190" s="38" t="s">
        <v>730</v>
      </c>
      <c r="G190" s="19">
        <v>407</v>
      </c>
      <c r="H190" s="38" t="s">
        <v>731</v>
      </c>
      <c r="I190" s="17">
        <v>46135</v>
      </c>
      <c r="J190" s="16">
        <v>4</v>
      </c>
      <c r="K190" s="16" t="s">
        <v>33</v>
      </c>
      <c r="L190" s="38" t="s">
        <v>687</v>
      </c>
      <c r="M190" s="16">
        <v>29500</v>
      </c>
      <c r="N190" s="16">
        <v>27500</v>
      </c>
      <c r="O190" s="17">
        <v>46135</v>
      </c>
      <c r="P190" s="16">
        <v>2000</v>
      </c>
      <c r="Q190" s="16" t="s">
        <v>33</v>
      </c>
      <c r="R190" s="16" t="s">
        <v>37</v>
      </c>
      <c r="S190" s="16">
        <v>33000</v>
      </c>
      <c r="T190" s="16" t="s">
        <v>33</v>
      </c>
      <c r="U190" s="16" t="s">
        <v>33</v>
      </c>
      <c r="V190" s="16" t="s">
        <v>28</v>
      </c>
      <c r="W190" s="16">
        <v>3500</v>
      </c>
      <c r="X190" s="16" t="s">
        <v>36</v>
      </c>
      <c r="Y190" s="16" t="s">
        <v>29</v>
      </c>
      <c r="Z190" s="18">
        <v>11.864406779661017</v>
      </c>
      <c r="AA190" s="16"/>
      <c r="AB190" s="16"/>
    </row>
    <row r="191" spans="1:28">
      <c r="A191" s="16">
        <v>190</v>
      </c>
      <c r="B191" s="16" t="s">
        <v>30</v>
      </c>
      <c r="C191" s="16" t="s">
        <v>44</v>
      </c>
      <c r="D191" s="16" t="s">
        <v>32</v>
      </c>
      <c r="E191" s="16" t="s">
        <v>33</v>
      </c>
      <c r="F191" s="38" t="s">
        <v>186</v>
      </c>
      <c r="G191" s="19">
        <v>407</v>
      </c>
      <c r="H191" s="38" t="s">
        <v>732</v>
      </c>
      <c r="I191" s="17">
        <v>46133</v>
      </c>
      <c r="J191" s="16">
        <v>6</v>
      </c>
      <c r="K191" s="16" t="s">
        <v>33</v>
      </c>
      <c r="L191" s="38" t="s">
        <v>187</v>
      </c>
      <c r="M191" s="16">
        <v>21500</v>
      </c>
      <c r="N191" s="16">
        <v>21500</v>
      </c>
      <c r="O191" s="17">
        <v>46135</v>
      </c>
      <c r="P191" s="16">
        <v>0</v>
      </c>
      <c r="Q191" s="16" t="s">
        <v>33</v>
      </c>
      <c r="R191" s="16" t="s">
        <v>78</v>
      </c>
      <c r="S191" s="16">
        <v>25500</v>
      </c>
      <c r="T191" s="16" t="s">
        <v>33</v>
      </c>
      <c r="U191" s="16" t="s">
        <v>33</v>
      </c>
      <c r="V191" s="16" t="s">
        <v>28</v>
      </c>
      <c r="W191" s="16">
        <v>4000</v>
      </c>
      <c r="X191" s="16" t="s">
        <v>36</v>
      </c>
      <c r="Y191" s="16" t="s">
        <v>29</v>
      </c>
      <c r="Z191" s="18">
        <v>18.604651162790699</v>
      </c>
      <c r="AA191" s="16"/>
      <c r="AB191" s="16"/>
    </row>
    <row r="192" spans="1:28">
      <c r="A192" s="16">
        <v>191</v>
      </c>
      <c r="B192" s="16" t="s">
        <v>30</v>
      </c>
      <c r="C192" s="16" t="s">
        <v>31</v>
      </c>
      <c r="D192" s="16" t="s">
        <v>32</v>
      </c>
      <c r="E192" s="16" t="s">
        <v>33</v>
      </c>
      <c r="F192" s="38" t="s">
        <v>147</v>
      </c>
      <c r="G192" s="19" t="s">
        <v>34</v>
      </c>
      <c r="H192" s="38" t="s">
        <v>733</v>
      </c>
      <c r="I192" s="17">
        <v>46135</v>
      </c>
      <c r="J192" s="16">
        <v>4</v>
      </c>
      <c r="K192" s="16" t="s">
        <v>33</v>
      </c>
      <c r="L192" s="38" t="s">
        <v>519</v>
      </c>
      <c r="M192" s="16">
        <v>18300</v>
      </c>
      <c r="N192" s="16">
        <v>16500</v>
      </c>
      <c r="O192" s="17">
        <v>46135</v>
      </c>
      <c r="P192" s="16">
        <v>1800</v>
      </c>
      <c r="Q192" s="16" t="s">
        <v>33</v>
      </c>
      <c r="R192" s="16" t="s">
        <v>37</v>
      </c>
      <c r="S192" s="16">
        <v>21500</v>
      </c>
      <c r="T192" s="16" t="s">
        <v>33</v>
      </c>
      <c r="U192" s="16" t="s">
        <v>33</v>
      </c>
      <c r="V192" s="16" t="s">
        <v>28</v>
      </c>
      <c r="W192" s="16">
        <v>3200</v>
      </c>
      <c r="X192" s="16" t="s">
        <v>36</v>
      </c>
      <c r="Y192" s="16" t="s">
        <v>29</v>
      </c>
      <c r="Z192" s="18">
        <v>17.486338797814209</v>
      </c>
      <c r="AA192" s="16"/>
      <c r="AB192" s="16"/>
    </row>
    <row r="193" spans="1:28">
      <c r="A193" s="16">
        <v>192</v>
      </c>
      <c r="B193" s="16" t="s">
        <v>30</v>
      </c>
      <c r="C193" s="16" t="s">
        <v>31</v>
      </c>
      <c r="D193" s="16" t="s">
        <v>32</v>
      </c>
      <c r="E193" s="16" t="s">
        <v>33</v>
      </c>
      <c r="F193" s="38" t="s">
        <v>280</v>
      </c>
      <c r="G193" s="19" t="s">
        <v>34</v>
      </c>
      <c r="H193" s="38" t="s">
        <v>734</v>
      </c>
      <c r="I193" s="17">
        <v>46135</v>
      </c>
      <c r="J193" s="16">
        <v>4</v>
      </c>
      <c r="K193" s="16" t="s">
        <v>33</v>
      </c>
      <c r="L193" s="38" t="s">
        <v>355</v>
      </c>
      <c r="M193" s="16">
        <v>19000</v>
      </c>
      <c r="N193" s="16">
        <v>17000</v>
      </c>
      <c r="O193" s="17">
        <v>46135</v>
      </c>
      <c r="P193" s="16">
        <v>2000</v>
      </c>
      <c r="Q193" s="16" t="s">
        <v>33</v>
      </c>
      <c r="R193" s="16" t="s">
        <v>39</v>
      </c>
      <c r="S193" s="16">
        <v>21800</v>
      </c>
      <c r="T193" s="16" t="s">
        <v>33</v>
      </c>
      <c r="U193" s="16" t="s">
        <v>33</v>
      </c>
      <c r="V193" s="16" t="s">
        <v>28</v>
      </c>
      <c r="W193" s="16">
        <v>2800</v>
      </c>
      <c r="X193" s="16" t="s">
        <v>36</v>
      </c>
      <c r="Y193" s="16" t="s">
        <v>29</v>
      </c>
      <c r="Z193" s="18">
        <v>14.736842105263158</v>
      </c>
      <c r="AA193" s="16"/>
      <c r="AB193" s="16"/>
    </row>
    <row r="194" spans="1:28">
      <c r="A194" s="16">
        <v>193</v>
      </c>
      <c r="B194" s="16" t="s">
        <v>30</v>
      </c>
      <c r="C194" s="16" t="s">
        <v>31</v>
      </c>
      <c r="D194" s="16" t="s">
        <v>32</v>
      </c>
      <c r="E194" s="16" t="s">
        <v>33</v>
      </c>
      <c r="F194" s="38" t="s">
        <v>752</v>
      </c>
      <c r="G194" s="19" t="s">
        <v>34</v>
      </c>
      <c r="H194" s="38" t="s">
        <v>753</v>
      </c>
      <c r="I194" s="17">
        <v>46135</v>
      </c>
      <c r="J194" s="16">
        <v>4</v>
      </c>
      <c r="K194" s="16" t="s">
        <v>33</v>
      </c>
      <c r="L194" s="38" t="s">
        <v>519</v>
      </c>
      <c r="M194" s="16">
        <v>18300</v>
      </c>
      <c r="N194" s="16">
        <v>16500</v>
      </c>
      <c r="O194" s="17">
        <v>46136</v>
      </c>
      <c r="P194" s="16">
        <v>1800</v>
      </c>
      <c r="Q194" s="16" t="s">
        <v>33</v>
      </c>
      <c r="R194" s="16" t="s">
        <v>37</v>
      </c>
      <c r="S194" s="16">
        <v>21500</v>
      </c>
      <c r="T194" s="16" t="s">
        <v>33</v>
      </c>
      <c r="U194" s="16" t="s">
        <v>33</v>
      </c>
      <c r="V194" s="16" t="s">
        <v>28</v>
      </c>
      <c r="W194" s="16">
        <v>3200</v>
      </c>
      <c r="X194" s="16" t="s">
        <v>36</v>
      </c>
      <c r="Y194" s="16" t="s">
        <v>29</v>
      </c>
      <c r="Z194" s="18">
        <v>17.486338797814209</v>
      </c>
      <c r="AA194" s="16"/>
      <c r="AB194" s="16"/>
    </row>
    <row r="195" spans="1:28">
      <c r="A195" s="16">
        <v>194</v>
      </c>
      <c r="B195" s="16" t="s">
        <v>30</v>
      </c>
      <c r="C195" s="16" t="s">
        <v>31</v>
      </c>
      <c r="D195" s="16" t="s">
        <v>32</v>
      </c>
      <c r="E195" s="16" t="s">
        <v>33</v>
      </c>
      <c r="F195" s="38" t="s">
        <v>407</v>
      </c>
      <c r="G195" s="19" t="s">
        <v>34</v>
      </c>
      <c r="H195" s="38" t="s">
        <v>758</v>
      </c>
      <c r="I195" s="17">
        <v>46135</v>
      </c>
      <c r="J195" s="16">
        <v>4</v>
      </c>
      <c r="K195" s="16" t="s">
        <v>33</v>
      </c>
      <c r="L195" s="38" t="s">
        <v>590</v>
      </c>
      <c r="M195" s="16">
        <v>18000</v>
      </c>
      <c r="N195" s="16">
        <v>16000</v>
      </c>
      <c r="O195" s="17">
        <v>46136</v>
      </c>
      <c r="P195" s="16">
        <v>2000</v>
      </c>
      <c r="Q195" s="16" t="s">
        <v>33</v>
      </c>
      <c r="R195" s="16" t="s">
        <v>56</v>
      </c>
      <c r="S195" s="16">
        <v>20500</v>
      </c>
      <c r="T195" s="16" t="s">
        <v>33</v>
      </c>
      <c r="U195" s="16" t="s">
        <v>33</v>
      </c>
      <c r="V195" s="16" t="s">
        <v>28</v>
      </c>
      <c r="W195" s="16">
        <v>2500</v>
      </c>
      <c r="X195" s="16" t="s">
        <v>36</v>
      </c>
      <c r="Y195" s="16" t="s">
        <v>29</v>
      </c>
      <c r="Z195" s="18">
        <v>13.888888888888889</v>
      </c>
      <c r="AA195" s="16"/>
      <c r="AB195" s="16"/>
    </row>
    <row r="196" spans="1:28">
      <c r="A196" s="16">
        <v>195</v>
      </c>
      <c r="B196" s="16" t="s">
        <v>30</v>
      </c>
      <c r="C196" s="16" t="s">
        <v>44</v>
      </c>
      <c r="D196" s="16" t="s">
        <v>32</v>
      </c>
      <c r="E196" s="16" t="s">
        <v>33</v>
      </c>
      <c r="F196" s="38" t="s">
        <v>145</v>
      </c>
      <c r="G196" s="19" t="s">
        <v>34</v>
      </c>
      <c r="H196" s="38" t="s">
        <v>747</v>
      </c>
      <c r="I196" s="17">
        <v>46135</v>
      </c>
      <c r="J196" s="16">
        <v>4</v>
      </c>
      <c r="K196" s="16" t="s">
        <v>33</v>
      </c>
      <c r="L196" s="38" t="s">
        <v>376</v>
      </c>
      <c r="M196" s="16">
        <v>19000</v>
      </c>
      <c r="N196" s="16">
        <v>17000</v>
      </c>
      <c r="O196" s="17">
        <v>46136</v>
      </c>
      <c r="P196" s="16">
        <v>2000</v>
      </c>
      <c r="Q196" s="16" t="s">
        <v>33</v>
      </c>
      <c r="R196" s="16" t="s">
        <v>39</v>
      </c>
      <c r="S196" s="16">
        <v>21800</v>
      </c>
      <c r="T196" s="16" t="s">
        <v>33</v>
      </c>
      <c r="U196" s="16" t="s">
        <v>33</v>
      </c>
      <c r="V196" s="16" t="s">
        <v>28</v>
      </c>
      <c r="W196" s="16">
        <v>2800</v>
      </c>
      <c r="X196" s="16" t="s">
        <v>36</v>
      </c>
      <c r="Y196" s="16" t="s">
        <v>29</v>
      </c>
      <c r="Z196" s="18">
        <v>14.736842105263158</v>
      </c>
      <c r="AA196" s="16"/>
      <c r="AB196" s="16"/>
    </row>
    <row r="197" spans="1:28">
      <c r="A197" s="16">
        <v>196</v>
      </c>
      <c r="B197" s="16" t="s">
        <v>30</v>
      </c>
      <c r="C197" s="16" t="s">
        <v>44</v>
      </c>
      <c r="D197" s="16" t="s">
        <v>32</v>
      </c>
      <c r="E197" s="16" t="s">
        <v>33</v>
      </c>
      <c r="F197" s="38" t="s">
        <v>359</v>
      </c>
      <c r="G197" s="19">
        <v>407</v>
      </c>
      <c r="H197" s="38" t="s">
        <v>757</v>
      </c>
      <c r="I197" s="17">
        <v>46135</v>
      </c>
      <c r="J197" s="16">
        <v>4</v>
      </c>
      <c r="K197" s="16" t="s">
        <v>33</v>
      </c>
      <c r="L197" s="38" t="s">
        <v>381</v>
      </c>
      <c r="M197" s="16">
        <v>28000</v>
      </c>
      <c r="N197" s="16">
        <v>25000</v>
      </c>
      <c r="O197" s="17">
        <v>46136</v>
      </c>
      <c r="P197" s="16">
        <v>3000</v>
      </c>
      <c r="Q197" s="16" t="s">
        <v>33</v>
      </c>
      <c r="R197" s="16" t="s">
        <v>56</v>
      </c>
      <c r="S197" s="16">
        <v>30800</v>
      </c>
      <c r="T197" s="16" t="s">
        <v>33</v>
      </c>
      <c r="U197" s="16" t="s">
        <v>33</v>
      </c>
      <c r="V197" s="16" t="s">
        <v>28</v>
      </c>
      <c r="W197" s="16">
        <v>2800</v>
      </c>
      <c r="X197" s="16" t="s">
        <v>36</v>
      </c>
      <c r="Y197" s="16" t="s">
        <v>29</v>
      </c>
      <c r="Z197" s="18">
        <v>10</v>
      </c>
      <c r="AA197" s="16"/>
      <c r="AB197" s="16"/>
    </row>
    <row r="198" spans="1:28">
      <c r="A198" s="16">
        <v>197</v>
      </c>
      <c r="B198" s="16" t="s">
        <v>30</v>
      </c>
      <c r="C198" s="16" t="s">
        <v>31</v>
      </c>
      <c r="D198" s="16" t="s">
        <v>32</v>
      </c>
      <c r="E198" s="16" t="s">
        <v>33</v>
      </c>
      <c r="F198" s="38" t="s">
        <v>759</v>
      </c>
      <c r="G198" s="19" t="s">
        <v>34</v>
      </c>
      <c r="H198" s="38" t="s">
        <v>760</v>
      </c>
      <c r="I198" s="17">
        <v>46135</v>
      </c>
      <c r="J198" s="16">
        <v>4</v>
      </c>
      <c r="K198" s="16" t="s">
        <v>33</v>
      </c>
      <c r="L198" s="38" t="s">
        <v>590</v>
      </c>
      <c r="M198" s="16">
        <v>18000</v>
      </c>
      <c r="N198" s="16">
        <v>16000</v>
      </c>
      <c r="O198" s="17">
        <v>46136</v>
      </c>
      <c r="P198" s="16">
        <v>2000</v>
      </c>
      <c r="Q198" s="16" t="s">
        <v>33</v>
      </c>
      <c r="R198" s="16" t="s">
        <v>56</v>
      </c>
      <c r="S198" s="16">
        <v>20500</v>
      </c>
      <c r="T198" s="16" t="s">
        <v>33</v>
      </c>
      <c r="U198" s="16" t="s">
        <v>33</v>
      </c>
      <c r="V198" s="16" t="s">
        <v>28</v>
      </c>
      <c r="W198" s="16">
        <v>2500</v>
      </c>
      <c r="X198" s="16" t="s">
        <v>36</v>
      </c>
      <c r="Y198" s="16" t="s">
        <v>29</v>
      </c>
      <c r="Z198" s="18">
        <v>13.888888888888889</v>
      </c>
      <c r="AA198" s="16"/>
      <c r="AB198" s="16"/>
    </row>
    <row r="199" spans="1:28">
      <c r="A199" s="16">
        <v>198</v>
      </c>
      <c r="B199" s="16" t="s">
        <v>30</v>
      </c>
      <c r="C199" s="16" t="s">
        <v>31</v>
      </c>
      <c r="D199" s="16" t="s">
        <v>32</v>
      </c>
      <c r="E199" s="16" t="s">
        <v>33</v>
      </c>
      <c r="F199" s="38" t="s">
        <v>743</v>
      </c>
      <c r="G199" s="19" t="s">
        <v>34</v>
      </c>
      <c r="H199" s="38" t="s">
        <v>744</v>
      </c>
      <c r="I199" s="17">
        <v>46136</v>
      </c>
      <c r="J199" s="16">
        <v>3</v>
      </c>
      <c r="K199" s="16" t="s">
        <v>33</v>
      </c>
      <c r="L199" s="38" t="s">
        <v>355</v>
      </c>
      <c r="M199" s="16">
        <v>19000</v>
      </c>
      <c r="N199" s="16">
        <v>17000</v>
      </c>
      <c r="O199" s="17">
        <v>46136</v>
      </c>
      <c r="P199" s="16">
        <v>2000</v>
      </c>
      <c r="Q199" s="16" t="s">
        <v>33</v>
      </c>
      <c r="R199" s="16" t="s">
        <v>39</v>
      </c>
      <c r="S199" s="16">
        <v>21800</v>
      </c>
      <c r="T199" s="16" t="s">
        <v>33</v>
      </c>
      <c r="U199" s="16" t="s">
        <v>33</v>
      </c>
      <c r="V199" s="16" t="s">
        <v>28</v>
      </c>
      <c r="W199" s="16">
        <v>2800</v>
      </c>
      <c r="X199" s="16" t="s">
        <v>36</v>
      </c>
      <c r="Y199" s="16" t="s">
        <v>29</v>
      </c>
      <c r="Z199" s="18">
        <v>14.736842105263158</v>
      </c>
      <c r="AA199" s="16"/>
      <c r="AB199" s="16"/>
    </row>
    <row r="200" spans="1:28">
      <c r="A200" s="16">
        <v>199</v>
      </c>
      <c r="B200" s="16" t="s">
        <v>30</v>
      </c>
      <c r="C200" s="16" t="s">
        <v>31</v>
      </c>
      <c r="D200" s="16" t="s">
        <v>32</v>
      </c>
      <c r="E200" s="16" t="s">
        <v>33</v>
      </c>
      <c r="F200" s="38" t="s">
        <v>749</v>
      </c>
      <c r="G200" s="19" t="s">
        <v>34</v>
      </c>
      <c r="H200" s="38" t="s">
        <v>750</v>
      </c>
      <c r="I200" s="17">
        <v>46136</v>
      </c>
      <c r="J200" s="16">
        <v>3</v>
      </c>
      <c r="K200" s="16" t="s">
        <v>33</v>
      </c>
      <c r="L200" s="38" t="s">
        <v>400</v>
      </c>
      <c r="M200" s="16">
        <v>23300</v>
      </c>
      <c r="N200" s="16">
        <v>21500</v>
      </c>
      <c r="O200" s="17">
        <v>46136</v>
      </c>
      <c r="P200" s="16">
        <v>1800</v>
      </c>
      <c r="Q200" s="16" t="s">
        <v>33</v>
      </c>
      <c r="R200" s="16" t="s">
        <v>37</v>
      </c>
      <c r="S200" s="16">
        <v>26000</v>
      </c>
      <c r="T200" s="16" t="s">
        <v>33</v>
      </c>
      <c r="U200" s="16" t="s">
        <v>33</v>
      </c>
      <c r="V200" s="16" t="s">
        <v>28</v>
      </c>
      <c r="W200" s="16">
        <v>2700</v>
      </c>
      <c r="X200" s="16" t="s">
        <v>36</v>
      </c>
      <c r="Y200" s="16" t="s">
        <v>29</v>
      </c>
      <c r="Z200" s="18">
        <v>11.587982832618026</v>
      </c>
      <c r="AA200" s="16"/>
      <c r="AB200" s="16"/>
    </row>
    <row r="201" spans="1:28">
      <c r="A201" s="16">
        <v>200</v>
      </c>
      <c r="B201" s="16" t="s">
        <v>30</v>
      </c>
      <c r="C201" s="16" t="s">
        <v>31</v>
      </c>
      <c r="D201" s="16" t="s">
        <v>32</v>
      </c>
      <c r="E201" s="16" t="s">
        <v>33</v>
      </c>
      <c r="F201" s="38" t="s">
        <v>395</v>
      </c>
      <c r="G201" s="19" t="s">
        <v>34</v>
      </c>
      <c r="H201" s="38" t="s">
        <v>754</v>
      </c>
      <c r="I201" s="17">
        <v>46136</v>
      </c>
      <c r="J201" s="16">
        <v>3</v>
      </c>
      <c r="K201" s="16" t="s">
        <v>33</v>
      </c>
      <c r="L201" s="38" t="s">
        <v>519</v>
      </c>
      <c r="M201" s="16">
        <v>18300</v>
      </c>
      <c r="N201" s="16">
        <v>16500</v>
      </c>
      <c r="O201" s="17">
        <v>46136</v>
      </c>
      <c r="P201" s="16">
        <v>1800</v>
      </c>
      <c r="Q201" s="16" t="s">
        <v>33</v>
      </c>
      <c r="R201" s="16" t="s">
        <v>37</v>
      </c>
      <c r="S201" s="16">
        <v>21500</v>
      </c>
      <c r="T201" s="16" t="s">
        <v>33</v>
      </c>
      <c r="U201" s="16" t="s">
        <v>33</v>
      </c>
      <c r="V201" s="16" t="s">
        <v>28</v>
      </c>
      <c r="W201" s="16">
        <v>3200</v>
      </c>
      <c r="X201" s="16" t="s">
        <v>36</v>
      </c>
      <c r="Y201" s="16" t="s">
        <v>29</v>
      </c>
      <c r="Z201" s="18">
        <v>17.486338797814209</v>
      </c>
      <c r="AA201" s="16"/>
      <c r="AB201" s="16"/>
    </row>
    <row r="202" spans="1:28">
      <c r="A202" s="16">
        <v>201</v>
      </c>
      <c r="B202" s="16" t="s">
        <v>30</v>
      </c>
      <c r="C202" s="16" t="s">
        <v>31</v>
      </c>
      <c r="D202" s="16" t="s">
        <v>32</v>
      </c>
      <c r="E202" s="16" t="s">
        <v>33</v>
      </c>
      <c r="F202" s="38" t="s">
        <v>741</v>
      </c>
      <c r="G202" s="19" t="s">
        <v>34</v>
      </c>
      <c r="H202" s="38" t="s">
        <v>742</v>
      </c>
      <c r="I202" s="17">
        <v>46136</v>
      </c>
      <c r="J202" s="16">
        <v>3</v>
      </c>
      <c r="K202" s="16" t="s">
        <v>33</v>
      </c>
      <c r="L202" s="38" t="s">
        <v>355</v>
      </c>
      <c r="M202" s="16">
        <v>19000</v>
      </c>
      <c r="N202" s="16">
        <v>17000</v>
      </c>
      <c r="O202" s="17">
        <v>46136</v>
      </c>
      <c r="P202" s="16">
        <v>2000</v>
      </c>
      <c r="Q202" s="16" t="s">
        <v>33</v>
      </c>
      <c r="R202" s="16" t="s">
        <v>39</v>
      </c>
      <c r="S202" s="16">
        <v>21800</v>
      </c>
      <c r="T202" s="16" t="s">
        <v>33</v>
      </c>
      <c r="U202" s="16" t="s">
        <v>33</v>
      </c>
      <c r="V202" s="16" t="s">
        <v>28</v>
      </c>
      <c r="W202" s="16">
        <v>2800</v>
      </c>
      <c r="X202" s="16" t="s">
        <v>36</v>
      </c>
      <c r="Y202" s="16" t="s">
        <v>29</v>
      </c>
      <c r="Z202" s="18">
        <v>14.736842105263158</v>
      </c>
      <c r="AA202" s="16"/>
      <c r="AB202" s="16"/>
    </row>
    <row r="203" spans="1:28">
      <c r="A203" s="16">
        <v>202</v>
      </c>
      <c r="B203" s="16" t="s">
        <v>30</v>
      </c>
      <c r="C203" s="16" t="s">
        <v>31</v>
      </c>
      <c r="D203" s="16" t="s">
        <v>32</v>
      </c>
      <c r="E203" s="16" t="s">
        <v>33</v>
      </c>
      <c r="F203" s="38" t="s">
        <v>764</v>
      </c>
      <c r="G203" s="19" t="s">
        <v>34</v>
      </c>
      <c r="H203" s="38" t="s">
        <v>766</v>
      </c>
      <c r="I203" s="17">
        <v>46135</v>
      </c>
      <c r="J203" s="16">
        <v>4</v>
      </c>
      <c r="K203" s="16" t="s">
        <v>33</v>
      </c>
      <c r="L203" s="38" t="s">
        <v>764</v>
      </c>
      <c r="M203" s="16">
        <v>11700</v>
      </c>
      <c r="N203" s="16">
        <v>10700</v>
      </c>
      <c r="O203" s="17">
        <v>46136</v>
      </c>
      <c r="P203" s="16">
        <v>1000</v>
      </c>
      <c r="Q203" s="16" t="s">
        <v>33</v>
      </c>
      <c r="R203" s="16" t="s">
        <v>112</v>
      </c>
      <c r="S203" s="16">
        <v>13500</v>
      </c>
      <c r="T203" s="16" t="s">
        <v>33</v>
      </c>
      <c r="U203" s="16" t="s">
        <v>33</v>
      </c>
      <c r="V203" s="16" t="s">
        <v>28</v>
      </c>
      <c r="W203" s="16">
        <v>1800</v>
      </c>
      <c r="X203" s="16" t="s">
        <v>36</v>
      </c>
      <c r="Y203" s="16" t="s">
        <v>29</v>
      </c>
      <c r="Z203" s="18">
        <v>15.384615384615385</v>
      </c>
      <c r="AA203" s="16"/>
      <c r="AB203" s="16"/>
    </row>
    <row r="204" spans="1:28">
      <c r="A204" s="16">
        <v>203</v>
      </c>
      <c r="B204" s="16" t="s">
        <v>30</v>
      </c>
      <c r="C204" s="16" t="s">
        <v>31</v>
      </c>
      <c r="D204" s="16" t="s">
        <v>32</v>
      </c>
      <c r="E204" s="16" t="s">
        <v>33</v>
      </c>
      <c r="F204" s="38" t="s">
        <v>761</v>
      </c>
      <c r="G204" s="19" t="s">
        <v>34</v>
      </c>
      <c r="H204" s="38" t="s">
        <v>762</v>
      </c>
      <c r="I204" s="17">
        <v>46135</v>
      </c>
      <c r="J204" s="16">
        <v>4</v>
      </c>
      <c r="K204" s="16" t="s">
        <v>33</v>
      </c>
      <c r="L204" s="38" t="s">
        <v>763</v>
      </c>
      <c r="M204" s="16">
        <v>18000</v>
      </c>
      <c r="N204" s="16">
        <v>16000</v>
      </c>
      <c r="O204" s="17">
        <v>46136</v>
      </c>
      <c r="P204" s="16">
        <v>2000</v>
      </c>
      <c r="Q204" s="16" t="s">
        <v>33</v>
      </c>
      <c r="R204" s="16" t="s">
        <v>56</v>
      </c>
      <c r="S204" s="16">
        <v>20500</v>
      </c>
      <c r="T204" s="16" t="s">
        <v>33</v>
      </c>
      <c r="U204" s="16" t="s">
        <v>33</v>
      </c>
      <c r="V204" s="16" t="s">
        <v>28</v>
      </c>
      <c r="W204" s="16">
        <v>2500</v>
      </c>
      <c r="X204" s="16" t="s">
        <v>36</v>
      </c>
      <c r="Y204" s="16" t="s">
        <v>29</v>
      </c>
      <c r="Z204" s="18">
        <v>13.888888888888889</v>
      </c>
      <c r="AA204" s="16"/>
      <c r="AB204" s="16"/>
    </row>
    <row r="205" spans="1:28">
      <c r="A205" s="16">
        <v>204</v>
      </c>
      <c r="B205" s="16" t="s">
        <v>30</v>
      </c>
      <c r="C205" s="16" t="s">
        <v>137</v>
      </c>
      <c r="D205" s="16" t="s">
        <v>32</v>
      </c>
      <c r="E205" s="16" t="s">
        <v>33</v>
      </c>
      <c r="F205" s="38" t="s">
        <v>138</v>
      </c>
      <c r="G205" s="19" t="s">
        <v>50</v>
      </c>
      <c r="H205" s="38" t="s">
        <v>751</v>
      </c>
      <c r="I205" s="17">
        <v>46136</v>
      </c>
      <c r="J205" s="16">
        <v>3</v>
      </c>
      <c r="K205" s="16" t="s">
        <v>33</v>
      </c>
      <c r="L205" s="38" t="s">
        <v>139</v>
      </c>
      <c r="M205" s="16">
        <v>47000</v>
      </c>
      <c r="N205" s="16">
        <v>40000</v>
      </c>
      <c r="O205" s="17">
        <v>46136</v>
      </c>
      <c r="P205" s="16">
        <v>7000</v>
      </c>
      <c r="Q205" s="16" t="s">
        <v>33</v>
      </c>
      <c r="R205" s="16" t="s">
        <v>52</v>
      </c>
      <c r="S205" s="16">
        <v>53000</v>
      </c>
      <c r="T205" s="16" t="s">
        <v>33</v>
      </c>
      <c r="U205" s="16" t="s">
        <v>33</v>
      </c>
      <c r="V205" s="16" t="s">
        <v>28</v>
      </c>
      <c r="W205" s="16">
        <v>6000</v>
      </c>
      <c r="X205" s="16" t="s">
        <v>36</v>
      </c>
      <c r="Y205" s="16" t="s">
        <v>29</v>
      </c>
      <c r="Z205" s="18">
        <v>12.76595744680851</v>
      </c>
      <c r="AA205" s="16"/>
      <c r="AB205" s="16" t="s">
        <v>320</v>
      </c>
    </row>
    <row r="206" spans="1:28">
      <c r="A206" s="16">
        <v>205</v>
      </c>
      <c r="B206" s="16" t="s">
        <v>30</v>
      </c>
      <c r="C206" s="16" t="s">
        <v>44</v>
      </c>
      <c r="D206" s="16" t="s">
        <v>32</v>
      </c>
      <c r="E206" s="16" t="s">
        <v>33</v>
      </c>
      <c r="F206" s="38" t="s">
        <v>347</v>
      </c>
      <c r="G206" s="19">
        <v>407</v>
      </c>
      <c r="H206" s="38" t="s">
        <v>748</v>
      </c>
      <c r="I206" s="17">
        <v>46136</v>
      </c>
      <c r="J206" s="16">
        <v>3</v>
      </c>
      <c r="K206" s="16" t="s">
        <v>33</v>
      </c>
      <c r="L206" s="38" t="s">
        <v>687</v>
      </c>
      <c r="M206" s="16">
        <v>29500</v>
      </c>
      <c r="N206" s="16">
        <v>27500</v>
      </c>
      <c r="O206" s="17">
        <v>46136</v>
      </c>
      <c r="P206" s="16">
        <v>2000</v>
      </c>
      <c r="Q206" s="16" t="s">
        <v>33</v>
      </c>
      <c r="R206" s="16" t="s">
        <v>37</v>
      </c>
      <c r="S206" s="16">
        <v>33000</v>
      </c>
      <c r="T206" s="16" t="s">
        <v>33</v>
      </c>
      <c r="U206" s="16" t="s">
        <v>33</v>
      </c>
      <c r="V206" s="16" t="s">
        <v>28</v>
      </c>
      <c r="W206" s="16">
        <v>3500</v>
      </c>
      <c r="X206" s="16" t="s">
        <v>36</v>
      </c>
      <c r="Y206" s="16" t="s">
        <v>29</v>
      </c>
      <c r="Z206" s="18">
        <v>11.864406779661017</v>
      </c>
      <c r="AA206" s="16"/>
      <c r="AB206" s="16"/>
    </row>
    <row r="207" spans="1:28">
      <c r="A207" s="16">
        <v>206</v>
      </c>
      <c r="B207" s="16" t="s">
        <v>30</v>
      </c>
      <c r="C207" s="16" t="s">
        <v>31</v>
      </c>
      <c r="D207" s="16" t="s">
        <v>32</v>
      </c>
      <c r="E207" s="16" t="s">
        <v>33</v>
      </c>
      <c r="F207" s="38" t="s">
        <v>745</v>
      </c>
      <c r="G207" s="19" t="s">
        <v>34</v>
      </c>
      <c r="H207" s="38" t="s">
        <v>746</v>
      </c>
      <c r="I207" s="17">
        <v>46136</v>
      </c>
      <c r="J207" s="16">
        <v>3</v>
      </c>
      <c r="K207" s="16" t="s">
        <v>33</v>
      </c>
      <c r="L207" s="38" t="s">
        <v>355</v>
      </c>
      <c r="M207" s="16">
        <v>19000</v>
      </c>
      <c r="N207" s="16">
        <v>17000</v>
      </c>
      <c r="O207" s="17">
        <v>46136</v>
      </c>
      <c r="P207" s="16">
        <v>2000</v>
      </c>
      <c r="Q207" s="16" t="s">
        <v>33</v>
      </c>
      <c r="R207" s="16" t="s">
        <v>39</v>
      </c>
      <c r="S207" s="16">
        <v>21800</v>
      </c>
      <c r="T207" s="16" t="s">
        <v>33</v>
      </c>
      <c r="U207" s="16" t="s">
        <v>33</v>
      </c>
      <c r="V207" s="16" t="s">
        <v>28</v>
      </c>
      <c r="W207" s="16">
        <v>2800</v>
      </c>
      <c r="X207" s="16" t="s">
        <v>36</v>
      </c>
      <c r="Y207" s="16" t="s">
        <v>29</v>
      </c>
      <c r="Z207" s="18">
        <v>14.736842105263158</v>
      </c>
      <c r="AA207" s="16"/>
      <c r="AB207" s="16"/>
    </row>
    <row r="208" spans="1:28">
      <c r="A208" s="16">
        <v>207</v>
      </c>
      <c r="B208" s="16" t="s">
        <v>30</v>
      </c>
      <c r="C208" s="16" t="s">
        <v>31</v>
      </c>
      <c r="D208" s="16" t="s">
        <v>32</v>
      </c>
      <c r="E208" s="16" t="s">
        <v>33</v>
      </c>
      <c r="F208" s="38" t="s">
        <v>755</v>
      </c>
      <c r="G208" s="19" t="s">
        <v>34</v>
      </c>
      <c r="H208" s="38" t="s">
        <v>756</v>
      </c>
      <c r="I208" s="17">
        <v>46136</v>
      </c>
      <c r="J208" s="16">
        <v>3</v>
      </c>
      <c r="K208" s="16" t="s">
        <v>33</v>
      </c>
      <c r="L208" s="38" t="s">
        <v>519</v>
      </c>
      <c r="M208" s="16">
        <v>18300</v>
      </c>
      <c r="N208" s="16">
        <v>16500</v>
      </c>
      <c r="O208" s="17">
        <v>46136</v>
      </c>
      <c r="P208" s="16">
        <v>1800</v>
      </c>
      <c r="Q208" s="16" t="s">
        <v>33</v>
      </c>
      <c r="R208" s="16" t="s">
        <v>37</v>
      </c>
      <c r="S208" s="16">
        <v>21500</v>
      </c>
      <c r="T208" s="16" t="s">
        <v>33</v>
      </c>
      <c r="U208" s="16" t="s">
        <v>33</v>
      </c>
      <c r="V208" s="16" t="s">
        <v>28</v>
      </c>
      <c r="W208" s="16">
        <v>3200</v>
      </c>
      <c r="X208" s="16" t="s">
        <v>36</v>
      </c>
      <c r="Y208" s="16" t="s">
        <v>29</v>
      </c>
      <c r="Z208" s="18">
        <v>17.486338797814209</v>
      </c>
      <c r="AA208" s="16"/>
      <c r="AB208" s="16"/>
    </row>
    <row r="209" spans="1:28">
      <c r="A209" s="16">
        <v>208</v>
      </c>
      <c r="B209" s="16" t="s">
        <v>30</v>
      </c>
      <c r="C209" s="16" t="s">
        <v>31</v>
      </c>
      <c r="D209" s="16" t="s">
        <v>32</v>
      </c>
      <c r="E209" s="16" t="s">
        <v>33</v>
      </c>
      <c r="F209" s="38" t="s">
        <v>778</v>
      </c>
      <c r="G209" s="19" t="s">
        <v>34</v>
      </c>
      <c r="H209" s="38" t="s">
        <v>800</v>
      </c>
      <c r="I209" s="17">
        <v>46136</v>
      </c>
      <c r="J209" s="16">
        <v>3</v>
      </c>
      <c r="K209" s="16" t="s">
        <v>33</v>
      </c>
      <c r="L209" s="38" t="s">
        <v>355</v>
      </c>
      <c r="M209" s="16">
        <v>19000</v>
      </c>
      <c r="N209" s="16">
        <v>17000</v>
      </c>
      <c r="O209" s="17">
        <v>46137</v>
      </c>
      <c r="P209" s="16">
        <v>2000</v>
      </c>
      <c r="Q209" s="16" t="s">
        <v>33</v>
      </c>
      <c r="R209" s="16" t="s">
        <v>39</v>
      </c>
      <c r="S209" s="16">
        <v>21800</v>
      </c>
      <c r="T209" s="16" t="s">
        <v>33</v>
      </c>
      <c r="U209" s="16" t="s">
        <v>33</v>
      </c>
      <c r="V209" s="16" t="s">
        <v>28</v>
      </c>
      <c r="W209" s="16">
        <v>2800</v>
      </c>
      <c r="X209" s="16" t="s">
        <v>36</v>
      </c>
      <c r="Y209" s="16" t="s">
        <v>29</v>
      </c>
      <c r="Z209" s="18">
        <v>14.736842105263158</v>
      </c>
      <c r="AA209" s="16"/>
      <c r="AB209" s="16"/>
    </row>
    <row r="210" spans="1:28">
      <c r="A210" s="16">
        <v>209</v>
      </c>
      <c r="B210" s="16" t="s">
        <v>30</v>
      </c>
      <c r="C210" s="16" t="s">
        <v>31</v>
      </c>
      <c r="D210" s="16" t="s">
        <v>32</v>
      </c>
      <c r="E210" s="16" t="s">
        <v>33</v>
      </c>
      <c r="F210" s="38" t="s">
        <v>161</v>
      </c>
      <c r="G210" s="19" t="s">
        <v>34</v>
      </c>
      <c r="H210" s="38" t="s">
        <v>790</v>
      </c>
      <c r="I210" s="17">
        <v>46136</v>
      </c>
      <c r="J210" s="16">
        <v>3</v>
      </c>
      <c r="K210" s="16" t="s">
        <v>33</v>
      </c>
      <c r="L210" s="38" t="s">
        <v>355</v>
      </c>
      <c r="M210" s="16">
        <v>19000</v>
      </c>
      <c r="N210" s="16">
        <v>17000</v>
      </c>
      <c r="O210" s="17">
        <v>46137</v>
      </c>
      <c r="P210" s="16">
        <v>2000</v>
      </c>
      <c r="Q210" s="16" t="s">
        <v>33</v>
      </c>
      <c r="R210" s="16" t="s">
        <v>39</v>
      </c>
      <c r="S210" s="16">
        <v>21800</v>
      </c>
      <c r="T210" s="16" t="s">
        <v>33</v>
      </c>
      <c r="U210" s="16" t="s">
        <v>33</v>
      </c>
      <c r="V210" s="16" t="s">
        <v>28</v>
      </c>
      <c r="W210" s="16">
        <v>2800</v>
      </c>
      <c r="X210" s="16" t="s">
        <v>36</v>
      </c>
      <c r="Y210" s="16" t="s">
        <v>29</v>
      </c>
      <c r="Z210" s="18">
        <v>14.736842105263158</v>
      </c>
      <c r="AA210" s="16"/>
      <c r="AB210" s="16"/>
    </row>
    <row r="211" spans="1:28">
      <c r="A211" s="16">
        <v>210</v>
      </c>
      <c r="B211" s="16" t="s">
        <v>30</v>
      </c>
      <c r="C211" s="16" t="s">
        <v>31</v>
      </c>
      <c r="D211" s="16" t="s">
        <v>32</v>
      </c>
      <c r="E211" s="16" t="s">
        <v>33</v>
      </c>
      <c r="F211" s="38" t="s">
        <v>782</v>
      </c>
      <c r="G211" s="19" t="s">
        <v>34</v>
      </c>
      <c r="H211" s="41" t="s">
        <v>799</v>
      </c>
      <c r="I211" s="17">
        <v>46136</v>
      </c>
      <c r="J211" s="16">
        <v>3</v>
      </c>
      <c r="K211" s="16" t="s">
        <v>33</v>
      </c>
      <c r="L211" s="38" t="s">
        <v>783</v>
      </c>
      <c r="M211" s="16">
        <v>18000</v>
      </c>
      <c r="N211" s="16">
        <v>16000</v>
      </c>
      <c r="O211" s="17">
        <v>46137</v>
      </c>
      <c r="P211" s="16">
        <v>2000</v>
      </c>
      <c r="Q211" s="16" t="s">
        <v>33</v>
      </c>
      <c r="R211" s="16" t="s">
        <v>56</v>
      </c>
      <c r="S211" s="16">
        <v>20500</v>
      </c>
      <c r="T211" s="16" t="s">
        <v>33</v>
      </c>
      <c r="U211" s="16" t="s">
        <v>33</v>
      </c>
      <c r="V211" s="16" t="s">
        <v>28</v>
      </c>
      <c r="W211" s="16">
        <v>2500</v>
      </c>
      <c r="X211" s="16" t="s">
        <v>36</v>
      </c>
      <c r="Y211" s="16" t="s">
        <v>29</v>
      </c>
      <c r="Z211" s="18">
        <v>13.888888888888889</v>
      </c>
      <c r="AA211" s="16"/>
      <c r="AB211" s="16"/>
    </row>
    <row r="212" spans="1:28">
      <c r="A212" s="16">
        <v>211</v>
      </c>
      <c r="B212" s="16" t="s">
        <v>30</v>
      </c>
      <c r="C212" s="16" t="s">
        <v>31</v>
      </c>
      <c r="D212" s="16" t="s">
        <v>32</v>
      </c>
      <c r="E212" s="16" t="s">
        <v>33</v>
      </c>
      <c r="F212" s="38" t="s">
        <v>779</v>
      </c>
      <c r="G212" s="19" t="s">
        <v>34</v>
      </c>
      <c r="H212" s="38" t="s">
        <v>791</v>
      </c>
      <c r="I212" s="17">
        <v>46137</v>
      </c>
      <c r="J212" s="16">
        <v>2</v>
      </c>
      <c r="K212" s="16" t="s">
        <v>33</v>
      </c>
      <c r="L212" s="38" t="s">
        <v>355</v>
      </c>
      <c r="M212" s="16">
        <v>19000</v>
      </c>
      <c r="N212" s="16">
        <v>17000</v>
      </c>
      <c r="O212" s="17">
        <v>46137</v>
      </c>
      <c r="P212" s="16">
        <v>2000</v>
      </c>
      <c r="Q212" s="16" t="s">
        <v>33</v>
      </c>
      <c r="R212" s="16" t="s">
        <v>39</v>
      </c>
      <c r="S212" s="16">
        <v>21800</v>
      </c>
      <c r="T212" s="16" t="s">
        <v>33</v>
      </c>
      <c r="U212" s="16" t="s">
        <v>33</v>
      </c>
      <c r="V212" s="16" t="s">
        <v>28</v>
      </c>
      <c r="W212" s="16">
        <v>2800</v>
      </c>
      <c r="X212" s="16" t="s">
        <v>36</v>
      </c>
      <c r="Y212" s="16" t="s">
        <v>29</v>
      </c>
      <c r="Z212" s="18">
        <v>14.736842105263158</v>
      </c>
      <c r="AA212" s="16"/>
      <c r="AB212" s="16"/>
    </row>
    <row r="213" spans="1:28">
      <c r="A213" s="16">
        <v>212</v>
      </c>
      <c r="B213" s="16" t="s">
        <v>30</v>
      </c>
      <c r="C213" s="16" t="s">
        <v>31</v>
      </c>
      <c r="D213" s="16" t="s">
        <v>32</v>
      </c>
      <c r="E213" s="16" t="s">
        <v>33</v>
      </c>
      <c r="F213" s="38" t="s">
        <v>780</v>
      </c>
      <c r="G213" s="19" t="s">
        <v>34</v>
      </c>
      <c r="H213" s="38" t="s">
        <v>792</v>
      </c>
      <c r="I213" s="17">
        <v>46137</v>
      </c>
      <c r="J213" s="16">
        <v>2</v>
      </c>
      <c r="K213" s="16" t="s">
        <v>33</v>
      </c>
      <c r="L213" s="38" t="s">
        <v>355</v>
      </c>
      <c r="M213" s="16">
        <v>19000</v>
      </c>
      <c r="N213" s="16">
        <v>17000</v>
      </c>
      <c r="O213" s="17">
        <v>46137</v>
      </c>
      <c r="P213" s="16">
        <v>2000</v>
      </c>
      <c r="Q213" s="16" t="s">
        <v>33</v>
      </c>
      <c r="R213" s="16" t="s">
        <v>39</v>
      </c>
      <c r="S213" s="16">
        <v>21800</v>
      </c>
      <c r="T213" s="16" t="s">
        <v>33</v>
      </c>
      <c r="U213" s="16" t="s">
        <v>33</v>
      </c>
      <c r="V213" s="16" t="s">
        <v>28</v>
      </c>
      <c r="W213" s="16">
        <v>2800</v>
      </c>
      <c r="X213" s="16" t="s">
        <v>36</v>
      </c>
      <c r="Y213" s="16" t="s">
        <v>29</v>
      </c>
      <c r="Z213" s="18">
        <v>14.736842105263158</v>
      </c>
      <c r="AA213" s="16"/>
      <c r="AB213" s="16"/>
    </row>
    <row r="214" spans="1:28">
      <c r="A214" s="16">
        <v>213</v>
      </c>
      <c r="B214" s="16" t="s">
        <v>30</v>
      </c>
      <c r="C214" s="16" t="s">
        <v>44</v>
      </c>
      <c r="D214" s="16" t="s">
        <v>32</v>
      </c>
      <c r="E214" s="16" t="s">
        <v>33</v>
      </c>
      <c r="F214" s="38" t="s">
        <v>479</v>
      </c>
      <c r="G214" s="19">
        <v>407</v>
      </c>
      <c r="H214" s="38" t="s">
        <v>793</v>
      </c>
      <c r="I214" s="17">
        <v>46137</v>
      </c>
      <c r="J214" s="16">
        <v>2</v>
      </c>
      <c r="K214" s="16" t="s">
        <v>33</v>
      </c>
      <c r="L214" s="38" t="s">
        <v>381</v>
      </c>
      <c r="M214" s="16">
        <v>28000</v>
      </c>
      <c r="N214" s="16">
        <v>25000</v>
      </c>
      <c r="O214" s="17">
        <v>46137</v>
      </c>
      <c r="P214" s="16">
        <v>3000</v>
      </c>
      <c r="Q214" s="16" t="s">
        <v>33</v>
      </c>
      <c r="R214" s="16" t="s">
        <v>56</v>
      </c>
      <c r="S214" s="16">
        <v>30800</v>
      </c>
      <c r="T214" s="16" t="s">
        <v>33</v>
      </c>
      <c r="U214" s="16" t="s">
        <v>33</v>
      </c>
      <c r="V214" s="16" t="s">
        <v>28</v>
      </c>
      <c r="W214" s="16">
        <v>2800</v>
      </c>
      <c r="X214" s="16" t="s">
        <v>36</v>
      </c>
      <c r="Y214" s="16" t="s">
        <v>29</v>
      </c>
      <c r="Z214" s="18">
        <v>10</v>
      </c>
      <c r="AA214" s="16"/>
      <c r="AB214" s="16"/>
    </row>
    <row r="215" spans="1:28">
      <c r="A215" s="16">
        <v>214</v>
      </c>
      <c r="B215" s="16" t="s">
        <v>30</v>
      </c>
      <c r="C215" s="16" t="s">
        <v>124</v>
      </c>
      <c r="D215" s="16" t="s">
        <v>32</v>
      </c>
      <c r="E215" s="16" t="s">
        <v>33</v>
      </c>
      <c r="F215" s="38" t="s">
        <v>784</v>
      </c>
      <c r="G215" s="19" t="s">
        <v>50</v>
      </c>
      <c r="H215" s="38" t="s">
        <v>794</v>
      </c>
      <c r="I215" s="17">
        <v>46137</v>
      </c>
      <c r="J215" s="16">
        <v>2</v>
      </c>
      <c r="K215" s="16" t="s">
        <v>33</v>
      </c>
      <c r="L215" s="38" t="s">
        <v>123</v>
      </c>
      <c r="M215" s="16">
        <v>47000</v>
      </c>
      <c r="N215" s="16">
        <v>40000</v>
      </c>
      <c r="O215" s="17">
        <v>46137</v>
      </c>
      <c r="P215" s="16">
        <v>3000</v>
      </c>
      <c r="Q215" s="16" t="s">
        <v>33</v>
      </c>
      <c r="R215" s="16" t="s">
        <v>52</v>
      </c>
      <c r="S215" s="16">
        <v>53000</v>
      </c>
      <c r="T215" s="16" t="s">
        <v>33</v>
      </c>
      <c r="U215" s="16" t="s">
        <v>33</v>
      </c>
      <c r="V215" s="16" t="s">
        <v>28</v>
      </c>
      <c r="W215" s="16">
        <v>6000</v>
      </c>
      <c r="X215" s="16" t="s">
        <v>36</v>
      </c>
      <c r="Y215" s="16" t="s">
        <v>29</v>
      </c>
      <c r="Z215" s="18">
        <v>12.76595744680851</v>
      </c>
      <c r="AA215" s="16"/>
      <c r="AB215" s="16" t="s">
        <v>320</v>
      </c>
    </row>
    <row r="216" spans="1:28">
      <c r="A216" s="16">
        <v>215</v>
      </c>
      <c r="B216" s="16" t="s">
        <v>30</v>
      </c>
      <c r="C216" s="16" t="s">
        <v>31</v>
      </c>
      <c r="D216" s="16" t="s">
        <v>32</v>
      </c>
      <c r="E216" s="16" t="s">
        <v>33</v>
      </c>
      <c r="F216" s="38" t="s">
        <v>785</v>
      </c>
      <c r="G216" s="19" t="s">
        <v>34</v>
      </c>
      <c r="H216" s="38" t="s">
        <v>795</v>
      </c>
      <c r="I216" s="17">
        <v>46136</v>
      </c>
      <c r="J216" s="16">
        <v>3</v>
      </c>
      <c r="K216" s="16" t="s">
        <v>33</v>
      </c>
      <c r="L216" s="38" t="s">
        <v>783</v>
      </c>
      <c r="M216" s="16">
        <v>18000</v>
      </c>
      <c r="N216" s="16">
        <v>16000</v>
      </c>
      <c r="O216" s="17">
        <v>46137</v>
      </c>
      <c r="P216" s="16">
        <v>2000</v>
      </c>
      <c r="Q216" s="16" t="s">
        <v>33</v>
      </c>
      <c r="R216" s="16" t="s">
        <v>56</v>
      </c>
      <c r="S216" s="16">
        <v>20500</v>
      </c>
      <c r="T216" s="16" t="s">
        <v>33</v>
      </c>
      <c r="U216" s="16" t="s">
        <v>33</v>
      </c>
      <c r="V216" s="16" t="s">
        <v>28</v>
      </c>
      <c r="W216" s="16">
        <v>2500</v>
      </c>
      <c r="X216" s="16" t="s">
        <v>36</v>
      </c>
      <c r="Y216" s="16" t="s">
        <v>29</v>
      </c>
      <c r="Z216" s="18">
        <v>13.888888888888889</v>
      </c>
      <c r="AA216" s="16"/>
      <c r="AB216" s="16"/>
    </row>
    <row r="217" spans="1:28">
      <c r="A217" s="16">
        <v>216</v>
      </c>
      <c r="B217" s="16" t="s">
        <v>30</v>
      </c>
      <c r="C217" s="16" t="s">
        <v>31</v>
      </c>
      <c r="D217" s="16" t="s">
        <v>32</v>
      </c>
      <c r="E217" s="16" t="s">
        <v>33</v>
      </c>
      <c r="F217" s="38" t="s">
        <v>781</v>
      </c>
      <c r="G217" s="19" t="s">
        <v>34</v>
      </c>
      <c r="H217" s="38" t="s">
        <v>796</v>
      </c>
      <c r="I217" s="17">
        <v>46137</v>
      </c>
      <c r="J217" s="16">
        <v>2</v>
      </c>
      <c r="K217" s="16" t="s">
        <v>33</v>
      </c>
      <c r="L217" s="38" t="s">
        <v>355</v>
      </c>
      <c r="M217" s="16">
        <v>19000</v>
      </c>
      <c r="N217" s="16">
        <v>17000</v>
      </c>
      <c r="O217" s="17">
        <v>46137</v>
      </c>
      <c r="P217" s="16">
        <v>2000</v>
      </c>
      <c r="Q217" s="16" t="s">
        <v>33</v>
      </c>
      <c r="R217" s="16" t="s">
        <v>39</v>
      </c>
      <c r="S217" s="16">
        <v>21800</v>
      </c>
      <c r="T217" s="16" t="s">
        <v>33</v>
      </c>
      <c r="U217" s="16" t="s">
        <v>33</v>
      </c>
      <c r="V217" s="16" t="s">
        <v>28</v>
      </c>
      <c r="W217" s="16">
        <v>2800</v>
      </c>
      <c r="X217" s="16" t="s">
        <v>36</v>
      </c>
      <c r="Y217" s="16" t="s">
        <v>29</v>
      </c>
      <c r="Z217" s="18">
        <v>14.736842105263158</v>
      </c>
      <c r="AA217" s="16"/>
      <c r="AB217" s="16"/>
    </row>
    <row r="218" spans="1:28">
      <c r="A218" s="16">
        <v>217</v>
      </c>
      <c r="B218" s="16" t="s">
        <v>30</v>
      </c>
      <c r="C218" s="16" t="s">
        <v>80</v>
      </c>
      <c r="D218" s="16" t="s">
        <v>32</v>
      </c>
      <c r="E218" s="16" t="s">
        <v>33</v>
      </c>
      <c r="F218" s="38" t="s">
        <v>81</v>
      </c>
      <c r="G218" s="19" t="s">
        <v>59</v>
      </c>
      <c r="H218" s="38" t="s">
        <v>797</v>
      </c>
      <c r="I218" s="17">
        <v>46137</v>
      </c>
      <c r="J218" s="16">
        <v>2</v>
      </c>
      <c r="K218" s="16" t="s">
        <v>33</v>
      </c>
      <c r="L218" s="38" t="s">
        <v>740</v>
      </c>
      <c r="M218" s="16">
        <v>35000</v>
      </c>
      <c r="N218" s="16">
        <v>32000</v>
      </c>
      <c r="O218" s="17">
        <v>46137</v>
      </c>
      <c r="P218" s="16">
        <v>3000</v>
      </c>
      <c r="Q218" s="16" t="s">
        <v>33</v>
      </c>
      <c r="R218" s="16" t="s">
        <v>37</v>
      </c>
      <c r="S218" s="16">
        <v>38000</v>
      </c>
      <c r="T218" s="16" t="s">
        <v>33</v>
      </c>
      <c r="U218" s="16" t="s">
        <v>33</v>
      </c>
      <c r="V218" s="16" t="s">
        <v>28</v>
      </c>
      <c r="W218" s="16">
        <v>3000</v>
      </c>
      <c r="X218" s="16" t="s">
        <v>36</v>
      </c>
      <c r="Y218" s="16" t="s">
        <v>29</v>
      </c>
      <c r="Z218" s="18">
        <v>8.5714285714285712</v>
      </c>
      <c r="AA218" s="16"/>
      <c r="AB218" s="16"/>
    </row>
    <row r="219" spans="1:28">
      <c r="A219" s="16">
        <v>218</v>
      </c>
      <c r="B219" s="16" t="s">
        <v>30</v>
      </c>
      <c r="C219" s="16" t="s">
        <v>156</v>
      </c>
      <c r="D219" s="16" t="s">
        <v>32</v>
      </c>
      <c r="E219" s="16" t="s">
        <v>33</v>
      </c>
      <c r="F219" s="38" t="s">
        <v>164</v>
      </c>
      <c r="G219" s="19" t="s">
        <v>67</v>
      </c>
      <c r="H219" s="38" t="s">
        <v>798</v>
      </c>
      <c r="I219" s="17">
        <v>46135</v>
      </c>
      <c r="J219" s="16">
        <v>4</v>
      </c>
      <c r="K219" s="16" t="s">
        <v>33</v>
      </c>
      <c r="L219" s="38" t="s">
        <v>620</v>
      </c>
      <c r="M219" s="16">
        <v>21500</v>
      </c>
      <c r="N219" s="16">
        <v>21500</v>
      </c>
      <c r="O219" s="17">
        <v>46137</v>
      </c>
      <c r="P219" s="16">
        <v>0</v>
      </c>
      <c r="Q219" s="16" t="s">
        <v>33</v>
      </c>
      <c r="R219" s="16" t="s">
        <v>78</v>
      </c>
      <c r="S219" s="16">
        <v>25500</v>
      </c>
      <c r="T219" s="16" t="s">
        <v>33</v>
      </c>
      <c r="U219" s="16" t="s">
        <v>33</v>
      </c>
      <c r="V219" s="16" t="s">
        <v>28</v>
      </c>
      <c r="W219" s="16">
        <v>4000</v>
      </c>
      <c r="X219" s="16" t="s">
        <v>36</v>
      </c>
      <c r="Y219" s="16" t="s">
        <v>29</v>
      </c>
      <c r="Z219" s="18">
        <v>18.604651162790699</v>
      </c>
      <c r="AA219" s="16"/>
      <c r="AB219" s="16" t="s">
        <v>320</v>
      </c>
    </row>
    <row r="220" spans="1:28">
      <c r="A220" s="34">
        <v>1</v>
      </c>
      <c r="B220" s="34" t="s">
        <v>30</v>
      </c>
      <c r="C220" s="37" t="s">
        <v>31</v>
      </c>
      <c r="D220" s="34" t="s">
        <v>32</v>
      </c>
      <c r="E220" s="34" t="s">
        <v>33</v>
      </c>
      <c r="F220" s="34" t="s">
        <v>306</v>
      </c>
      <c r="G220" s="34" t="s">
        <v>34</v>
      </c>
      <c r="H220" s="34" t="s">
        <v>307</v>
      </c>
      <c r="I220" s="35">
        <v>46120</v>
      </c>
      <c r="J220" s="34">
        <v>19</v>
      </c>
      <c r="K220" s="34" t="s">
        <v>33</v>
      </c>
      <c r="L220" s="34" t="s">
        <v>160</v>
      </c>
      <c r="M220" s="34">
        <v>19000</v>
      </c>
      <c r="N220" s="34">
        <v>17000</v>
      </c>
      <c r="O220" s="35">
        <v>46122</v>
      </c>
      <c r="P220" s="34">
        <v>2000</v>
      </c>
      <c r="Q220" s="34" t="s">
        <v>33</v>
      </c>
      <c r="R220" s="34" t="s">
        <v>61</v>
      </c>
      <c r="S220" s="34">
        <v>22000</v>
      </c>
      <c r="T220" s="34" t="s">
        <v>33</v>
      </c>
      <c r="U220" s="34" t="s">
        <v>33</v>
      </c>
      <c r="V220" s="34" t="s">
        <v>28</v>
      </c>
      <c r="W220" s="34">
        <v>3000</v>
      </c>
      <c r="X220" s="34" t="s">
        <v>36</v>
      </c>
      <c r="Y220" s="34" t="s">
        <v>29</v>
      </c>
      <c r="Z220" s="36">
        <v>15.789473684210526</v>
      </c>
      <c r="AA220" s="34"/>
      <c r="AB220" s="16"/>
    </row>
    <row r="221" spans="1:28">
      <c r="A221" s="34">
        <v>2</v>
      </c>
      <c r="B221" s="34" t="s">
        <v>30</v>
      </c>
      <c r="C221" s="37" t="s">
        <v>57</v>
      </c>
      <c r="D221" s="34" t="s">
        <v>32</v>
      </c>
      <c r="E221" s="34" t="s">
        <v>33</v>
      </c>
      <c r="F221" s="34" t="s">
        <v>304</v>
      </c>
      <c r="G221" s="34" t="s">
        <v>59</v>
      </c>
      <c r="H221" s="34" t="s">
        <v>305</v>
      </c>
      <c r="I221" s="35">
        <v>46121</v>
      </c>
      <c r="J221" s="34">
        <v>18</v>
      </c>
      <c r="K221" s="34" t="s">
        <v>33</v>
      </c>
      <c r="L221" s="34" t="s">
        <v>60</v>
      </c>
      <c r="M221" s="34">
        <v>39000</v>
      </c>
      <c r="N221" s="34">
        <v>34000</v>
      </c>
      <c r="O221" s="35">
        <v>46122</v>
      </c>
      <c r="P221" s="34">
        <v>5000</v>
      </c>
      <c r="Q221" s="34" t="s">
        <v>33</v>
      </c>
      <c r="R221" s="34" t="s">
        <v>61</v>
      </c>
      <c r="S221" s="34">
        <v>46000</v>
      </c>
      <c r="T221" s="34" t="s">
        <v>33</v>
      </c>
      <c r="U221" s="34" t="s">
        <v>33</v>
      </c>
      <c r="V221" s="34" t="s">
        <v>28</v>
      </c>
      <c r="W221" s="34">
        <v>7000</v>
      </c>
      <c r="X221" s="34" t="s">
        <v>36</v>
      </c>
      <c r="Y221" s="34" t="s">
        <v>29</v>
      </c>
      <c r="Z221" s="36">
        <v>17.948717948717949</v>
      </c>
      <c r="AA221" s="34"/>
      <c r="AB221" s="16"/>
    </row>
    <row r="222" spans="1:28">
      <c r="A222" s="34">
        <v>3</v>
      </c>
      <c r="B222" s="34" t="s">
        <v>30</v>
      </c>
      <c r="C222" s="37" t="s">
        <v>31</v>
      </c>
      <c r="D222" s="34" t="s">
        <v>32</v>
      </c>
      <c r="E222" s="34" t="s">
        <v>33</v>
      </c>
      <c r="F222" s="34" t="s">
        <v>310</v>
      </c>
      <c r="G222" s="34" t="s">
        <v>34</v>
      </c>
      <c r="H222" s="34" t="s">
        <v>309</v>
      </c>
      <c r="I222" s="35">
        <v>46121</v>
      </c>
      <c r="J222" s="34">
        <v>18</v>
      </c>
      <c r="K222" s="34" t="s">
        <v>33</v>
      </c>
      <c r="L222" s="34" t="s">
        <v>160</v>
      </c>
      <c r="M222" s="34">
        <v>19000</v>
      </c>
      <c r="N222" s="34">
        <v>17000</v>
      </c>
      <c r="O222" s="35">
        <v>46122</v>
      </c>
      <c r="P222" s="34">
        <v>2000</v>
      </c>
      <c r="Q222" s="34" t="s">
        <v>33</v>
      </c>
      <c r="R222" s="34" t="s">
        <v>61</v>
      </c>
      <c r="S222" s="34">
        <v>22000</v>
      </c>
      <c r="T222" s="34" t="s">
        <v>33</v>
      </c>
      <c r="U222" s="34" t="s">
        <v>33</v>
      </c>
      <c r="V222" s="34" t="s">
        <v>28</v>
      </c>
      <c r="W222" s="34">
        <v>3000</v>
      </c>
      <c r="X222" s="34" t="s">
        <v>36</v>
      </c>
      <c r="Y222" s="34" t="s">
        <v>29</v>
      </c>
      <c r="Z222" s="36">
        <v>15.789473684210526</v>
      </c>
      <c r="AA222" s="34"/>
      <c r="AB222" s="16"/>
    </row>
    <row r="223" spans="1:28">
      <c r="A223" s="34">
        <v>4</v>
      </c>
      <c r="B223" s="34" t="s">
        <v>30</v>
      </c>
      <c r="C223" s="37" t="s">
        <v>44</v>
      </c>
      <c r="D223" s="34" t="s">
        <v>32</v>
      </c>
      <c r="E223" s="34" t="s">
        <v>33</v>
      </c>
      <c r="F223" s="34" t="s">
        <v>311</v>
      </c>
      <c r="G223" s="34" t="s">
        <v>34</v>
      </c>
      <c r="H223" s="34" t="s">
        <v>312</v>
      </c>
      <c r="I223" s="35">
        <v>46121</v>
      </c>
      <c r="J223" s="34">
        <v>18</v>
      </c>
      <c r="K223" s="34" t="s">
        <v>33</v>
      </c>
      <c r="L223" s="34" t="s">
        <v>160</v>
      </c>
      <c r="M223" s="34">
        <v>19000</v>
      </c>
      <c r="N223" s="34">
        <v>17000</v>
      </c>
      <c r="O223" s="35">
        <v>46122</v>
      </c>
      <c r="P223" s="34">
        <v>2000</v>
      </c>
      <c r="Q223" s="34" t="s">
        <v>33</v>
      </c>
      <c r="R223" s="34" t="s">
        <v>61</v>
      </c>
      <c r="S223" s="34">
        <v>22000</v>
      </c>
      <c r="T223" s="34" t="s">
        <v>33</v>
      </c>
      <c r="U223" s="34" t="s">
        <v>33</v>
      </c>
      <c r="V223" s="34" t="s">
        <v>28</v>
      </c>
      <c r="W223" s="34">
        <v>3000</v>
      </c>
      <c r="X223" s="34" t="s">
        <v>36</v>
      </c>
      <c r="Y223" s="34" t="s">
        <v>29</v>
      </c>
      <c r="Z223" s="36">
        <v>15.789473684210526</v>
      </c>
      <c r="AA223" s="34"/>
      <c r="AB223" s="16"/>
    </row>
    <row r="224" spans="1:28">
      <c r="A224" s="34">
        <v>5</v>
      </c>
      <c r="B224" s="34" t="s">
        <v>30</v>
      </c>
      <c r="C224" s="37" t="s">
        <v>80</v>
      </c>
      <c r="D224" s="34" t="s">
        <v>32</v>
      </c>
      <c r="E224" s="34" t="s">
        <v>33</v>
      </c>
      <c r="F224" s="34" t="s">
        <v>316</v>
      </c>
      <c r="G224" s="34" t="s">
        <v>59</v>
      </c>
      <c r="H224" s="34" t="s">
        <v>317</v>
      </c>
      <c r="I224" s="35">
        <v>46122</v>
      </c>
      <c r="J224" s="34">
        <v>17</v>
      </c>
      <c r="K224" s="34" t="s">
        <v>33</v>
      </c>
      <c r="L224" s="34" t="s">
        <v>160</v>
      </c>
      <c r="M224" s="34">
        <v>39000</v>
      </c>
      <c r="N224" s="34">
        <v>34000</v>
      </c>
      <c r="O224" s="35">
        <v>46122</v>
      </c>
      <c r="P224" s="34">
        <v>5000</v>
      </c>
      <c r="Q224" s="34" t="s">
        <v>33</v>
      </c>
      <c r="R224" s="34" t="s">
        <v>61</v>
      </c>
      <c r="S224" s="34">
        <v>46000</v>
      </c>
      <c r="T224" s="34" t="s">
        <v>33</v>
      </c>
      <c r="U224" s="34" t="s">
        <v>33</v>
      </c>
      <c r="V224" s="34" t="s">
        <v>28</v>
      </c>
      <c r="W224" s="34">
        <v>7000</v>
      </c>
      <c r="X224" s="34" t="s">
        <v>36</v>
      </c>
      <c r="Y224" s="34" t="s">
        <v>29</v>
      </c>
      <c r="Z224" s="36">
        <v>17.948717948717949</v>
      </c>
      <c r="AA224" s="34"/>
      <c r="AB224" s="16"/>
    </row>
    <row r="225" spans="1:28">
      <c r="A225" s="34">
        <v>6</v>
      </c>
      <c r="B225" s="34" t="s">
        <v>30</v>
      </c>
      <c r="C225" s="37" t="s">
        <v>44</v>
      </c>
      <c r="D225" s="34" t="s">
        <v>32</v>
      </c>
      <c r="E225" s="34" t="s">
        <v>33</v>
      </c>
      <c r="F225" s="34" t="s">
        <v>225</v>
      </c>
      <c r="G225" s="34" t="s">
        <v>314</v>
      </c>
      <c r="H225" s="34" t="s">
        <v>339</v>
      </c>
      <c r="I225" s="35">
        <v>46122</v>
      </c>
      <c r="J225" s="34">
        <v>17</v>
      </c>
      <c r="K225" s="34" t="s">
        <v>33</v>
      </c>
      <c r="L225" s="34" t="s">
        <v>160</v>
      </c>
      <c r="M225" s="34">
        <v>27500</v>
      </c>
      <c r="N225" s="34">
        <v>24500</v>
      </c>
      <c r="O225" s="35">
        <v>46123</v>
      </c>
      <c r="P225" s="34">
        <v>3000</v>
      </c>
      <c r="Q225" s="34" t="s">
        <v>33</v>
      </c>
      <c r="R225" s="34" t="s">
        <v>61</v>
      </c>
      <c r="S225" s="34">
        <v>32000</v>
      </c>
      <c r="T225" s="34" t="s">
        <v>33</v>
      </c>
      <c r="U225" s="34" t="s">
        <v>33</v>
      </c>
      <c r="V225" s="34" t="s">
        <v>28</v>
      </c>
      <c r="W225" s="34">
        <v>4500</v>
      </c>
      <c r="X225" s="34" t="s">
        <v>36</v>
      </c>
      <c r="Y225" s="34" t="s">
        <v>29</v>
      </c>
      <c r="Z225" s="36">
        <v>16.363636363636363</v>
      </c>
      <c r="AA225" s="34"/>
      <c r="AB225" s="16"/>
    </row>
    <row r="226" spans="1:28">
      <c r="A226" s="34">
        <v>7</v>
      </c>
      <c r="B226" s="34" t="s">
        <v>30</v>
      </c>
      <c r="C226" s="37" t="s">
        <v>31</v>
      </c>
      <c r="D226" s="34" t="s">
        <v>32</v>
      </c>
      <c r="E226" s="34" t="s">
        <v>33</v>
      </c>
      <c r="F226" s="34" t="s">
        <v>334</v>
      </c>
      <c r="G226" s="34" t="s">
        <v>34</v>
      </c>
      <c r="H226" s="34" t="s">
        <v>335</v>
      </c>
      <c r="I226" s="35">
        <v>46122</v>
      </c>
      <c r="J226" s="34">
        <v>17</v>
      </c>
      <c r="K226" s="34" t="s">
        <v>33</v>
      </c>
      <c r="L226" s="34" t="s">
        <v>336</v>
      </c>
      <c r="M226" s="34">
        <v>19000</v>
      </c>
      <c r="N226" s="34">
        <v>17000</v>
      </c>
      <c r="O226" s="35">
        <v>46123</v>
      </c>
      <c r="P226" s="34">
        <v>2000</v>
      </c>
      <c r="Q226" s="34" t="s">
        <v>33</v>
      </c>
      <c r="R226" s="34" t="s">
        <v>61</v>
      </c>
      <c r="S226" s="34">
        <v>22000</v>
      </c>
      <c r="T226" s="34" t="s">
        <v>33</v>
      </c>
      <c r="U226" s="34" t="s">
        <v>33</v>
      </c>
      <c r="V226" s="34" t="s">
        <v>28</v>
      </c>
      <c r="W226" s="34">
        <v>3000</v>
      </c>
      <c r="X226" s="34" t="s">
        <v>36</v>
      </c>
      <c r="Y226" s="34" t="s">
        <v>29</v>
      </c>
      <c r="Z226" s="36">
        <v>15.789473684210526</v>
      </c>
      <c r="AA226" s="34"/>
      <c r="AB226" s="16"/>
    </row>
    <row r="227" spans="1:28">
      <c r="A227" s="34">
        <v>8</v>
      </c>
      <c r="B227" s="34" t="s">
        <v>30</v>
      </c>
      <c r="C227" s="37" t="s">
        <v>31</v>
      </c>
      <c r="D227" s="34" t="s">
        <v>32</v>
      </c>
      <c r="E227" s="34" t="s">
        <v>33</v>
      </c>
      <c r="F227" s="34" t="s">
        <v>337</v>
      </c>
      <c r="G227" s="34" t="s">
        <v>34</v>
      </c>
      <c r="H227" s="34" t="s">
        <v>338</v>
      </c>
      <c r="I227" s="35">
        <v>46122</v>
      </c>
      <c r="J227" s="34">
        <v>17</v>
      </c>
      <c r="K227" s="34" t="s">
        <v>33</v>
      </c>
      <c r="L227" s="34" t="s">
        <v>336</v>
      </c>
      <c r="M227" s="34">
        <v>19000</v>
      </c>
      <c r="N227" s="34">
        <v>17000</v>
      </c>
      <c r="O227" s="35">
        <v>46123</v>
      </c>
      <c r="P227" s="34">
        <v>2000</v>
      </c>
      <c r="Q227" s="34" t="s">
        <v>33</v>
      </c>
      <c r="R227" s="34" t="s">
        <v>61</v>
      </c>
      <c r="S227" s="34">
        <v>22000</v>
      </c>
      <c r="T227" s="34" t="s">
        <v>33</v>
      </c>
      <c r="U227" s="34" t="s">
        <v>33</v>
      </c>
      <c r="V227" s="34" t="s">
        <v>28</v>
      </c>
      <c r="W227" s="34">
        <v>3000</v>
      </c>
      <c r="X227" s="34" t="s">
        <v>36</v>
      </c>
      <c r="Y227" s="34" t="s">
        <v>29</v>
      </c>
      <c r="Z227" s="36">
        <v>15.789473684210526</v>
      </c>
      <c r="AA227" s="34"/>
      <c r="AB227" s="16"/>
    </row>
    <row r="228" spans="1:28">
      <c r="A228" s="34">
        <v>9</v>
      </c>
      <c r="B228" s="34" t="s">
        <v>30</v>
      </c>
      <c r="C228" s="37" t="s">
        <v>57</v>
      </c>
      <c r="D228" s="34" t="s">
        <v>32</v>
      </c>
      <c r="E228" s="34" t="s">
        <v>33</v>
      </c>
      <c r="F228" s="34" t="s">
        <v>340</v>
      </c>
      <c r="G228" s="34" t="s">
        <v>59</v>
      </c>
      <c r="H228" s="34" t="s">
        <v>341</v>
      </c>
      <c r="I228" s="35">
        <v>46123</v>
      </c>
      <c r="J228" s="34">
        <v>16</v>
      </c>
      <c r="K228" s="34" t="s">
        <v>33</v>
      </c>
      <c r="L228" s="34" t="s">
        <v>160</v>
      </c>
      <c r="M228" s="34">
        <v>39000</v>
      </c>
      <c r="N228" s="34">
        <v>34000</v>
      </c>
      <c r="O228" s="35">
        <v>46123</v>
      </c>
      <c r="P228" s="34">
        <v>5000</v>
      </c>
      <c r="Q228" s="34" t="s">
        <v>33</v>
      </c>
      <c r="R228" s="34" t="s">
        <v>61</v>
      </c>
      <c r="S228" s="34">
        <v>46000</v>
      </c>
      <c r="T228" s="34" t="s">
        <v>33</v>
      </c>
      <c r="U228" s="34" t="s">
        <v>33</v>
      </c>
      <c r="V228" s="34" t="s">
        <v>28</v>
      </c>
      <c r="W228" s="34">
        <v>7000</v>
      </c>
      <c r="X228" s="34" t="s">
        <v>36</v>
      </c>
      <c r="Y228" s="34" t="s">
        <v>29</v>
      </c>
      <c r="Z228" s="36">
        <v>17.948717948717949</v>
      </c>
      <c r="AA228" s="34"/>
      <c r="AB228" s="16" t="s">
        <v>141</v>
      </c>
    </row>
    <row r="229" spans="1:28">
      <c r="A229" s="34">
        <v>10</v>
      </c>
      <c r="B229" s="34" t="s">
        <v>30</v>
      </c>
      <c r="C229" s="37" t="s">
        <v>31</v>
      </c>
      <c r="D229" s="34" t="s">
        <v>32</v>
      </c>
      <c r="E229" s="34" t="s">
        <v>33</v>
      </c>
      <c r="F229" s="34" t="s">
        <v>87</v>
      </c>
      <c r="G229" s="34" t="s">
        <v>34</v>
      </c>
      <c r="H229" s="34" t="s">
        <v>364</v>
      </c>
      <c r="I229" s="35">
        <v>46123</v>
      </c>
      <c r="J229" s="34">
        <v>16</v>
      </c>
      <c r="K229" s="34" t="s">
        <v>33</v>
      </c>
      <c r="L229" s="34" t="s">
        <v>336</v>
      </c>
      <c r="M229" s="34">
        <v>19000</v>
      </c>
      <c r="N229" s="34">
        <v>17000</v>
      </c>
      <c r="O229" s="35">
        <v>46125</v>
      </c>
      <c r="P229" s="34">
        <v>2000</v>
      </c>
      <c r="Q229" s="34" t="s">
        <v>33</v>
      </c>
      <c r="R229" s="34" t="s">
        <v>61</v>
      </c>
      <c r="S229" s="34">
        <v>22000</v>
      </c>
      <c r="T229" s="34" t="s">
        <v>33</v>
      </c>
      <c r="U229" s="34" t="s">
        <v>33</v>
      </c>
      <c r="V229" s="34" t="s">
        <v>28</v>
      </c>
      <c r="W229" s="34">
        <v>3000</v>
      </c>
      <c r="X229" s="34" t="s">
        <v>36</v>
      </c>
      <c r="Y229" s="34" t="s">
        <v>29</v>
      </c>
      <c r="Z229" s="36">
        <v>15.789473684210526</v>
      </c>
      <c r="AA229" s="34"/>
      <c r="AB229" s="16"/>
    </row>
    <row r="230" spans="1:28">
      <c r="A230" s="34">
        <v>11</v>
      </c>
      <c r="B230" s="34" t="s">
        <v>30</v>
      </c>
      <c r="C230" s="37" t="s">
        <v>57</v>
      </c>
      <c r="D230" s="34" t="s">
        <v>32</v>
      </c>
      <c r="E230" s="34" t="s">
        <v>33</v>
      </c>
      <c r="F230" s="34" t="s">
        <v>362</v>
      </c>
      <c r="G230" s="34" t="s">
        <v>314</v>
      </c>
      <c r="H230" s="34" t="s">
        <v>363</v>
      </c>
      <c r="I230" s="35">
        <v>46124</v>
      </c>
      <c r="J230" s="34">
        <v>15</v>
      </c>
      <c r="K230" s="34" t="s">
        <v>33</v>
      </c>
      <c r="L230" s="34" t="s">
        <v>160</v>
      </c>
      <c r="M230" s="34">
        <v>39000</v>
      </c>
      <c r="N230" s="34">
        <v>34000</v>
      </c>
      <c r="O230" s="35">
        <v>46125</v>
      </c>
      <c r="P230" s="34">
        <v>5000</v>
      </c>
      <c r="Q230" s="34" t="s">
        <v>33</v>
      </c>
      <c r="R230" s="34" t="s">
        <v>61</v>
      </c>
      <c r="S230" s="34">
        <v>46000</v>
      </c>
      <c r="T230" s="34" t="s">
        <v>33</v>
      </c>
      <c r="U230" s="34" t="s">
        <v>33</v>
      </c>
      <c r="V230" s="34" t="s">
        <v>28</v>
      </c>
      <c r="W230" s="34">
        <v>7000</v>
      </c>
      <c r="X230" s="34" t="s">
        <v>36</v>
      </c>
      <c r="Y230" s="34" t="s">
        <v>29</v>
      </c>
      <c r="Z230" s="36">
        <v>17.948717948717949</v>
      </c>
      <c r="AA230" s="34"/>
      <c r="AB230" s="16"/>
    </row>
    <row r="231" spans="1:28">
      <c r="A231" s="34">
        <v>12</v>
      </c>
      <c r="B231" s="34" t="s">
        <v>30</v>
      </c>
      <c r="C231" s="37" t="s">
        <v>44</v>
      </c>
      <c r="D231" s="34" t="s">
        <v>32</v>
      </c>
      <c r="E231" s="34" t="s">
        <v>33</v>
      </c>
      <c r="F231" s="34" t="s">
        <v>126</v>
      </c>
      <c r="G231" s="34" t="s">
        <v>314</v>
      </c>
      <c r="H231" s="34" t="s">
        <v>361</v>
      </c>
      <c r="I231" s="35">
        <v>46123</v>
      </c>
      <c r="J231" s="34">
        <v>16</v>
      </c>
      <c r="K231" s="34" t="s">
        <v>33</v>
      </c>
      <c r="L231" s="34" t="s">
        <v>160</v>
      </c>
      <c r="M231" s="34">
        <v>27500</v>
      </c>
      <c r="N231" s="34">
        <v>24500</v>
      </c>
      <c r="O231" s="35">
        <v>46125</v>
      </c>
      <c r="P231" s="34">
        <v>3000</v>
      </c>
      <c r="Q231" s="34" t="s">
        <v>33</v>
      </c>
      <c r="R231" s="34" t="s">
        <v>61</v>
      </c>
      <c r="S231" s="34">
        <v>32000</v>
      </c>
      <c r="T231" s="34" t="s">
        <v>33</v>
      </c>
      <c r="U231" s="34" t="s">
        <v>33</v>
      </c>
      <c r="V231" s="34" t="s">
        <v>28</v>
      </c>
      <c r="W231" s="34">
        <v>4500</v>
      </c>
      <c r="X231" s="34" t="s">
        <v>36</v>
      </c>
      <c r="Y231" s="34" t="s">
        <v>29</v>
      </c>
      <c r="Z231" s="36">
        <v>16.363636363636363</v>
      </c>
      <c r="AA231" s="34"/>
      <c r="AB231" s="16"/>
    </row>
    <row r="232" spans="1:28">
      <c r="A232" s="34">
        <v>13</v>
      </c>
      <c r="B232" s="34" t="s">
        <v>30</v>
      </c>
      <c r="C232" s="37" t="s">
        <v>31</v>
      </c>
      <c r="D232" s="34" t="s">
        <v>32</v>
      </c>
      <c r="E232" s="34" t="s">
        <v>33</v>
      </c>
      <c r="F232" s="34" t="s">
        <v>89</v>
      </c>
      <c r="G232" s="34" t="s">
        <v>34</v>
      </c>
      <c r="H232" s="34" t="s">
        <v>365</v>
      </c>
      <c r="I232" s="35">
        <v>46125</v>
      </c>
      <c r="J232" s="34">
        <v>14</v>
      </c>
      <c r="K232" s="34" t="s">
        <v>33</v>
      </c>
      <c r="L232" s="34" t="s">
        <v>336</v>
      </c>
      <c r="M232" s="34">
        <v>19000</v>
      </c>
      <c r="N232" s="34">
        <v>17000</v>
      </c>
      <c r="O232" s="35">
        <v>46125</v>
      </c>
      <c r="P232" s="34">
        <v>2000</v>
      </c>
      <c r="Q232" s="34" t="s">
        <v>33</v>
      </c>
      <c r="R232" s="34" t="s">
        <v>61</v>
      </c>
      <c r="S232" s="34">
        <v>22000</v>
      </c>
      <c r="T232" s="34" t="s">
        <v>33</v>
      </c>
      <c r="U232" s="34" t="s">
        <v>33</v>
      </c>
      <c r="V232" s="34" t="s">
        <v>28</v>
      </c>
      <c r="W232" s="34">
        <v>3000</v>
      </c>
      <c r="X232" s="34" t="s">
        <v>36</v>
      </c>
      <c r="Y232" s="34" t="s">
        <v>29</v>
      </c>
      <c r="Z232" s="36">
        <v>15.789473684210526</v>
      </c>
      <c r="AA232" s="34"/>
      <c r="AB232" s="16"/>
    </row>
    <row r="233" spans="1:28">
      <c r="A233" s="34">
        <v>14</v>
      </c>
      <c r="B233" s="34" t="s">
        <v>30</v>
      </c>
      <c r="C233" s="37" t="s">
        <v>31</v>
      </c>
      <c r="D233" s="34" t="s">
        <v>32</v>
      </c>
      <c r="E233" s="34" t="s">
        <v>33</v>
      </c>
      <c r="F233" s="34" t="s">
        <v>395</v>
      </c>
      <c r="G233" s="34" t="s">
        <v>34</v>
      </c>
      <c r="H233" s="34" t="s">
        <v>396</v>
      </c>
      <c r="I233" s="35">
        <v>46125</v>
      </c>
      <c r="J233" s="34">
        <v>14</v>
      </c>
      <c r="K233" s="34" t="s">
        <v>33</v>
      </c>
      <c r="L233" s="34" t="s">
        <v>397</v>
      </c>
      <c r="M233" s="34">
        <v>19000</v>
      </c>
      <c r="N233" s="34">
        <v>17000</v>
      </c>
      <c r="O233" s="35">
        <v>46127</v>
      </c>
      <c r="P233" s="34">
        <v>2000</v>
      </c>
      <c r="Q233" s="34" t="s">
        <v>33</v>
      </c>
      <c r="R233" s="34" t="s">
        <v>61</v>
      </c>
      <c r="S233" s="34">
        <v>22000</v>
      </c>
      <c r="T233" s="34" t="s">
        <v>33</v>
      </c>
      <c r="U233" s="34" t="s">
        <v>33</v>
      </c>
      <c r="V233" s="34" t="s">
        <v>28</v>
      </c>
      <c r="W233" s="34">
        <v>3000</v>
      </c>
      <c r="X233" s="34" t="s">
        <v>36</v>
      </c>
      <c r="Y233" s="34" t="s">
        <v>29</v>
      </c>
      <c r="Z233" s="36">
        <v>15.789473684210526</v>
      </c>
      <c r="AA233" s="34"/>
      <c r="AB233" s="16"/>
    </row>
    <row r="234" spans="1:28">
      <c r="A234" s="34">
        <v>15</v>
      </c>
      <c r="B234" s="34" t="s">
        <v>30</v>
      </c>
      <c r="C234" s="37" t="s">
        <v>31</v>
      </c>
      <c r="D234" s="34" t="s">
        <v>32</v>
      </c>
      <c r="E234" s="34" t="s">
        <v>33</v>
      </c>
      <c r="F234" s="34" t="s">
        <v>416</v>
      </c>
      <c r="G234" s="34" t="s">
        <v>34</v>
      </c>
      <c r="H234" s="34" t="s">
        <v>417</v>
      </c>
      <c r="I234" s="35">
        <v>46127</v>
      </c>
      <c r="J234" s="34">
        <v>12</v>
      </c>
      <c r="K234" s="34" t="s">
        <v>33</v>
      </c>
      <c r="L234" s="34" t="s">
        <v>397</v>
      </c>
      <c r="M234" s="34">
        <v>19000</v>
      </c>
      <c r="N234" s="34">
        <v>17000</v>
      </c>
      <c r="O234" s="35">
        <v>46127</v>
      </c>
      <c r="P234" s="34">
        <v>2000</v>
      </c>
      <c r="Q234" s="34" t="s">
        <v>33</v>
      </c>
      <c r="R234" s="34" t="s">
        <v>61</v>
      </c>
      <c r="S234" s="34">
        <v>22000</v>
      </c>
      <c r="T234" s="34" t="s">
        <v>33</v>
      </c>
      <c r="U234" s="34" t="s">
        <v>33</v>
      </c>
      <c r="V234" s="34" t="s">
        <v>28</v>
      </c>
      <c r="W234" s="34">
        <v>3000</v>
      </c>
      <c r="X234" s="34" t="s">
        <v>36</v>
      </c>
      <c r="Y234" s="34" t="s">
        <v>29</v>
      </c>
      <c r="Z234" s="36">
        <v>15.789473684210526</v>
      </c>
      <c r="AA234" s="34"/>
      <c r="AB234" s="16"/>
    </row>
    <row r="235" spans="1:28">
      <c r="A235" s="34">
        <v>16</v>
      </c>
      <c r="B235" s="34" t="s">
        <v>30</v>
      </c>
      <c r="C235" s="37" t="s">
        <v>57</v>
      </c>
      <c r="D235" s="34" t="s">
        <v>32</v>
      </c>
      <c r="E235" s="34" t="s">
        <v>33</v>
      </c>
      <c r="F235" s="34" t="s">
        <v>58</v>
      </c>
      <c r="G235" s="34" t="s">
        <v>314</v>
      </c>
      <c r="H235" s="34" t="s">
        <v>428</v>
      </c>
      <c r="I235" s="35">
        <v>46126</v>
      </c>
      <c r="J235" s="34">
        <v>13</v>
      </c>
      <c r="K235" s="34" t="s">
        <v>33</v>
      </c>
      <c r="L235" s="34" t="s">
        <v>160</v>
      </c>
      <c r="M235" s="34">
        <v>39000</v>
      </c>
      <c r="N235" s="34">
        <v>34000</v>
      </c>
      <c r="O235" s="35">
        <v>46127</v>
      </c>
      <c r="P235" s="34">
        <v>5000</v>
      </c>
      <c r="Q235" s="34" t="s">
        <v>33</v>
      </c>
      <c r="R235" s="34" t="s">
        <v>61</v>
      </c>
      <c r="S235" s="34">
        <v>46000</v>
      </c>
      <c r="T235" s="34" t="s">
        <v>33</v>
      </c>
      <c r="U235" s="34" t="s">
        <v>33</v>
      </c>
      <c r="V235" s="34" t="s">
        <v>28</v>
      </c>
      <c r="W235" s="34">
        <v>7000</v>
      </c>
      <c r="X235" s="34" t="s">
        <v>36</v>
      </c>
      <c r="Y235" s="34" t="s">
        <v>29</v>
      </c>
      <c r="Z235" s="36">
        <v>17.948717948717949</v>
      </c>
      <c r="AA235" s="34"/>
      <c r="AB235" s="16"/>
    </row>
    <row r="236" spans="1:28">
      <c r="A236" s="34">
        <v>17</v>
      </c>
      <c r="B236" s="34" t="s">
        <v>30</v>
      </c>
      <c r="C236" s="37" t="s">
        <v>57</v>
      </c>
      <c r="D236" s="34" t="s">
        <v>32</v>
      </c>
      <c r="E236" s="34" t="s">
        <v>33</v>
      </c>
      <c r="F236" s="34" t="s">
        <v>429</v>
      </c>
      <c r="G236" s="34" t="s">
        <v>314</v>
      </c>
      <c r="H236" s="34" t="s">
        <v>430</v>
      </c>
      <c r="I236" s="35">
        <v>46127</v>
      </c>
      <c r="J236" s="34">
        <v>12</v>
      </c>
      <c r="K236" s="34" t="s">
        <v>33</v>
      </c>
      <c r="L236" s="34" t="s">
        <v>160</v>
      </c>
      <c r="M236" s="34">
        <v>39000</v>
      </c>
      <c r="N236" s="34">
        <v>34000</v>
      </c>
      <c r="O236" s="35">
        <v>46127</v>
      </c>
      <c r="P236" s="34">
        <v>5000</v>
      </c>
      <c r="Q236" s="34" t="s">
        <v>33</v>
      </c>
      <c r="R236" s="34" t="s">
        <v>61</v>
      </c>
      <c r="S236" s="34">
        <v>46000</v>
      </c>
      <c r="T236" s="34" t="s">
        <v>33</v>
      </c>
      <c r="U236" s="34" t="s">
        <v>33</v>
      </c>
      <c r="V236" s="34" t="s">
        <v>28</v>
      </c>
      <c r="W236" s="34">
        <v>7000</v>
      </c>
      <c r="X236" s="34" t="s">
        <v>36</v>
      </c>
      <c r="Y236" s="34" t="s">
        <v>29</v>
      </c>
      <c r="Z236" s="36">
        <v>17.948717948717949</v>
      </c>
      <c r="AA236" s="34"/>
      <c r="AB236" s="16"/>
    </row>
    <row r="237" spans="1:28">
      <c r="A237" s="34">
        <v>18</v>
      </c>
      <c r="B237" s="34" t="s">
        <v>30</v>
      </c>
      <c r="C237" s="37" t="s">
        <v>44</v>
      </c>
      <c r="D237" s="34" t="s">
        <v>32</v>
      </c>
      <c r="E237" s="34" t="s">
        <v>33</v>
      </c>
      <c r="F237" s="34" t="s">
        <v>431</v>
      </c>
      <c r="G237" s="34" t="s">
        <v>314</v>
      </c>
      <c r="H237" s="34" t="s">
        <v>432</v>
      </c>
      <c r="I237" s="35">
        <v>46126</v>
      </c>
      <c r="J237" s="34">
        <v>13</v>
      </c>
      <c r="K237" s="34" t="s">
        <v>33</v>
      </c>
      <c r="L237" s="34" t="s">
        <v>160</v>
      </c>
      <c r="M237" s="34">
        <v>27500</v>
      </c>
      <c r="N237" s="34">
        <v>24500</v>
      </c>
      <c r="O237" s="35">
        <v>46127</v>
      </c>
      <c r="P237" s="34">
        <v>3000</v>
      </c>
      <c r="Q237" s="34" t="s">
        <v>33</v>
      </c>
      <c r="R237" s="34" t="s">
        <v>61</v>
      </c>
      <c r="S237" s="34">
        <v>32000</v>
      </c>
      <c r="T237" s="34" t="s">
        <v>33</v>
      </c>
      <c r="U237" s="34" t="s">
        <v>33</v>
      </c>
      <c r="V237" s="34" t="s">
        <v>28</v>
      </c>
      <c r="W237" s="34">
        <v>4500</v>
      </c>
      <c r="X237" s="34" t="s">
        <v>36</v>
      </c>
      <c r="Y237" s="34" t="s">
        <v>29</v>
      </c>
      <c r="Z237" s="36">
        <v>16.363636363636363</v>
      </c>
      <c r="AA237" s="34"/>
      <c r="AB237" s="16"/>
    </row>
    <row r="238" spans="1:28">
      <c r="A238" s="34">
        <v>19</v>
      </c>
      <c r="B238" s="34" t="s">
        <v>30</v>
      </c>
      <c r="C238" s="37" t="s">
        <v>31</v>
      </c>
      <c r="D238" s="34" t="s">
        <v>32</v>
      </c>
      <c r="E238" s="34" t="s">
        <v>33</v>
      </c>
      <c r="F238" s="40" t="s">
        <v>159</v>
      </c>
      <c r="G238" s="34" t="s">
        <v>34</v>
      </c>
      <c r="H238" s="40" t="s">
        <v>454</v>
      </c>
      <c r="I238" s="35">
        <v>46127</v>
      </c>
      <c r="J238" s="34">
        <v>12</v>
      </c>
      <c r="K238" s="34" t="s">
        <v>33</v>
      </c>
      <c r="L238" s="34" t="s">
        <v>397</v>
      </c>
      <c r="M238" s="34">
        <v>19000</v>
      </c>
      <c r="N238" s="34">
        <v>17000</v>
      </c>
      <c r="O238" s="35">
        <v>46128</v>
      </c>
      <c r="P238" s="34">
        <v>2000</v>
      </c>
      <c r="Q238" s="34" t="s">
        <v>33</v>
      </c>
      <c r="R238" s="34" t="s">
        <v>61</v>
      </c>
      <c r="S238" s="34">
        <v>22000</v>
      </c>
      <c r="T238" s="34" t="s">
        <v>33</v>
      </c>
      <c r="U238" s="34" t="s">
        <v>33</v>
      </c>
      <c r="V238" s="34" t="s">
        <v>28</v>
      </c>
      <c r="W238" s="34">
        <v>3000</v>
      </c>
      <c r="X238" s="34" t="s">
        <v>36</v>
      </c>
      <c r="Y238" s="34" t="s">
        <v>29</v>
      </c>
      <c r="Z238" s="36">
        <v>15.789473684210526</v>
      </c>
      <c r="AA238" s="34"/>
      <c r="AB238" s="16"/>
    </row>
    <row r="239" spans="1:28">
      <c r="A239" s="34">
        <v>20</v>
      </c>
      <c r="B239" s="34" t="s">
        <v>30</v>
      </c>
      <c r="C239" s="37" t="s">
        <v>31</v>
      </c>
      <c r="D239" s="34" t="s">
        <v>32</v>
      </c>
      <c r="E239" s="34" t="s">
        <v>33</v>
      </c>
      <c r="F239" s="40" t="s">
        <v>455</v>
      </c>
      <c r="G239" s="34" t="s">
        <v>34</v>
      </c>
      <c r="H239" s="40" t="s">
        <v>456</v>
      </c>
      <c r="I239" s="35">
        <v>46127</v>
      </c>
      <c r="J239" s="34">
        <v>12</v>
      </c>
      <c r="K239" s="34" t="s">
        <v>33</v>
      </c>
      <c r="L239" s="34" t="s">
        <v>397</v>
      </c>
      <c r="M239" s="34">
        <v>19000</v>
      </c>
      <c r="N239" s="34">
        <v>17000</v>
      </c>
      <c r="O239" s="35">
        <v>46128</v>
      </c>
      <c r="P239" s="34">
        <v>2000</v>
      </c>
      <c r="Q239" s="34" t="s">
        <v>33</v>
      </c>
      <c r="R239" s="34" t="s">
        <v>61</v>
      </c>
      <c r="S239" s="34">
        <v>22000</v>
      </c>
      <c r="T239" s="34" t="s">
        <v>33</v>
      </c>
      <c r="U239" s="34" t="s">
        <v>33</v>
      </c>
      <c r="V239" s="34" t="s">
        <v>28</v>
      </c>
      <c r="W239" s="34">
        <v>3000</v>
      </c>
      <c r="X239" s="34" t="s">
        <v>36</v>
      </c>
      <c r="Y239" s="34" t="s">
        <v>29</v>
      </c>
      <c r="Z239" s="36">
        <v>15.789473684210526</v>
      </c>
      <c r="AA239" s="34"/>
      <c r="AB239" s="16"/>
    </row>
    <row r="240" spans="1:28">
      <c r="A240" s="34">
        <v>21</v>
      </c>
      <c r="B240" s="34" t="s">
        <v>30</v>
      </c>
      <c r="C240" s="37" t="s">
        <v>44</v>
      </c>
      <c r="D240" s="34" t="s">
        <v>32</v>
      </c>
      <c r="E240" s="34" t="s">
        <v>33</v>
      </c>
      <c r="F240" s="40" t="s">
        <v>457</v>
      </c>
      <c r="G240" s="34" t="s">
        <v>314</v>
      </c>
      <c r="H240" s="40" t="s">
        <v>458</v>
      </c>
      <c r="I240" s="35">
        <v>46128</v>
      </c>
      <c r="J240" s="34">
        <v>11</v>
      </c>
      <c r="K240" s="34" t="s">
        <v>33</v>
      </c>
      <c r="L240" s="40" t="s">
        <v>459</v>
      </c>
      <c r="M240" s="34">
        <v>39000</v>
      </c>
      <c r="N240" s="34">
        <v>34000</v>
      </c>
      <c r="O240" s="35">
        <v>46128</v>
      </c>
      <c r="P240" s="34">
        <v>5000</v>
      </c>
      <c r="Q240" s="34" t="s">
        <v>33</v>
      </c>
      <c r="R240" s="34" t="s">
        <v>61</v>
      </c>
      <c r="S240" s="34">
        <v>46000</v>
      </c>
      <c r="T240" s="34" t="s">
        <v>33</v>
      </c>
      <c r="U240" s="34" t="s">
        <v>33</v>
      </c>
      <c r="V240" s="34" t="s">
        <v>28</v>
      </c>
      <c r="W240" s="34">
        <v>7000</v>
      </c>
      <c r="X240" s="34" t="s">
        <v>36</v>
      </c>
      <c r="Y240" s="34" t="s">
        <v>29</v>
      </c>
      <c r="Z240" s="36">
        <v>17.948717948717949</v>
      </c>
      <c r="AA240" s="34"/>
      <c r="AB240" s="16"/>
    </row>
    <row r="241" spans="1:28">
      <c r="A241" s="34">
        <v>22</v>
      </c>
      <c r="B241" s="34" t="s">
        <v>30</v>
      </c>
      <c r="C241" s="37" t="s">
        <v>31</v>
      </c>
      <c r="D241" s="34" t="s">
        <v>32</v>
      </c>
      <c r="E241" s="34" t="s">
        <v>33</v>
      </c>
      <c r="F241" s="40" t="s">
        <v>493</v>
      </c>
      <c r="G241" s="34" t="s">
        <v>34</v>
      </c>
      <c r="H241" s="40" t="s">
        <v>494</v>
      </c>
      <c r="I241" s="35">
        <v>46128</v>
      </c>
      <c r="J241" s="34">
        <v>11</v>
      </c>
      <c r="K241" s="34" t="s">
        <v>33</v>
      </c>
      <c r="L241" s="34" t="s">
        <v>397</v>
      </c>
      <c r="M241" s="34">
        <v>19000</v>
      </c>
      <c r="N241" s="34">
        <v>17000</v>
      </c>
      <c r="O241" s="35">
        <v>46129</v>
      </c>
      <c r="P241" s="34">
        <v>2000</v>
      </c>
      <c r="Q241" s="34" t="s">
        <v>33</v>
      </c>
      <c r="R241" s="34" t="s">
        <v>61</v>
      </c>
      <c r="S241" s="34">
        <v>22000</v>
      </c>
      <c r="T241" s="34" t="s">
        <v>33</v>
      </c>
      <c r="U241" s="34" t="s">
        <v>33</v>
      </c>
      <c r="V241" s="34" t="s">
        <v>28</v>
      </c>
      <c r="W241" s="34">
        <v>3000</v>
      </c>
      <c r="X241" s="34" t="s">
        <v>36</v>
      </c>
      <c r="Y241" s="34" t="s">
        <v>29</v>
      </c>
      <c r="Z241" s="36">
        <v>15.789473684210526</v>
      </c>
      <c r="AA241" s="34"/>
      <c r="AB241" s="16"/>
    </row>
    <row r="242" spans="1:28">
      <c r="A242" s="34">
        <v>23</v>
      </c>
      <c r="B242" s="34" t="s">
        <v>30</v>
      </c>
      <c r="C242" s="37" t="s">
        <v>31</v>
      </c>
      <c r="D242" s="34" t="s">
        <v>32</v>
      </c>
      <c r="E242" s="34" t="s">
        <v>33</v>
      </c>
      <c r="F242" s="40" t="s">
        <v>495</v>
      </c>
      <c r="G242" s="34" t="s">
        <v>34</v>
      </c>
      <c r="H242" s="40" t="s">
        <v>496</v>
      </c>
      <c r="I242" s="35">
        <v>46128</v>
      </c>
      <c r="J242" s="34">
        <v>11</v>
      </c>
      <c r="K242" s="34" t="s">
        <v>33</v>
      </c>
      <c r="L242" s="34" t="s">
        <v>397</v>
      </c>
      <c r="M242" s="34">
        <v>19000</v>
      </c>
      <c r="N242" s="34">
        <v>17000</v>
      </c>
      <c r="O242" s="35">
        <v>46129</v>
      </c>
      <c r="P242" s="34">
        <v>2000</v>
      </c>
      <c r="Q242" s="34" t="s">
        <v>33</v>
      </c>
      <c r="R242" s="34" t="s">
        <v>61</v>
      </c>
      <c r="S242" s="34">
        <v>22000</v>
      </c>
      <c r="T242" s="34" t="s">
        <v>33</v>
      </c>
      <c r="U242" s="34" t="s">
        <v>33</v>
      </c>
      <c r="V242" s="34" t="s">
        <v>28</v>
      </c>
      <c r="W242" s="34">
        <v>3000</v>
      </c>
      <c r="X242" s="34" t="s">
        <v>36</v>
      </c>
      <c r="Y242" s="34" t="s">
        <v>29</v>
      </c>
      <c r="Z242" s="36">
        <v>15.789473684210526</v>
      </c>
      <c r="AA242" s="34"/>
      <c r="AB242" s="16"/>
    </row>
    <row r="243" spans="1:28">
      <c r="A243" s="34">
        <v>24</v>
      </c>
      <c r="B243" s="34" t="s">
        <v>30</v>
      </c>
      <c r="C243" s="37" t="s">
        <v>57</v>
      </c>
      <c r="D243" s="34" t="s">
        <v>32</v>
      </c>
      <c r="E243" s="34" t="s">
        <v>33</v>
      </c>
      <c r="F243" s="40" t="s">
        <v>429</v>
      </c>
      <c r="G243" s="34" t="s">
        <v>314</v>
      </c>
      <c r="H243" s="40" t="s">
        <v>526</v>
      </c>
      <c r="I243" s="35">
        <v>46129</v>
      </c>
      <c r="J243" s="34">
        <v>10</v>
      </c>
      <c r="K243" s="34" t="s">
        <v>33</v>
      </c>
      <c r="L243" s="34" t="s">
        <v>160</v>
      </c>
      <c r="M243" s="34">
        <v>39000</v>
      </c>
      <c r="N243" s="34">
        <v>34000</v>
      </c>
      <c r="O243" s="35">
        <v>46130</v>
      </c>
      <c r="P243" s="34">
        <v>5000</v>
      </c>
      <c r="Q243" s="34" t="s">
        <v>33</v>
      </c>
      <c r="R243" s="34" t="s">
        <v>61</v>
      </c>
      <c r="S243" s="34">
        <v>46000</v>
      </c>
      <c r="T243" s="34" t="s">
        <v>33</v>
      </c>
      <c r="U243" s="34" t="s">
        <v>33</v>
      </c>
      <c r="V243" s="34" t="s">
        <v>28</v>
      </c>
      <c r="W243" s="34">
        <v>7000</v>
      </c>
      <c r="X243" s="34" t="s">
        <v>36</v>
      </c>
      <c r="Y243" s="34" t="s">
        <v>29</v>
      </c>
      <c r="Z243" s="36">
        <v>17.948717948717949</v>
      </c>
      <c r="AA243" s="34"/>
      <c r="AB243" s="16"/>
    </row>
    <row r="244" spans="1:28">
      <c r="A244" s="34">
        <v>25</v>
      </c>
      <c r="B244" s="34" t="s">
        <v>30</v>
      </c>
      <c r="C244" s="37" t="s">
        <v>31</v>
      </c>
      <c r="D244" s="34" t="s">
        <v>32</v>
      </c>
      <c r="E244" s="34" t="s">
        <v>33</v>
      </c>
      <c r="F244" s="40" t="s">
        <v>544</v>
      </c>
      <c r="G244" s="34" t="s">
        <v>34</v>
      </c>
      <c r="H244" s="40" t="s">
        <v>545</v>
      </c>
      <c r="I244" s="35">
        <v>46130</v>
      </c>
      <c r="J244" s="34">
        <v>9</v>
      </c>
      <c r="K244" s="34" t="s">
        <v>33</v>
      </c>
      <c r="L244" s="34" t="s">
        <v>397</v>
      </c>
      <c r="M244" s="34">
        <v>19000</v>
      </c>
      <c r="N244" s="34">
        <v>17000</v>
      </c>
      <c r="O244" s="35">
        <v>46130</v>
      </c>
      <c r="P244" s="34">
        <v>2000</v>
      </c>
      <c r="Q244" s="34" t="s">
        <v>33</v>
      </c>
      <c r="R244" s="34" t="s">
        <v>61</v>
      </c>
      <c r="S244" s="34">
        <v>22000</v>
      </c>
      <c r="T244" s="34" t="s">
        <v>33</v>
      </c>
      <c r="U244" s="34" t="s">
        <v>33</v>
      </c>
      <c r="V244" s="34" t="s">
        <v>28</v>
      </c>
      <c r="W244" s="34">
        <v>3000</v>
      </c>
      <c r="X244" s="34" t="s">
        <v>36</v>
      </c>
      <c r="Y244" s="34" t="s">
        <v>29</v>
      </c>
      <c r="Z244" s="36">
        <v>15.789473684210526</v>
      </c>
      <c r="AA244" s="34"/>
      <c r="AB244" s="16"/>
    </row>
    <row r="245" spans="1:28">
      <c r="A245" s="34">
        <v>26</v>
      </c>
      <c r="B245" s="34" t="s">
        <v>30</v>
      </c>
      <c r="C245" s="37" t="s">
        <v>44</v>
      </c>
      <c r="D245" s="34" t="s">
        <v>32</v>
      </c>
      <c r="E245" s="34" t="s">
        <v>33</v>
      </c>
      <c r="F245" s="40" t="s">
        <v>547</v>
      </c>
      <c r="G245" s="34" t="s">
        <v>314</v>
      </c>
      <c r="H245" s="40" t="s">
        <v>548</v>
      </c>
      <c r="I245" s="35">
        <v>46129</v>
      </c>
      <c r="J245" s="34">
        <v>10</v>
      </c>
      <c r="K245" s="34" t="s">
        <v>33</v>
      </c>
      <c r="L245" s="34" t="s">
        <v>549</v>
      </c>
      <c r="M245" s="34">
        <v>27500</v>
      </c>
      <c r="N245" s="34">
        <v>24500</v>
      </c>
      <c r="O245" s="35">
        <v>46130</v>
      </c>
      <c r="P245" s="34">
        <v>3000</v>
      </c>
      <c r="Q245" s="34" t="s">
        <v>33</v>
      </c>
      <c r="R245" s="34" t="s">
        <v>61</v>
      </c>
      <c r="S245" s="34">
        <v>32000</v>
      </c>
      <c r="T245" s="34" t="s">
        <v>33</v>
      </c>
      <c r="U245" s="34" t="s">
        <v>33</v>
      </c>
      <c r="V245" s="34" t="s">
        <v>28</v>
      </c>
      <c r="W245" s="34">
        <v>4500</v>
      </c>
      <c r="X245" s="34" t="s">
        <v>36</v>
      </c>
      <c r="Y245" s="34" t="s">
        <v>29</v>
      </c>
      <c r="Z245" s="36">
        <v>16.363636363636363</v>
      </c>
      <c r="AA245" s="34"/>
      <c r="AB245" s="16"/>
    </row>
    <row r="246" spans="1:28">
      <c r="A246" s="34">
        <v>27</v>
      </c>
      <c r="B246" s="34" t="s">
        <v>30</v>
      </c>
      <c r="C246" s="37" t="s">
        <v>31</v>
      </c>
      <c r="D246" s="34" t="s">
        <v>32</v>
      </c>
      <c r="E246" s="34" t="s">
        <v>33</v>
      </c>
      <c r="F246" s="40" t="s">
        <v>92</v>
      </c>
      <c r="G246" s="34" t="s">
        <v>34</v>
      </c>
      <c r="H246" s="40" t="s">
        <v>546</v>
      </c>
      <c r="I246" s="35">
        <v>46128</v>
      </c>
      <c r="J246" s="34">
        <v>11</v>
      </c>
      <c r="K246" s="34" t="s">
        <v>33</v>
      </c>
      <c r="L246" s="34" t="s">
        <v>397</v>
      </c>
      <c r="M246" s="34">
        <v>19000</v>
      </c>
      <c r="N246" s="34">
        <v>17000</v>
      </c>
      <c r="O246" s="35">
        <v>46130</v>
      </c>
      <c r="P246" s="34">
        <v>2000</v>
      </c>
      <c r="Q246" s="34" t="s">
        <v>33</v>
      </c>
      <c r="R246" s="34" t="s">
        <v>61</v>
      </c>
      <c r="S246" s="34">
        <v>22000</v>
      </c>
      <c r="T246" s="34" t="s">
        <v>33</v>
      </c>
      <c r="U246" s="34" t="s">
        <v>33</v>
      </c>
      <c r="V246" s="34" t="s">
        <v>28</v>
      </c>
      <c r="W246" s="34">
        <v>3000</v>
      </c>
      <c r="X246" s="34" t="s">
        <v>36</v>
      </c>
      <c r="Y246" s="34" t="s">
        <v>29</v>
      </c>
      <c r="Z246" s="36">
        <v>15.789473684210526</v>
      </c>
      <c r="AA246" s="34"/>
      <c r="AB246" s="16"/>
    </row>
    <row r="247" spans="1:28">
      <c r="A247" s="34">
        <v>28</v>
      </c>
      <c r="B247" s="34" t="s">
        <v>30</v>
      </c>
      <c r="C247" s="37" t="s">
        <v>80</v>
      </c>
      <c r="D247" s="34" t="s">
        <v>32</v>
      </c>
      <c r="E247" s="34" t="s">
        <v>33</v>
      </c>
      <c r="F247" s="40" t="s">
        <v>613</v>
      </c>
      <c r="G247" s="34" t="s">
        <v>59</v>
      </c>
      <c r="H247" s="40" t="s">
        <v>614</v>
      </c>
      <c r="I247" s="35">
        <v>46130</v>
      </c>
      <c r="J247" s="34">
        <v>9</v>
      </c>
      <c r="K247" s="34" t="s">
        <v>33</v>
      </c>
      <c r="L247" s="34" t="s">
        <v>270</v>
      </c>
      <c r="M247" s="34">
        <v>39000</v>
      </c>
      <c r="N247" s="34">
        <v>34000</v>
      </c>
      <c r="O247" s="35">
        <v>46132</v>
      </c>
      <c r="P247" s="34">
        <v>5000</v>
      </c>
      <c r="Q247" s="34" t="s">
        <v>33</v>
      </c>
      <c r="R247" s="34" t="s">
        <v>61</v>
      </c>
      <c r="S247" s="34">
        <v>46000</v>
      </c>
      <c r="T247" s="34" t="s">
        <v>33</v>
      </c>
      <c r="U247" s="34" t="s">
        <v>33</v>
      </c>
      <c r="V247" s="34" t="s">
        <v>28</v>
      </c>
      <c r="W247" s="34">
        <v>7000</v>
      </c>
      <c r="X247" s="34" t="s">
        <v>36</v>
      </c>
      <c r="Y247" s="34" t="s">
        <v>29</v>
      </c>
      <c r="Z247" s="36">
        <v>17.948717948717949</v>
      </c>
      <c r="AA247" s="34"/>
      <c r="AB247" s="16"/>
    </row>
    <row r="248" spans="1:28">
      <c r="A248" s="34">
        <v>29</v>
      </c>
      <c r="B248" s="34" t="s">
        <v>30</v>
      </c>
      <c r="C248" s="37" t="s">
        <v>31</v>
      </c>
      <c r="D248" s="34" t="s">
        <v>32</v>
      </c>
      <c r="E248" s="34" t="s">
        <v>33</v>
      </c>
      <c r="F248" s="40" t="s">
        <v>615</v>
      </c>
      <c r="G248" s="34" t="s">
        <v>34</v>
      </c>
      <c r="H248" s="40" t="s">
        <v>616</v>
      </c>
      <c r="I248" s="35">
        <v>46130</v>
      </c>
      <c r="J248" s="34">
        <v>9</v>
      </c>
      <c r="K248" s="34" t="s">
        <v>33</v>
      </c>
      <c r="L248" s="34" t="s">
        <v>397</v>
      </c>
      <c r="M248" s="34">
        <v>19000</v>
      </c>
      <c r="N248" s="34">
        <v>17000</v>
      </c>
      <c r="O248" s="35">
        <v>46132</v>
      </c>
      <c r="P248" s="34">
        <v>2000</v>
      </c>
      <c r="Q248" s="34" t="s">
        <v>33</v>
      </c>
      <c r="R248" s="34" t="s">
        <v>61</v>
      </c>
      <c r="S248" s="34">
        <v>22000</v>
      </c>
      <c r="T248" s="34" t="s">
        <v>33</v>
      </c>
      <c r="U248" s="34" t="s">
        <v>33</v>
      </c>
      <c r="V248" s="34" t="s">
        <v>28</v>
      </c>
      <c r="W248" s="34">
        <v>3000</v>
      </c>
      <c r="X248" s="34" t="s">
        <v>36</v>
      </c>
      <c r="Y248" s="34" t="s">
        <v>29</v>
      </c>
      <c r="Z248" s="36">
        <v>15.789473684210526</v>
      </c>
      <c r="AA248" s="34"/>
      <c r="AB248" s="16"/>
    </row>
    <row r="249" spans="1:28">
      <c r="A249" s="34">
        <v>30</v>
      </c>
      <c r="B249" s="34" t="s">
        <v>30</v>
      </c>
      <c r="C249" s="37" t="s">
        <v>57</v>
      </c>
      <c r="D249" s="34" t="s">
        <v>32</v>
      </c>
      <c r="E249" s="34" t="s">
        <v>33</v>
      </c>
      <c r="F249" s="40" t="s">
        <v>58</v>
      </c>
      <c r="G249" s="34" t="s">
        <v>314</v>
      </c>
      <c r="H249" s="40" t="s">
        <v>617</v>
      </c>
      <c r="I249" s="35">
        <v>46131</v>
      </c>
      <c r="J249" s="34">
        <v>8</v>
      </c>
      <c r="K249" s="34" t="s">
        <v>33</v>
      </c>
      <c r="L249" s="34" t="s">
        <v>60</v>
      </c>
      <c r="M249" s="34">
        <v>39000</v>
      </c>
      <c r="N249" s="34">
        <v>34000</v>
      </c>
      <c r="O249" s="35">
        <v>46132</v>
      </c>
      <c r="P249" s="34">
        <v>5000</v>
      </c>
      <c r="Q249" s="34" t="s">
        <v>33</v>
      </c>
      <c r="R249" s="34" t="s">
        <v>61</v>
      </c>
      <c r="S249" s="34">
        <v>46000</v>
      </c>
      <c r="T249" s="34" t="s">
        <v>33</v>
      </c>
      <c r="U249" s="34" t="s">
        <v>33</v>
      </c>
      <c r="V249" s="34" t="s">
        <v>28</v>
      </c>
      <c r="W249" s="34">
        <v>7000</v>
      </c>
      <c r="X249" s="34" t="s">
        <v>36</v>
      </c>
      <c r="Y249" s="34" t="s">
        <v>29</v>
      </c>
      <c r="Z249" s="36">
        <v>17.948717948717949</v>
      </c>
      <c r="AA249" s="34"/>
      <c r="AB249" s="16"/>
    </row>
    <row r="250" spans="1:28">
      <c r="A250" s="34">
        <v>31</v>
      </c>
      <c r="B250" s="34" t="s">
        <v>30</v>
      </c>
      <c r="C250" s="37" t="s">
        <v>44</v>
      </c>
      <c r="D250" s="34" t="s">
        <v>32</v>
      </c>
      <c r="E250" s="34" t="s">
        <v>33</v>
      </c>
      <c r="F250" s="40" t="s">
        <v>126</v>
      </c>
      <c r="G250" s="34" t="s">
        <v>314</v>
      </c>
      <c r="H250" s="40" t="s">
        <v>618</v>
      </c>
      <c r="I250" s="35">
        <v>46130</v>
      </c>
      <c r="J250" s="34">
        <v>9</v>
      </c>
      <c r="K250" s="34" t="s">
        <v>33</v>
      </c>
      <c r="L250" s="34" t="s">
        <v>549</v>
      </c>
      <c r="M250" s="34">
        <v>27500</v>
      </c>
      <c r="N250" s="34">
        <v>24500</v>
      </c>
      <c r="O250" s="35">
        <v>46132</v>
      </c>
      <c r="P250" s="34">
        <v>3000</v>
      </c>
      <c r="Q250" s="34" t="s">
        <v>33</v>
      </c>
      <c r="R250" s="34" t="s">
        <v>61</v>
      </c>
      <c r="S250" s="34">
        <v>32000</v>
      </c>
      <c r="T250" s="34" t="s">
        <v>33</v>
      </c>
      <c r="U250" s="34" t="s">
        <v>33</v>
      </c>
      <c r="V250" s="34" t="s">
        <v>28</v>
      </c>
      <c r="W250" s="34">
        <v>4500</v>
      </c>
      <c r="X250" s="34" t="s">
        <v>36</v>
      </c>
      <c r="Y250" s="34" t="s">
        <v>29</v>
      </c>
      <c r="Z250" s="36">
        <v>16.363636363636363</v>
      </c>
      <c r="AA250" s="34"/>
      <c r="AB250" s="16"/>
    </row>
    <row r="251" spans="1:28">
      <c r="A251" s="34">
        <v>32</v>
      </c>
      <c r="B251" s="34" t="s">
        <v>30</v>
      </c>
      <c r="C251" s="37" t="s">
        <v>31</v>
      </c>
      <c r="D251" s="34" t="s">
        <v>32</v>
      </c>
      <c r="E251" s="34" t="s">
        <v>33</v>
      </c>
      <c r="F251" s="40" t="s">
        <v>271</v>
      </c>
      <c r="G251" s="34" t="s">
        <v>34</v>
      </c>
      <c r="H251" s="40" t="s">
        <v>644</v>
      </c>
      <c r="I251" s="35">
        <v>46132</v>
      </c>
      <c r="J251" s="34">
        <v>7</v>
      </c>
      <c r="K251" s="34" t="s">
        <v>33</v>
      </c>
      <c r="L251" s="34" t="s">
        <v>397</v>
      </c>
      <c r="M251" s="34">
        <v>19000</v>
      </c>
      <c r="N251" s="34">
        <v>17000</v>
      </c>
      <c r="O251" s="35">
        <v>46133</v>
      </c>
      <c r="P251" s="34">
        <v>2000</v>
      </c>
      <c r="Q251" s="34" t="s">
        <v>33</v>
      </c>
      <c r="R251" s="34" t="s">
        <v>61</v>
      </c>
      <c r="S251" s="34">
        <v>22000</v>
      </c>
      <c r="T251" s="34" t="s">
        <v>33</v>
      </c>
      <c r="U251" s="34" t="s">
        <v>33</v>
      </c>
      <c r="V251" s="34" t="s">
        <v>28</v>
      </c>
      <c r="W251" s="34">
        <v>3000</v>
      </c>
      <c r="X251" s="34" t="s">
        <v>36</v>
      </c>
      <c r="Y251" s="34" t="s">
        <v>29</v>
      </c>
      <c r="Z251" s="36">
        <v>15.789473684210526</v>
      </c>
      <c r="AA251" s="34"/>
      <c r="AB251" s="16"/>
    </row>
    <row r="252" spans="1:28">
      <c r="A252" s="34">
        <v>33</v>
      </c>
      <c r="B252" s="34" t="s">
        <v>30</v>
      </c>
      <c r="C252" s="37" t="s">
        <v>44</v>
      </c>
      <c r="D252" s="34" t="s">
        <v>32</v>
      </c>
      <c r="E252" s="34" t="s">
        <v>33</v>
      </c>
      <c r="F252" s="40" t="s">
        <v>645</v>
      </c>
      <c r="G252" s="34" t="s">
        <v>314</v>
      </c>
      <c r="H252" s="40" t="s">
        <v>646</v>
      </c>
      <c r="I252" s="35">
        <v>46133</v>
      </c>
      <c r="J252" s="34">
        <v>6</v>
      </c>
      <c r="K252" s="34" t="s">
        <v>33</v>
      </c>
      <c r="L252" s="34" t="s">
        <v>397</v>
      </c>
      <c r="M252" s="34">
        <v>39000</v>
      </c>
      <c r="N252" s="34">
        <v>34000</v>
      </c>
      <c r="O252" s="35">
        <v>46133</v>
      </c>
      <c r="P252" s="34">
        <v>5000</v>
      </c>
      <c r="Q252" s="34" t="s">
        <v>33</v>
      </c>
      <c r="R252" s="34" t="s">
        <v>61</v>
      </c>
      <c r="S252" s="34">
        <v>46000</v>
      </c>
      <c r="T252" s="34" t="s">
        <v>33</v>
      </c>
      <c r="U252" s="34" t="s">
        <v>33</v>
      </c>
      <c r="V252" s="34" t="s">
        <v>28</v>
      </c>
      <c r="W252" s="34">
        <v>7000</v>
      </c>
      <c r="X252" s="34" t="s">
        <v>36</v>
      </c>
      <c r="Y252" s="34" t="s">
        <v>29</v>
      </c>
      <c r="Z252" s="36">
        <v>17.948717948717949</v>
      </c>
      <c r="AA252" s="34"/>
      <c r="AB252" s="16"/>
    </row>
    <row r="253" spans="1:28">
      <c r="A253" s="34">
        <v>34</v>
      </c>
      <c r="B253" s="34" t="s">
        <v>30</v>
      </c>
      <c r="C253" s="37" t="s">
        <v>31</v>
      </c>
      <c r="D253" s="34" t="s">
        <v>32</v>
      </c>
      <c r="E253" s="34" t="s">
        <v>33</v>
      </c>
      <c r="F253" s="40" t="s">
        <v>87</v>
      </c>
      <c r="G253" s="34" t="s">
        <v>34</v>
      </c>
      <c r="H253" s="40" t="s">
        <v>701</v>
      </c>
      <c r="I253" s="35">
        <v>46133</v>
      </c>
      <c r="J253" s="34">
        <v>6</v>
      </c>
      <c r="K253" s="34" t="s">
        <v>33</v>
      </c>
      <c r="L253" s="34" t="s">
        <v>397</v>
      </c>
      <c r="M253" s="34">
        <v>19000</v>
      </c>
      <c r="N253" s="34">
        <v>17000</v>
      </c>
      <c r="O253" s="35">
        <v>46134</v>
      </c>
      <c r="P253" s="34">
        <v>2000</v>
      </c>
      <c r="Q253" s="34" t="s">
        <v>33</v>
      </c>
      <c r="R253" s="34" t="s">
        <v>61</v>
      </c>
      <c r="S253" s="34">
        <v>22000</v>
      </c>
      <c r="T253" s="34" t="s">
        <v>33</v>
      </c>
      <c r="U253" s="34" t="s">
        <v>33</v>
      </c>
      <c r="V253" s="34" t="s">
        <v>28</v>
      </c>
      <c r="W253" s="34">
        <v>3000</v>
      </c>
      <c r="X253" s="34" t="s">
        <v>36</v>
      </c>
      <c r="Y253" s="34" t="s">
        <v>29</v>
      </c>
      <c r="Z253" s="36">
        <v>15.789473684210526</v>
      </c>
      <c r="AA253" s="34"/>
      <c r="AB253" s="16"/>
    </row>
    <row r="254" spans="1:28">
      <c r="A254" s="34">
        <v>35</v>
      </c>
      <c r="B254" s="34" t="s">
        <v>30</v>
      </c>
      <c r="C254" s="37" t="s">
        <v>31</v>
      </c>
      <c r="D254" s="34" t="s">
        <v>32</v>
      </c>
      <c r="E254" s="34" t="s">
        <v>33</v>
      </c>
      <c r="F254" s="40" t="s">
        <v>125</v>
      </c>
      <c r="G254" s="34" t="s">
        <v>34</v>
      </c>
      <c r="H254" s="40" t="s">
        <v>702</v>
      </c>
      <c r="I254" s="35">
        <v>46133</v>
      </c>
      <c r="J254" s="34">
        <v>6</v>
      </c>
      <c r="K254" s="34" t="s">
        <v>33</v>
      </c>
      <c r="L254" s="34" t="s">
        <v>397</v>
      </c>
      <c r="M254" s="34">
        <v>19000</v>
      </c>
      <c r="N254" s="34">
        <v>17000</v>
      </c>
      <c r="O254" s="35">
        <v>46134</v>
      </c>
      <c r="P254" s="34">
        <v>2000</v>
      </c>
      <c r="Q254" s="34" t="s">
        <v>33</v>
      </c>
      <c r="R254" s="34" t="s">
        <v>61</v>
      </c>
      <c r="S254" s="34">
        <v>22000</v>
      </c>
      <c r="T254" s="34" t="s">
        <v>33</v>
      </c>
      <c r="U254" s="34" t="s">
        <v>33</v>
      </c>
      <c r="V254" s="34" t="s">
        <v>28</v>
      </c>
      <c r="W254" s="34">
        <v>3000</v>
      </c>
      <c r="X254" s="34" t="s">
        <v>36</v>
      </c>
      <c r="Y254" s="34" t="s">
        <v>29</v>
      </c>
      <c r="Z254" s="36">
        <v>15.789473684210526</v>
      </c>
      <c r="AA254" s="34"/>
      <c r="AB254" s="16"/>
    </row>
    <row r="255" spans="1:28">
      <c r="A255" s="34">
        <v>36</v>
      </c>
      <c r="B255" s="34" t="s">
        <v>30</v>
      </c>
      <c r="C255" s="37" t="s">
        <v>44</v>
      </c>
      <c r="D255" s="34" t="s">
        <v>32</v>
      </c>
      <c r="E255" s="34" t="s">
        <v>33</v>
      </c>
      <c r="F255" s="40" t="s">
        <v>703</v>
      </c>
      <c r="G255" s="34" t="s">
        <v>314</v>
      </c>
      <c r="H255" s="40" t="s">
        <v>704</v>
      </c>
      <c r="I255" s="35">
        <v>46133</v>
      </c>
      <c r="J255" s="34">
        <v>6</v>
      </c>
      <c r="K255" s="34" t="s">
        <v>33</v>
      </c>
      <c r="L255" s="34" t="s">
        <v>705</v>
      </c>
      <c r="M255" s="34">
        <v>27500</v>
      </c>
      <c r="N255" s="34">
        <v>24500</v>
      </c>
      <c r="O255" s="35">
        <v>46134</v>
      </c>
      <c r="P255" s="34">
        <v>3000</v>
      </c>
      <c r="Q255" s="34" t="s">
        <v>33</v>
      </c>
      <c r="R255" s="34" t="s">
        <v>61</v>
      </c>
      <c r="S255" s="34">
        <v>32000</v>
      </c>
      <c r="T255" s="34" t="s">
        <v>33</v>
      </c>
      <c r="U255" s="34" t="s">
        <v>33</v>
      </c>
      <c r="V255" s="34" t="s">
        <v>28</v>
      </c>
      <c r="W255" s="34">
        <v>4500</v>
      </c>
      <c r="X255" s="34" t="s">
        <v>36</v>
      </c>
      <c r="Y255" s="34" t="s">
        <v>29</v>
      </c>
      <c r="Z255" s="36">
        <v>16.363636363636363</v>
      </c>
      <c r="AA255" s="34"/>
      <c r="AB255" s="16"/>
    </row>
    <row r="256" spans="1:28">
      <c r="A256" s="34">
        <v>37</v>
      </c>
      <c r="B256" s="34" t="s">
        <v>30</v>
      </c>
      <c r="C256" s="37" t="s">
        <v>57</v>
      </c>
      <c r="D256" s="34" t="s">
        <v>32</v>
      </c>
      <c r="E256" s="34" t="s">
        <v>33</v>
      </c>
      <c r="F256" s="40" t="s">
        <v>142</v>
      </c>
      <c r="G256" s="34" t="s">
        <v>314</v>
      </c>
      <c r="H256" s="40" t="s">
        <v>706</v>
      </c>
      <c r="I256" s="35">
        <v>46134</v>
      </c>
      <c r="J256" s="34">
        <v>5</v>
      </c>
      <c r="K256" s="34" t="s">
        <v>33</v>
      </c>
      <c r="L256" s="34" t="s">
        <v>60</v>
      </c>
      <c r="M256" s="34">
        <v>39000</v>
      </c>
      <c r="N256" s="34">
        <v>34000</v>
      </c>
      <c r="O256" s="35">
        <v>46134</v>
      </c>
      <c r="P256" s="34">
        <v>5000</v>
      </c>
      <c r="Q256" s="34" t="s">
        <v>33</v>
      </c>
      <c r="R256" s="34" t="s">
        <v>61</v>
      </c>
      <c r="S256" s="34">
        <v>46000</v>
      </c>
      <c r="T256" s="34" t="s">
        <v>33</v>
      </c>
      <c r="U256" s="34" t="s">
        <v>33</v>
      </c>
      <c r="V256" s="34" t="s">
        <v>28</v>
      </c>
      <c r="W256" s="34">
        <v>7000</v>
      </c>
      <c r="X256" s="34" t="s">
        <v>36</v>
      </c>
      <c r="Y256" s="34" t="s">
        <v>29</v>
      </c>
      <c r="Z256" s="36">
        <v>17.948717948717949</v>
      </c>
      <c r="AA256" s="34"/>
      <c r="AB256" s="16"/>
    </row>
    <row r="257" spans="1:28">
      <c r="A257" s="34">
        <v>38</v>
      </c>
      <c r="B257" s="34" t="s">
        <v>30</v>
      </c>
      <c r="C257" s="37" t="s">
        <v>57</v>
      </c>
      <c r="D257" s="34" t="s">
        <v>32</v>
      </c>
      <c r="E257" s="34" t="s">
        <v>33</v>
      </c>
      <c r="F257" s="40" t="s">
        <v>437</v>
      </c>
      <c r="G257" s="34" t="s">
        <v>314</v>
      </c>
      <c r="H257" s="40" t="s">
        <v>727</v>
      </c>
      <c r="I257" s="35">
        <v>46135</v>
      </c>
      <c r="J257" s="34">
        <v>4</v>
      </c>
      <c r="K257" s="34" t="s">
        <v>33</v>
      </c>
      <c r="L257" s="34" t="s">
        <v>60</v>
      </c>
      <c r="M257" s="34">
        <v>39000</v>
      </c>
      <c r="N257" s="34">
        <v>34000</v>
      </c>
      <c r="O257" s="35">
        <v>46135</v>
      </c>
      <c r="P257" s="34">
        <v>5000</v>
      </c>
      <c r="Q257" s="34" t="s">
        <v>33</v>
      </c>
      <c r="R257" s="34" t="s">
        <v>61</v>
      </c>
      <c r="S257" s="34">
        <v>46000</v>
      </c>
      <c r="T257" s="34" t="s">
        <v>33</v>
      </c>
      <c r="U257" s="34" t="s">
        <v>33</v>
      </c>
      <c r="V257" s="34" t="s">
        <v>28</v>
      </c>
      <c r="W257" s="34">
        <v>7000</v>
      </c>
      <c r="X257" s="34" t="s">
        <v>36</v>
      </c>
      <c r="Y257" s="34" t="s">
        <v>29</v>
      </c>
      <c r="Z257" s="36">
        <v>17.948717948717949</v>
      </c>
      <c r="AA257" s="34"/>
      <c r="AB257" s="16"/>
    </row>
    <row r="258" spans="1:28">
      <c r="A258" s="34">
        <v>39</v>
      </c>
      <c r="B258" s="34" t="s">
        <v>30</v>
      </c>
      <c r="C258" s="37" t="s">
        <v>31</v>
      </c>
      <c r="D258" s="34" t="s">
        <v>32</v>
      </c>
      <c r="E258" s="34" t="s">
        <v>33</v>
      </c>
      <c r="F258" s="40" t="s">
        <v>728</v>
      </c>
      <c r="G258" s="34" t="s">
        <v>34</v>
      </c>
      <c r="H258" s="40" t="s">
        <v>729</v>
      </c>
      <c r="I258" s="35">
        <v>46134</v>
      </c>
      <c r="J258" s="34">
        <v>5</v>
      </c>
      <c r="K258" s="34" t="s">
        <v>33</v>
      </c>
      <c r="L258" s="34" t="s">
        <v>397</v>
      </c>
      <c r="M258" s="34">
        <v>19000</v>
      </c>
      <c r="N258" s="34">
        <v>17000</v>
      </c>
      <c r="O258" s="35">
        <v>46135</v>
      </c>
      <c r="P258" s="34">
        <v>2000</v>
      </c>
      <c r="Q258" s="34" t="s">
        <v>33</v>
      </c>
      <c r="R258" s="34" t="s">
        <v>61</v>
      </c>
      <c r="S258" s="34">
        <v>22000</v>
      </c>
      <c r="T258" s="34" t="s">
        <v>33</v>
      </c>
      <c r="U258" s="34" t="s">
        <v>33</v>
      </c>
      <c r="V258" s="34" t="s">
        <v>28</v>
      </c>
      <c r="W258" s="34">
        <v>3000</v>
      </c>
      <c r="X258" s="34" t="s">
        <v>36</v>
      </c>
      <c r="Y258" s="34" t="s">
        <v>29</v>
      </c>
      <c r="Z258" s="36">
        <v>15.789473684210526</v>
      </c>
      <c r="AA258" s="34"/>
      <c r="AB258" s="16"/>
    </row>
    <row r="259" spans="1:28">
      <c r="A259" s="34">
        <v>40</v>
      </c>
      <c r="B259" s="34" t="s">
        <v>30</v>
      </c>
      <c r="C259" s="37" t="s">
        <v>31</v>
      </c>
      <c r="D259" s="34" t="s">
        <v>32</v>
      </c>
      <c r="E259" s="34" t="s">
        <v>33</v>
      </c>
      <c r="F259" s="40" t="s">
        <v>114</v>
      </c>
      <c r="G259" s="34" t="s">
        <v>34</v>
      </c>
      <c r="H259" s="40" t="s">
        <v>735</v>
      </c>
      <c r="I259" s="35">
        <v>46134</v>
      </c>
      <c r="J259" s="34">
        <v>5</v>
      </c>
      <c r="K259" s="34" t="s">
        <v>33</v>
      </c>
      <c r="L259" s="34" t="s">
        <v>397</v>
      </c>
      <c r="M259" s="34">
        <v>19000</v>
      </c>
      <c r="N259" s="34">
        <v>17000</v>
      </c>
      <c r="O259" s="35">
        <v>46135</v>
      </c>
      <c r="P259" s="34">
        <v>2000</v>
      </c>
      <c r="Q259" s="34" t="s">
        <v>33</v>
      </c>
      <c r="R259" s="34" t="s">
        <v>61</v>
      </c>
      <c r="S259" s="34">
        <v>22000</v>
      </c>
      <c r="T259" s="34" t="s">
        <v>33</v>
      </c>
      <c r="U259" s="34" t="s">
        <v>33</v>
      </c>
      <c r="V259" s="34" t="s">
        <v>28</v>
      </c>
      <c r="W259" s="34">
        <v>3000</v>
      </c>
      <c r="X259" s="34" t="s">
        <v>36</v>
      </c>
      <c r="Y259" s="34" t="s">
        <v>29</v>
      </c>
      <c r="Z259" s="36">
        <v>15.789473684210526</v>
      </c>
      <c r="AA259" s="34"/>
      <c r="AB259" s="16"/>
    </row>
    <row r="260" spans="1:28">
      <c r="A260" s="34">
        <v>41</v>
      </c>
      <c r="B260" s="34" t="s">
        <v>30</v>
      </c>
      <c r="C260" s="37" t="s">
        <v>31</v>
      </c>
      <c r="D260" s="34" t="s">
        <v>32</v>
      </c>
      <c r="E260" s="34" t="s">
        <v>33</v>
      </c>
      <c r="F260" s="40" t="s">
        <v>738</v>
      </c>
      <c r="G260" s="34" t="s">
        <v>34</v>
      </c>
      <c r="H260" s="40" t="s">
        <v>739</v>
      </c>
      <c r="I260" s="35">
        <v>46135</v>
      </c>
      <c r="J260" s="34">
        <v>4</v>
      </c>
      <c r="K260" s="34" t="s">
        <v>33</v>
      </c>
      <c r="L260" s="34" t="s">
        <v>740</v>
      </c>
      <c r="M260" s="34">
        <v>19000</v>
      </c>
      <c r="N260" s="34">
        <v>17000</v>
      </c>
      <c r="O260" s="35">
        <v>46136</v>
      </c>
      <c r="P260" s="34">
        <v>2000</v>
      </c>
      <c r="Q260" s="34" t="s">
        <v>33</v>
      </c>
      <c r="R260" s="34" t="s">
        <v>61</v>
      </c>
      <c r="S260" s="34">
        <v>22000</v>
      </c>
      <c r="T260" s="34" t="s">
        <v>33</v>
      </c>
      <c r="U260" s="34" t="s">
        <v>33</v>
      </c>
      <c r="V260" s="34" t="s">
        <v>28</v>
      </c>
      <c r="W260" s="34">
        <v>3000</v>
      </c>
      <c r="X260" s="34" t="s">
        <v>36</v>
      </c>
      <c r="Y260" s="34" t="s">
        <v>29</v>
      </c>
      <c r="Z260" s="36">
        <v>15.789473684210526</v>
      </c>
      <c r="AA260" s="34"/>
      <c r="AB260" s="16"/>
    </row>
    <row r="261" spans="1:28">
      <c r="A261" s="34">
        <v>42</v>
      </c>
      <c r="B261" s="34" t="s">
        <v>30</v>
      </c>
      <c r="C261" s="37" t="s">
        <v>31</v>
      </c>
      <c r="D261" s="34" t="s">
        <v>32</v>
      </c>
      <c r="E261" s="34" t="s">
        <v>33</v>
      </c>
      <c r="F261" s="40" t="s">
        <v>576</v>
      </c>
      <c r="G261" s="34" t="s">
        <v>34</v>
      </c>
      <c r="H261" s="40" t="s">
        <v>777</v>
      </c>
      <c r="I261" s="35">
        <v>46136</v>
      </c>
      <c r="J261" s="34">
        <v>3</v>
      </c>
      <c r="K261" s="34" t="s">
        <v>33</v>
      </c>
      <c r="L261" s="34" t="s">
        <v>740</v>
      </c>
      <c r="M261" s="34">
        <v>19000</v>
      </c>
      <c r="N261" s="34">
        <v>17000</v>
      </c>
      <c r="O261" s="35">
        <v>46136</v>
      </c>
      <c r="P261" s="34">
        <v>2000</v>
      </c>
      <c r="Q261" s="34" t="s">
        <v>33</v>
      </c>
      <c r="R261" s="34" t="s">
        <v>61</v>
      </c>
      <c r="S261" s="34">
        <v>22000</v>
      </c>
      <c r="T261" s="34" t="s">
        <v>33</v>
      </c>
      <c r="U261" s="34" t="s">
        <v>33</v>
      </c>
      <c r="V261" s="34" t="s">
        <v>28</v>
      </c>
      <c r="W261" s="34">
        <v>3000</v>
      </c>
      <c r="X261" s="34" t="s">
        <v>36</v>
      </c>
      <c r="Y261" s="34" t="s">
        <v>29</v>
      </c>
      <c r="Z261" s="36">
        <v>15.789473684210526</v>
      </c>
      <c r="AA261" s="34"/>
      <c r="AB261" s="16"/>
    </row>
    <row r="262" spans="1:28">
      <c r="A262" s="34">
        <v>43</v>
      </c>
      <c r="B262" s="34" t="s">
        <v>30</v>
      </c>
      <c r="C262" s="37" t="s">
        <v>31</v>
      </c>
      <c r="D262" s="34" t="s">
        <v>32</v>
      </c>
      <c r="E262" s="34" t="s">
        <v>33</v>
      </c>
      <c r="F262" s="40" t="s">
        <v>159</v>
      </c>
      <c r="G262" s="34" t="s">
        <v>34</v>
      </c>
      <c r="H262" s="42" t="s">
        <v>802</v>
      </c>
      <c r="I262" s="35">
        <v>46136</v>
      </c>
      <c r="J262" s="34">
        <v>3</v>
      </c>
      <c r="K262" s="34" t="s">
        <v>33</v>
      </c>
      <c r="L262" s="34" t="s">
        <v>740</v>
      </c>
      <c r="M262" s="34">
        <v>19000</v>
      </c>
      <c r="N262" s="34">
        <v>17000</v>
      </c>
      <c r="O262" s="35">
        <v>46137</v>
      </c>
      <c r="P262" s="34">
        <v>2000</v>
      </c>
      <c r="Q262" s="34" t="s">
        <v>33</v>
      </c>
      <c r="R262" s="34" t="s">
        <v>61</v>
      </c>
      <c r="S262" s="34">
        <v>22000</v>
      </c>
      <c r="T262" s="34" t="s">
        <v>33</v>
      </c>
      <c r="U262" s="34" t="s">
        <v>33</v>
      </c>
      <c r="V262" s="34" t="s">
        <v>28</v>
      </c>
      <c r="W262" s="34">
        <v>3000</v>
      </c>
      <c r="X262" s="34" t="s">
        <v>36</v>
      </c>
      <c r="Y262" s="34" t="s">
        <v>29</v>
      </c>
      <c r="Z262" s="36">
        <v>15.789473684210526</v>
      </c>
      <c r="AA262" s="34"/>
      <c r="AB262" s="16"/>
    </row>
    <row r="263" spans="1:28">
      <c r="A263" s="34">
        <v>44</v>
      </c>
      <c r="B263" s="34" t="s">
        <v>30</v>
      </c>
      <c r="C263" s="37" t="s">
        <v>31</v>
      </c>
      <c r="D263" s="34" t="s">
        <v>32</v>
      </c>
      <c r="E263" s="34" t="s">
        <v>33</v>
      </c>
      <c r="F263" s="40" t="s">
        <v>786</v>
      </c>
      <c r="G263" s="34" t="s">
        <v>34</v>
      </c>
      <c r="H263" s="42" t="s">
        <v>803</v>
      </c>
      <c r="I263" s="35">
        <v>46136</v>
      </c>
      <c r="J263" s="34">
        <v>3</v>
      </c>
      <c r="K263" s="34" t="s">
        <v>33</v>
      </c>
      <c r="L263" s="34" t="s">
        <v>740</v>
      </c>
      <c r="M263" s="34">
        <v>19000</v>
      </c>
      <c r="N263" s="34">
        <v>17000</v>
      </c>
      <c r="O263" s="35">
        <v>46137</v>
      </c>
      <c r="P263" s="34">
        <v>2000</v>
      </c>
      <c r="Q263" s="34" t="s">
        <v>33</v>
      </c>
      <c r="R263" s="34" t="s">
        <v>61</v>
      </c>
      <c r="S263" s="34">
        <v>22000</v>
      </c>
      <c r="T263" s="34" t="s">
        <v>33</v>
      </c>
      <c r="U263" s="34" t="s">
        <v>33</v>
      </c>
      <c r="V263" s="34" t="s">
        <v>28</v>
      </c>
      <c r="W263" s="34">
        <v>3000</v>
      </c>
      <c r="X263" s="34" t="s">
        <v>36</v>
      </c>
      <c r="Y263" s="34" t="s">
        <v>29</v>
      </c>
      <c r="Z263" s="36">
        <v>15.789473684210526</v>
      </c>
      <c r="AA263" s="34"/>
      <c r="AB263" s="16"/>
    </row>
    <row r="264" spans="1:28">
      <c r="A264" s="34">
        <v>45</v>
      </c>
      <c r="B264" s="34" t="s">
        <v>30</v>
      </c>
      <c r="C264" s="37" t="s">
        <v>80</v>
      </c>
      <c r="D264" s="34" t="s">
        <v>32</v>
      </c>
      <c r="E264" s="34" t="s">
        <v>33</v>
      </c>
      <c r="F264" s="40" t="s">
        <v>787</v>
      </c>
      <c r="G264" s="34" t="s">
        <v>34</v>
      </c>
      <c r="H264" s="42" t="s">
        <v>801</v>
      </c>
      <c r="I264" s="35">
        <v>46136</v>
      </c>
      <c r="J264" s="34">
        <v>3</v>
      </c>
      <c r="K264" s="34" t="s">
        <v>33</v>
      </c>
      <c r="L264" s="34" t="s">
        <v>740</v>
      </c>
      <c r="M264" s="34">
        <v>39000</v>
      </c>
      <c r="N264" s="34">
        <v>34000</v>
      </c>
      <c r="O264" s="35">
        <v>46137</v>
      </c>
      <c r="P264" s="34">
        <v>5000</v>
      </c>
      <c r="Q264" s="34" t="s">
        <v>33</v>
      </c>
      <c r="R264" s="34" t="s">
        <v>61</v>
      </c>
      <c r="S264" s="34">
        <v>22000</v>
      </c>
      <c r="T264" s="34" t="s">
        <v>33</v>
      </c>
      <c r="U264" s="34" t="s">
        <v>33</v>
      </c>
      <c r="V264" s="34" t="s">
        <v>28</v>
      </c>
      <c r="W264" s="34">
        <v>-17000</v>
      </c>
      <c r="X264" s="34" t="s">
        <v>36</v>
      </c>
      <c r="Y264" s="34" t="s">
        <v>29</v>
      </c>
      <c r="Z264" s="36">
        <v>-43.589743589743591</v>
      </c>
      <c r="AA264" s="34"/>
      <c r="AB264" s="16"/>
    </row>
  </sheetData>
  <conditionalFormatting sqref="E2:E219">
    <cfRule type="containsText" dxfId="70" priority="56" operator="containsText" text="Pending">
      <formula>NOT(ISERROR(SEARCH("Pending",E2)))</formula>
    </cfRule>
    <cfRule type="containsText" dxfId="69" priority="53" operator="containsText" text="Pending">
      <formula>NOT(ISERROR(SEARCH("Pending",E2)))</formula>
    </cfRule>
    <cfRule type="containsText" dxfId="68" priority="52" operator="containsText" text="Received ">
      <formula>NOT(ISERROR(SEARCH("Received ",E2)))</formula>
    </cfRule>
    <cfRule type="containsText" dxfId="67" priority="51" operator="containsText" text="Received">
      <formula>NOT(ISERROR(SEARCH("Received",E2)))</formula>
    </cfRule>
    <cfRule type="containsText" dxfId="66" priority="50" operator="containsText" text="Pending">
      <formula>NOT(ISERROR(SEARCH("Pending",E2)))</formula>
    </cfRule>
    <cfRule type="containsText" dxfId="65" priority="49" operator="containsText" text="Received ">
      <formula>NOT(ISERROR(SEARCH("Received ",E2)))</formula>
    </cfRule>
    <cfRule type="containsText" dxfId="64" priority="48" operator="containsText" text="Received">
      <formula>NOT(ISERROR(SEARCH("Received",E2)))</formula>
    </cfRule>
    <cfRule type="containsText" dxfId="63" priority="46" operator="containsText" text="Pending">
      <formula>NOT(ISERROR(SEARCH("Pending",E2)))</formula>
    </cfRule>
    <cfRule type="containsText" dxfId="62" priority="45" operator="containsText" text="Received ">
      <formula>NOT(ISERROR(SEARCH("Received ",E2)))</formula>
    </cfRule>
    <cfRule type="containsText" dxfId="61" priority="44" operator="containsText" text="Received">
      <formula>NOT(ISERROR(SEARCH("Received",E2)))</formula>
    </cfRule>
    <cfRule type="containsText" dxfId="60" priority="43" operator="containsText" text="Pending">
      <formula>NOT(ISERROR(SEARCH("Pending",E2)))</formula>
    </cfRule>
    <cfRule type="containsText" dxfId="59" priority="42" operator="containsText" text="Received ">
      <formula>NOT(ISERROR(SEARCH("Received ",E2)))</formula>
    </cfRule>
    <cfRule type="containsText" dxfId="58" priority="41" operator="containsText" text="Received">
      <formula>NOT(ISERROR(SEARCH("Received",E2)))</formula>
    </cfRule>
    <cfRule type="containsText" dxfId="57" priority="40" operator="containsText" text="Pending">
      <formula>NOT(ISERROR(SEARCH("Pending",E2)))</formula>
    </cfRule>
    <cfRule type="containsText" dxfId="56" priority="39" operator="containsText" text="Received ">
      <formula>NOT(ISERROR(SEARCH("Received ",E2)))</formula>
    </cfRule>
    <cfRule type="containsText" dxfId="55" priority="38" operator="containsText" text="Received">
      <formula>NOT(ISERROR(SEARCH("Received",E2)))</formula>
    </cfRule>
    <cfRule type="containsText" dxfId="54" priority="54" operator="containsText" text="Received">
      <formula>NOT(ISERROR(SEARCH("Received",E2)))</formula>
    </cfRule>
    <cfRule type="containsText" dxfId="53" priority="55" operator="containsText" text="Received ">
      <formula>NOT(ISERROR(SEARCH("Received ",E2)))</formula>
    </cfRule>
  </conditionalFormatting>
  <conditionalFormatting sqref="E2:E264">
    <cfRule type="containsText" dxfId="52" priority="16" operator="containsText" text="Pending">
      <formula>NOT(ISERROR(SEARCH("Pending",E2)))</formula>
    </cfRule>
    <cfRule type="containsText" dxfId="51" priority="25" operator="containsText" text="Pending">
      <formula>NOT(ISERROR(SEARCH("Pending",E2)))</formula>
    </cfRule>
  </conditionalFormatting>
  <conditionalFormatting sqref="E220:E264">
    <cfRule type="containsText" dxfId="50" priority="21" operator="containsText" text="Received ">
      <formula>NOT(ISERROR(SEARCH("Received ",E220)))</formula>
    </cfRule>
    <cfRule type="containsText" dxfId="49" priority="22" operator="containsText" text="Pending">
      <formula>NOT(ISERROR(SEARCH("Pending",E220)))</formula>
    </cfRule>
    <cfRule type="containsText" dxfId="48" priority="23" operator="containsText" text="Received">
      <formula>NOT(ISERROR(SEARCH("Received",E220)))</formula>
    </cfRule>
    <cfRule type="containsText" dxfId="47" priority="24" operator="containsText" text="Received ">
      <formula>NOT(ISERROR(SEARCH("Received ",E220)))</formula>
    </cfRule>
    <cfRule type="containsText" dxfId="46" priority="6" operator="containsText" text="Pending">
      <formula>NOT(ISERROR(SEARCH("Pending",E220)))</formula>
    </cfRule>
    <cfRule type="containsText" dxfId="45" priority="7" operator="containsText" text="Received">
      <formula>NOT(ISERROR(SEARCH("Received",E220)))</formula>
    </cfRule>
    <cfRule type="containsText" dxfId="44" priority="8" operator="containsText" text="Received ">
      <formula>NOT(ISERROR(SEARCH("Received ",E220)))</formula>
    </cfRule>
    <cfRule type="containsText" dxfId="43" priority="17" operator="containsText" text="Received">
      <formula>NOT(ISERROR(SEARCH("Received",E220)))</formula>
    </cfRule>
    <cfRule type="containsText" dxfId="42" priority="10" operator="containsText" text="Received">
      <formula>NOT(ISERROR(SEARCH("Received",E220)))</formula>
    </cfRule>
    <cfRule type="containsText" dxfId="41" priority="11" operator="containsText" text="Received ">
      <formula>NOT(ISERROR(SEARCH("Received ",E220)))</formula>
    </cfRule>
    <cfRule type="containsText" dxfId="40" priority="12" operator="containsText" text="Pending">
      <formula>NOT(ISERROR(SEARCH("Pending",E220)))</formula>
    </cfRule>
    <cfRule type="containsText" dxfId="39" priority="13" operator="containsText" text="Received">
      <formula>NOT(ISERROR(SEARCH("Received",E220)))</formula>
    </cfRule>
    <cfRule type="containsText" dxfId="38" priority="14" operator="containsText" text="Received ">
      <formula>NOT(ISERROR(SEARCH("Received ",E220)))</formula>
    </cfRule>
    <cfRule type="containsText" dxfId="37" priority="15" operator="containsText" text="Pending">
      <formula>NOT(ISERROR(SEARCH("Pending",E220)))</formula>
    </cfRule>
    <cfRule type="containsText" dxfId="36" priority="18" operator="containsText" text="Received ">
      <formula>NOT(ISERROR(SEARCH("Received ",E220)))</formula>
    </cfRule>
    <cfRule type="containsText" dxfId="35" priority="19" operator="containsText" text="Pending">
      <formula>NOT(ISERROR(SEARCH("Pending",E220)))</formula>
    </cfRule>
    <cfRule type="containsText" dxfId="34" priority="9" operator="containsText" text="Pending">
      <formula>NOT(ISERROR(SEARCH("Pending",E220)))</formula>
    </cfRule>
    <cfRule type="containsText" dxfId="33" priority="20" operator="containsText" text="Received">
      <formula>NOT(ISERROR(SEARCH("Received",E220)))</formula>
    </cfRule>
  </conditionalFormatting>
  <conditionalFormatting sqref="F1">
    <cfRule type="duplicateValues" dxfId="32" priority="110"/>
    <cfRule type="duplicateValues" dxfId="31" priority="102"/>
    <cfRule type="duplicateValues" dxfId="30" priority="103"/>
    <cfRule type="duplicateValues" dxfId="29" priority="104"/>
    <cfRule type="duplicateValues" dxfId="28" priority="105"/>
    <cfRule type="duplicateValues" dxfId="27" priority="106"/>
    <cfRule type="duplicateValues" dxfId="26" priority="107"/>
    <cfRule type="duplicateValues" dxfId="25" priority="108"/>
    <cfRule type="duplicateValues" dxfId="24" priority="109"/>
    <cfRule type="duplicateValues" dxfId="23" priority="111"/>
    <cfRule type="duplicateValues" dxfId="22" priority="112"/>
    <cfRule type="duplicateValues" dxfId="21" priority="113"/>
    <cfRule type="duplicateValues" dxfId="20" priority="114"/>
    <cfRule type="duplicateValues" dxfId="19" priority="115"/>
    <cfRule type="duplicateValues" dxfId="18" priority="116"/>
    <cfRule type="duplicateValues" dxfId="17" priority="117"/>
    <cfRule type="duplicateValues" dxfId="16" priority="118"/>
  </conditionalFormatting>
  <conditionalFormatting sqref="H2:H85">
    <cfRule type="duplicateValues" dxfId="15" priority="35"/>
  </conditionalFormatting>
  <conditionalFormatting sqref="H2:H219">
    <cfRule type="duplicateValues" dxfId="14" priority="31"/>
    <cfRule type="duplicateValues" dxfId="13" priority="30"/>
    <cfRule type="duplicateValues" dxfId="12" priority="29"/>
    <cfRule type="duplicateValues" dxfId="11" priority="27"/>
    <cfRule type="duplicateValues" dxfId="10" priority="26"/>
    <cfRule type="duplicateValues" dxfId="9" priority="28"/>
    <cfRule type="duplicateValues" dxfId="8" priority="34"/>
    <cfRule type="duplicateValues" dxfId="7" priority="33"/>
    <cfRule type="duplicateValues" dxfId="6" priority="32"/>
  </conditionalFormatting>
  <conditionalFormatting sqref="H220:H237">
    <cfRule type="duplicateValues" dxfId="5" priority="4"/>
    <cfRule type="duplicateValues" dxfId="4" priority="3"/>
  </conditionalFormatting>
  <conditionalFormatting sqref="H220:H264">
    <cfRule type="duplicateValues" dxfId="3" priority="1"/>
    <cfRule type="duplicateValues" dxfId="2" priority="2"/>
  </conditionalFormatting>
  <conditionalFormatting sqref="Q2 Q4:Q8">
    <cfRule type="containsText" dxfId="1" priority="36" operator="containsText" text="Pending">
      <formula>NOT(ISERROR(SEARCH("Pending",Q2)))</formula>
    </cfRule>
  </conditionalFormatting>
  <conditionalFormatting sqref="T2:U264 Q10:Q264">
    <cfRule type="containsText" dxfId="0" priority="5" operator="containsText" text="Pending">
      <formula>NOT(ISERROR(SEARCH("Pending",Q2)))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 Aurangabad</vt:lpstr>
      <vt:lpstr>MIS Sanjeev Auto</vt:lpstr>
      <vt:lpstr>MIS Reliable</vt:lpstr>
      <vt:lpstr>MIS Eaton</vt:lpstr>
      <vt:lpstr>POD Pending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</dc:creator>
  <cp:lastModifiedBy>Sagar Sasane</cp:lastModifiedBy>
  <dcterms:created xsi:type="dcterms:W3CDTF">2015-06-05T18:17:20Z</dcterms:created>
  <dcterms:modified xsi:type="dcterms:W3CDTF">2026-06-11T10:02:50Z</dcterms:modified>
</cp:coreProperties>
</file>